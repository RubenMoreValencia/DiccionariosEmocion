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rubenmorevalencia/Desktop/SYJ/DiccionariosEmocion/Data/DocMoreR/"/>
    </mc:Choice>
  </mc:AlternateContent>
  <xr:revisionPtr revIDLastSave="0" documentId="13_ncr:1_{3B4A46CD-B57D-4043-82B3-A7C61886DE72}" xr6:coauthVersionLast="47" xr6:coauthVersionMax="47" xr10:uidLastSave="{00000000-0000-0000-0000-000000000000}"/>
  <bookViews>
    <workbookView minimized="1" xWindow="0" yWindow="500" windowWidth="28800" windowHeight="16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5" roundtripDataChecksum="yjUNvSaeQ8uCABGCrQuH1Neq5L5QxzMmTDvstq9wGnM="/>
    </ext>
  </extLst>
</workbook>
</file>

<file path=xl/calcChain.xml><?xml version="1.0" encoding="utf-8"?>
<calcChain xmlns="http://schemas.openxmlformats.org/spreadsheetml/2006/main">
  <c r="B57" i="1" l="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B1" i="1"/>
</calcChain>
</file>

<file path=xl/sharedStrings.xml><?xml version="1.0" encoding="utf-8"?>
<sst xmlns="http://schemas.openxmlformats.org/spreadsheetml/2006/main" count="114" uniqueCount="53">
  <si>
    <t>Fuente de la imagen, Getty Images</t>
  </si>
  <si>
    <t>El pasado 30 de noviembre, cuando el mundo entraba en el espíritu de fin de año y tenía los ojos centrados en la Copa del Mundo en Qatar, debutó un programa que pronto se consideró un paso adelante en el avance de la inteligencia artificial: ChatGPT.</t>
  </si>
  <si>
    <t>Este nuevo sistema puede generar contenidos escritos de forma altamente coherente y muy parecidos a los creados por los humanos.</t>
  </si>
  <si>
    <t>A pesar de los errores y carencias que aún existen, la capacidad ya demostrada por el programa, y ​​su potencial para mejorar a largo plazo, despierta no solo admiración, sino también temores.</t>
  </si>
  <si>
    <t>Basta con mirar la cantidad de reseñas que asocian ChatGPT con la palabra "amenaza". Muchos sienten que el programa parece demasiado convincente al imitar el habla de un ser humano y prevén la aparición de problemas.</t>
  </si>
  <si>
    <t>Son interrogantes sobre la posibilidad de una fuerte ruptura en áreas como la creatividad, el aprendizaje y la educación, el trabajo, la seguridad digital y la democracia misma, como se afirma en un artículo reciente de The New York Times.</t>
  </si>
  <si>
    <t>Según los autores, lo que antes era una persona expresando su opinión ahora puede ser solo un robot que genera un argumento artificialmente.</t>
  </si>
  <si>
    <t>ChatGPT es, básicamente, un robot virtual (chatbot) que responde una variedad de preguntas, realiza tareas por escrito, conversa con fluidez e incluso da consejos sobre problemas personales (aunque se advierte que no tiene este objetivo).</t>
  </si>
  <si>
    <t>Sus posibilidades de generar contenido son inmensas.</t>
  </si>
  <si>
    <t>Puede, por ejemplo, enseñarte a preparar un stroganoff —y con un giro diferente en la receta, si lo especificas—, darte consejos para conseguir un trabajo, escribir poesía, trabajos académicos y también redactar una carta de reconciliación para un amigo del que te has distanciado.</t>
  </si>
  <si>
    <t>ChatGPT responde en cuestión de segundos a una petición aleatoria sobre cómo "escribir un poema sobre inteligencia artificial al estilo de Carlos Drummond de Andrade"; la calidad del resultado, dependiendo de quien lo critique, puede ser discutible.</t>
  </si>
  <si>
    <t>Según las pruebas de SEO.ai, ChatGPT está disponible en casi 100 idiomas, pero el rendimiento del modelo varía según el idioma (funciona mejor en inglés).</t>
  </si>
  <si>
    <t>El sistema fue desarrollado por OpenAI, empresa fundada en 2015 en EE.UU. por Sam Altman (hoy su principal figura) y por el omnipresente Elon Musk (quien la abandonó en 2018 por considerar que había un conflicto de intereses con su principal empresa, Tesla).</t>
  </si>
  <si>
    <t>Cinco días después de su lanzamiento, ChatGPT llegó a más de 1 millón de usuarios (quienes, irónicamente, tienen que ser humanos; tienes que demostrar que no eres un robot al iniciar sesión). Estas interacciones se están utilizando para entrenar y desarrollar el modelo.</t>
  </si>
  <si>
    <t>OpenAI dice que el uso será gratuito y abierto a todos durante esta etapa de "prueba e investigación", lo que lleva a los expertos a especular sobre los futuros tipos de monetización de la herramienta.</t>
  </si>
  <si>
    <t>La compañía también advierte que, en ese período, el software "puede generar ocasionalmente información incorrecta o engañosa" y que su historial de datos se limita a 2021.</t>
  </si>
  <si>
    <t>A pesar de ser señalado como una posible amenaza a la hegemonía de Google como facilitador de información en internet, el sistema aún comete errores graves, como decir que Brasil ha ganado al menos cinco premios Oscar (de hecho, el país nunca ha ganado una estatuilla).</t>
  </si>
  <si>
    <t>Fuente de la imagen, Steve Jennings</t>
  </si>
  <si>
    <t>Los potentes programas de inteligencia artificial basados ​​en texto funcionan almacenando cantidades gigantescas de datos (con énfasis en palabras y conversaciones en este caso) y con algoritmos para predecir la mejor formulación de una oración.</t>
  </si>
  <si>
    <t>Estos se denominan modelos de lenguaje grande (LLM, por sus siglas en inglés).</t>
  </si>
  <si>
    <t>El profesor de la Unifesp Álvaro Machado Dias, neurocientífico, explica que durante la capacitación del software, al chatbot se le hacen preguntas como "¿qué es un cilindro?" y los técnicos elaboran sus propias respuestas.</t>
  </si>
  <si>
    <t>"Si la respuesta del chatbot no es válida, las correctas se insertan en el sistema para enseñarle. Esto se pasa a otras situaciones automáticamente".</t>
  </si>
  <si>
    <t>A pesar de ya utilizar una modalidad que logra entender el contexto del uso de las palabras, permitiendo concatenar mejor los textos, los programas anteriores no respondían tan bien al usuario o aún sonaban muy artificiales.</t>
  </si>
  <si>
    <t>ChatGPT aprendió a hablar de una manera más cercana a un humano.</t>
  </si>
  <si>
    <t>Machado Dias dice que lo que diferencia a este programa es el uso de una técnica que entiende cómo funciona el lenguaje: el refuerzo del aprendizaje a través de la retroalimentación humana (RLHF).</t>
  </si>
  <si>
    <t>Los ingenieros aplican métodos de "recompensa" y "castigo" para enseñar al sistema las formas de interacción más deseables. Es un proceso de ajuste fino.</t>
  </si>
  <si>
    <t>"En la práctica, los ingenieros ordenan las respuestas dadas por el algoritmo según su relevancia y animan al programa a aprender las preferencias enumeradas en el ordenamiento para aumentar la relevancia de las producciones textuales. El resultado se da en forma de textos que parecen más profundos y más significativos que los de las alternativas", dice el profesor de la Unifesp.</t>
  </si>
  <si>
    <t>ChatGPT también ha sido capacitado para admitir errores, desafiar suposiciones incorrectas y rechazar solicitudes inapropiadas.</t>
  </si>
  <si>
    <t>Pero un profesor de la Universidad de California logró que el sistema escribiera un código de programación para decir que solo los hombres blancos o asiáticos son buenos científicos.</t>
  </si>
  <si>
    <t>OpenAI afirma que, aunque se ha esforzado en este sentido, el programa "a veces responderá a instrucciones problemáticas o exhibirá un comportamiento sesgado".</t>
  </si>
  <si>
    <t>Según la empresa, los datos recopilados en esta etapa de prueba servirán para mejorar el sistema.</t>
  </si>
  <si>
    <t>La amenaza de cambios o alteraciones ya se cierne sobre el trabajo y el empleo. Los campos que dependen del texto, como el periodismo, podrían modificarse mucho y las vacantes podrían desaparecer para siempre.</t>
  </si>
  <si>
    <t>La competencia de ChatGPT en la generación de códigos también está planteando preguntas en un sector relativamente nuevo: la programación.</t>
  </si>
  <si>
    <t>Pero una de las áreas que se ha ido dando cuenta de los posibles problemas de ChatGPT es precisamente una de las más afectadas por la llegada de las nuevas tecnologías: la educación.</t>
  </si>
  <si>
    <t>La tentación entre los estudiantes de usar el programa para encontrar respuestas listas para sus tareas llevó a Nueva York a tomar una decisión rápida: solo un mes después de su debut, el sistema fue prohibido en las escuelas y dispositivos públicos de la ciudad estadounidense.</t>
  </si>
  <si>
    <t>OpenAI ha estado trabajando en una especie de marca para identificar que el contenido se originó en ChatGPT. Ya existen algoritmos que calculan con bastante precisión la probabilidad de que un chatbot haya realizado un texto.</t>
  </si>
  <si>
    <t>Además de "copiar y pegar", existe el miedo a los impactos estructurales en el aprendizaje humano. Por ejemplo, ¿se verá afectado el ejercicio cognitivo de escribir un ensayo con principio, medio y final, concatenando ideas de manera coherente?</t>
  </si>
  <si>
    <t>"Me preocupa mucho la algoritmización del pensamiento, que es la alteración de nuestra comprensión y relación con el mundo debido a la interacción con la IA", dice Machado Dias, de la Unifesp.</t>
  </si>
  <si>
    <t>"Creo que este será el cambio de mentalidad más grande en toda la historia moderna. Vale la pena señalar que el cerebro humano se ha ido reduciendo de tamaño lentamente, como resultado del desarrollo tecnológico, durante más de mil años, desde el punto de vista técnico-cultural, pero también más limitado desde un punto de vista neurocognitivo".</t>
  </si>
  <si>
    <t>Martha Gabriel, autora del libro "Inteligencia Artificial: del cero al metaverso" y docente de la Pontificia Universidad Católica de Rio Grande do Sul, afirma que será necesario adaptarse a los nuevos tiempos.</t>
  </si>
  <si>
    <t>"Lo que marca la diferencia en este contexto ya no son las respuestas, sino las preguntas. Hay que saber preguntar. Para saber preguntar hay que saber pensar críticamente", dice.</t>
  </si>
  <si>
    <t>Para Yuri Lima, investigador del Laboratorio del Futuro de la Universidad Federal de Río de Janeiro, "la propia enseñanza necesita adaptarse para estimular un aprendizaje que reconozca a los estudiantes como cyborgs cada vez más integrados con las nuevas tecnologías".</t>
  </si>
  <si>
    <t>"Esto exige que los docentes también sepan utilizar estas mismas tecnologías e integrarlas en sus actividades. Desde el momento en que los proyectos, actividades y tareas se vuelven más complejos e integrados al universo actual en el que viven los estudiantes, la motivación deja de verse afectada por esta cuestión tecnológica".</t>
  </si>
  <si>
    <t>Otro tema gira en torno al futuro de la creatividad humana y la producción de contenidos que no estén basados ​​en inteligencia artificial.</t>
  </si>
  <si>
    <t>Diez días después de la llegada del sistema OpenAI, un diseñador de San Francisco (EE.UU.) logró crear en tan solo un fin de semana un libro infantil con texto e ilustraciones realizado con ChatGPT y MidJourney, un programa que produce imágenes proporcionando descripciones.</t>
  </si>
  <si>
    <t>"Un punto importante aún por tratar es el tema del plagio. Dado que el entrenamiento de modelos como ChatGPT se basa en textos disponibles en internet como noticias, libros y blogs, sus respuestas pueden traer ideas publicadas por ciertas personas sin que reciban crédito por ello", dice Lima.</t>
  </si>
  <si>
    <t>"En áreas creativas, este reconocimiento a los autores se considera importante. Además, el desconocimiento de las fuentes dificulta reconocer sesgos o incluso mentiras, como en las noticias falsas".</t>
  </si>
  <si>
    <t>Machado Dias señala que "la creatividad surge de combinaciones que son a la vez inusuales y relevantes. Como los algoritmos son dispositivos para generar combinaciones, se espera que el impulso creativo se reduzca".</t>
  </si>
  <si>
    <t>"Por otro lado, a medida que los algoritmos realizan sus tareas, tienden a generar patrones que ni siquiera imaginamos posibles, expandiendo nuestra comprensión combinatoria, es decir, nuestra creatividad".</t>
  </si>
  <si>
    <t>Martha Gabriel va en una línea similar: "La tecnología puede ser una herramienta increíble para ampliar nuestro pensamiento, ya que podemos probar en poco tiempo innumerables hipótesis, formatos, soluciones para refinar nuestras hipótesis y mejorar nuestras preguntas".</t>
  </si>
  <si>
    <t>"Sin embargo, esto también puede ser una amenaza muy grande para quienes usan estos sistemas a ciegas, sin críticas ni cuestionamientos a la moral y la ética. Esto no es solo un riesgo individual, sino para toda la humanidad".</t>
  </si>
  <si>
    <t>Recuerda que puedes recibir notificaciones de BBC News Mundo. Descarga la última versión de nuestra app y actívalas para no perderte nuestro mejor contenido.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</si>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</sst>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98"/>
  <sheetViews>
    <sheetView tabSelected="1" topLeftCell="A5" workbookViewId="0">
      <selection activeCell="C28" sqref="C28"/>
    </sheetView>
  </sheetViews>
  <sheetFormatPr baseColWidth="10" defaultColWidth="14.5" defaultRowHeight="15" customHeight="1" x14ac:dyDescent="0.2"/>
  <cols>
    <col min="1" max="2" width="8.6640625" customWidth="1"/>
    <col min="3" max="3" width="45.6640625" customWidth="1"/>
    <col min="4" max="26" width="8.6640625" customWidth="1"/>
  </cols>
  <sheetData>
    <row r="1" spans="1:4" x14ac:dyDescent="0.2">
      <c r="A1" s="1">
        <v>1</v>
      </c>
      <c r="B1" s="1" t="str">
        <f ca="1">IFERROR(__xludf.DUMMYFUNCTION("GOOGLETRANSLATE(B2,""ES"",""EN"")"),"image copyrightGetty Images")</f>
        <v>image copyrightGetty Images</v>
      </c>
      <c r="C1" s="1" t="s">
        <v>0</v>
      </c>
      <c r="D1" s="1" t="s">
        <v>52</v>
      </c>
    </row>
    <row r="2" spans="1:4" x14ac:dyDescent="0.2">
      <c r="A2" s="1">
        <v>2</v>
      </c>
      <c r="B2" s="1" t="str">
        <f ca="1">IFERROR(__xludf.DUMMYFUNCTION("GOOGLETRANSLATE(B3,""ES"",""EN"")"),"On November 30, as the world entered the year-end spirit and had its eyes focused on the World Cup in Qatar, a program debuted that was soon considered a step forward in the advancement of artificial intelligence: ChatGPT.")</f>
        <v>On November 30, as the world entered the year-end spirit and had its eyes focused on the World Cup in Qatar, a program debuted that was soon considered a step forward in the advancement of artificial intelligence: ChatGPT.</v>
      </c>
      <c r="C2" s="1" t="s">
        <v>1</v>
      </c>
      <c r="D2" s="1" t="s">
        <v>52</v>
      </c>
    </row>
    <row r="3" spans="1:4" x14ac:dyDescent="0.2">
      <c r="A3" s="1">
        <v>3</v>
      </c>
      <c r="B3" s="1" t="str">
        <f ca="1">IFERROR(__xludf.DUMMYFUNCTION("GOOGLETRANSLATE(B4,""ES"",""EN"")"),"This new system can generate written content that is highly coherent and very similar to that created by humans.")</f>
        <v>This new system can generate written content that is highly coherent and very similar to that created by humans.</v>
      </c>
      <c r="C3" s="1" t="s">
        <v>2</v>
      </c>
      <c r="D3" s="1" t="s">
        <v>52</v>
      </c>
    </row>
    <row r="4" spans="1:4" x14ac:dyDescent="0.2">
      <c r="A4" s="1">
        <v>4</v>
      </c>
      <c r="B4" s="1" t="str">
        <f ca="1">IFERROR(__xludf.DUMMYFUNCTION("GOOGLETRANSLATE(B5,""ES"",""EN"")"),"Despite the errors and shortcomings that still exist, the capacity already demonstrated by the program, and its potential to improve in the long term, arouses not only admiration, but also fears.")</f>
        <v>Despite the errors and shortcomings that still exist, the capacity already demonstrated by the program, and its potential to improve in the long term, arouses not only admiration, but also fears.</v>
      </c>
      <c r="C4" s="1" t="s">
        <v>3</v>
      </c>
      <c r="D4" s="1" t="s">
        <v>52</v>
      </c>
    </row>
    <row r="5" spans="1:4" x14ac:dyDescent="0.2">
      <c r="A5" s="1">
        <v>5</v>
      </c>
      <c r="B5" s="1" t="str">
        <f ca="1">IFERROR(__xludf.DUMMYFUNCTION("GOOGLETRANSLATE(B6,""ES"",""EN"")"),"Just look at the number of reviews that associate ChatGPT with the word ""threat."" Many feel that the program seems too convincing by imitating human speech and foresee problems arising.")</f>
        <v>Just look at the number of reviews that associate ChatGPT with the word "threat." Many feel that the program seems too convincing by imitating human speech and foresee problems arising.</v>
      </c>
      <c r="C5" s="1" t="s">
        <v>4</v>
      </c>
      <c r="D5" s="1" t="s">
        <v>52</v>
      </c>
    </row>
    <row r="6" spans="1:4" x14ac:dyDescent="0.2">
      <c r="A6" s="1">
        <v>6</v>
      </c>
      <c r="B6" s="1" t="str">
        <f ca="1">IFERROR(__xludf.DUMMYFUNCTION("GOOGLETRANSLATE(B7,""ES"",""EN"")"),"These are questions about the possibility of a strong rupture in areas such as creativity, learning and education, work, digital security and democracy itself, as stated in a recent article in The New York Times.")</f>
        <v>These are questions about the possibility of a strong rupture in areas such as creativity, learning and education, work, digital security and democracy itself, as stated in a recent article in The New York Times.</v>
      </c>
      <c r="C6" s="1" t="s">
        <v>5</v>
      </c>
      <c r="D6" s="1" t="s">
        <v>52</v>
      </c>
    </row>
    <row r="7" spans="1:4" x14ac:dyDescent="0.2">
      <c r="A7" s="1">
        <v>7</v>
      </c>
      <c r="B7" s="1" t="str">
        <f ca="1">IFERROR(__xludf.DUMMYFUNCTION("GOOGLETRANSLATE(B8,""ES"",""EN"")"),"According to the authors, what was once a person expressing their opinion may now be just a robot artificially generating an argument.")</f>
        <v>According to the authors, what was once a person expressing their opinion may now be just a robot artificially generating an argument.</v>
      </c>
      <c r="C7" s="1" t="s">
        <v>6</v>
      </c>
      <c r="D7" s="1" t="s">
        <v>52</v>
      </c>
    </row>
    <row r="8" spans="1:4" x14ac:dyDescent="0.2">
      <c r="A8" s="1">
        <v>8</v>
      </c>
      <c r="B8" s="1" t="str">
        <f ca="1">IFERROR(__xludf.DUMMYFUNCTION("GOOGLETRANSLATE(B9,""ES"",""EN"")"),"image copyrightGetty Images")</f>
        <v>image copyrightGetty Images</v>
      </c>
      <c r="C8" s="1" t="s">
        <v>0</v>
      </c>
      <c r="D8" s="1" t="s">
        <v>52</v>
      </c>
    </row>
    <row r="9" spans="1:4" x14ac:dyDescent="0.2">
      <c r="A9" s="1">
        <v>9</v>
      </c>
      <c r="B9" s="1" t="str">
        <f ca="1">IFERROR(__xludf.DUMMYFUNCTION("GOOGLETRANSLATE(B10,""ES"",""EN"")"),"ChatGPT is basically a virtual robot (chatbot) that answers a variety of questions, performs written tasks, converses fluently, and even gives advice on personal problems (although note that it does not have this goal).")</f>
        <v>ChatGPT is basically a virtual robot (chatbot) that answers a variety of questions, performs written tasks, converses fluently, and even gives advice on personal problems (although note that it does not have this goal).</v>
      </c>
      <c r="C9" s="1" t="s">
        <v>7</v>
      </c>
      <c r="D9" s="1" t="s">
        <v>52</v>
      </c>
    </row>
    <row r="10" spans="1:4" x14ac:dyDescent="0.2">
      <c r="A10" s="1">
        <v>10</v>
      </c>
      <c r="B10" s="1" t="str">
        <f ca="1">IFERROR(__xludf.DUMMYFUNCTION("GOOGLETRANSLATE(B11,""ES"",""EN"")"),"Its possibilities for generating content are immense.")</f>
        <v>Its possibilities for generating content are immense.</v>
      </c>
      <c r="C10" s="1" t="s">
        <v>8</v>
      </c>
      <c r="D10" s="1" t="s">
        <v>52</v>
      </c>
    </row>
    <row r="11" spans="1:4" x14ac:dyDescent="0.2">
      <c r="A11" s="1">
        <v>11</v>
      </c>
      <c r="B11" s="1" t="str">
        <f ca="1">IFERROR(__xludf.DUMMYFUNCTION("GOOGLETRANSLATE(B12,""ES"",""EN"")"),"It can, for example, teach you how to prepare a stroganoff—and with a different twist on the recipe, if you specify—, give you advice on getting a job, writing poetry, academic papers, and also writing a letter of reconciliation for a friend you know abou"&amp;"t. you have distanced")</f>
        <v>It can, for example, teach you how to prepare a stroganoff—and with a different twist on the recipe, if you specify—, give you advice on getting a job, writing poetry, academic papers, and also writing a letter of reconciliation for a friend you know about. you have distanced</v>
      </c>
      <c r="C11" s="1" t="s">
        <v>9</v>
      </c>
      <c r="D11" s="1" t="s">
        <v>52</v>
      </c>
    </row>
    <row r="12" spans="1:4" x14ac:dyDescent="0.2">
      <c r="A12" s="1">
        <v>12</v>
      </c>
      <c r="B12" s="1" t="str">
        <f ca="1">IFERROR(__xludf.DUMMYFUNCTION("GOOGLETRANSLATE(B13,""ES"",""EN"")"),"ChatGPT responds in a matter of seconds to a random request about how to ""write a poem about artificial intelligence in the style of Carlos Drummond de Andrade""; The quality of the result, depending on who criticizes it, may be debatable.")</f>
        <v>ChatGPT responds in a matter of seconds to a random request about how to "write a poem about artificial intelligence in the style of Carlos Drummond de Andrade"; The quality of the result, depending on who criticizes it, may be debatable.</v>
      </c>
      <c r="C12" s="1" t="s">
        <v>10</v>
      </c>
      <c r="D12" s="1" t="s">
        <v>52</v>
      </c>
    </row>
    <row r="13" spans="1:4" x14ac:dyDescent="0.2">
      <c r="A13" s="1">
        <v>13</v>
      </c>
      <c r="B13" s="1" t="str">
        <f ca="1">IFERROR(__xludf.DUMMYFUNCTION("GOOGLETRANSLATE(B14,""ES"",""EN"")"),"According to SEO.ai testing, ChatGPT is available in almost 100 languages, but the model's performance varies by language (it works best in English).")</f>
        <v>According to SEO.ai testing, ChatGPT is available in almost 100 languages, but the model's performance varies by language (it works best in English).</v>
      </c>
      <c r="C13" s="1" t="s">
        <v>11</v>
      </c>
      <c r="D13" s="1" t="s">
        <v>52</v>
      </c>
    </row>
    <row r="14" spans="1:4" x14ac:dyDescent="0.2">
      <c r="A14" s="1">
        <v>14</v>
      </c>
      <c r="B14" s="1" t="str">
        <f ca="1">IFERROR(__xludf.DUMMYFUNCTION("GOOGLETRANSLATE(B15,""ES"",""EN"")"),"The system was developed by OpenAI, a company founded in 2015 in the US by Sam Altman (today its main figure) and by the omnipresent Elon Musk (who left it in 2018 because he considered that there was a conflict of interest with his main company, Tesla).")</f>
        <v>The system was developed by OpenAI, a company founded in 2015 in the US by Sam Altman (today its main figure) and by the omnipresent Elon Musk (who left it in 2018 because he considered that there was a conflict of interest with his main company, Tesla).</v>
      </c>
      <c r="C14" s="1" t="s">
        <v>12</v>
      </c>
      <c r="D14" s="1" t="s">
        <v>52</v>
      </c>
    </row>
    <row r="15" spans="1:4" x14ac:dyDescent="0.2">
      <c r="A15" s="1">
        <v>15</v>
      </c>
      <c r="B15" s="1" t="str">
        <f ca="1">IFERROR(__xludf.DUMMYFUNCTION("GOOGLETRANSLATE(B16,""ES"",""EN"")"),"image copyrightGetty Images")</f>
        <v>image copyrightGetty Images</v>
      </c>
      <c r="C15" s="1" t="s">
        <v>0</v>
      </c>
      <c r="D15" s="1" t="s">
        <v>52</v>
      </c>
    </row>
    <row r="16" spans="1:4" x14ac:dyDescent="0.2">
      <c r="A16" s="1">
        <v>16</v>
      </c>
      <c r="B16" s="1" t="str">
        <f ca="1">IFERROR(__xludf.DUMMYFUNCTION("GOOGLETRANSLATE(B17,""ES"",""EN"")"),"Five days after its launch, ChatGPT reached over 1 million users (who, ironically, have to be human; you have to prove you're not a robot when you log in). These interactions are being used to train and develop the model.")</f>
        <v>Five days after its launch, ChatGPT reached over 1 million users (who, ironically, have to be human; you have to prove you're not a robot when you log in). These interactions are being used to train and develop the model.</v>
      </c>
      <c r="C16" s="1" t="s">
        <v>13</v>
      </c>
      <c r="D16" s="1" t="s">
        <v>52</v>
      </c>
    </row>
    <row r="17" spans="1:4" x14ac:dyDescent="0.2">
      <c r="A17" s="1">
        <v>17</v>
      </c>
      <c r="B17" s="1" t="str">
        <f ca="1">IFERROR(__xludf.DUMMYFUNCTION("GOOGLETRANSLATE(B18,""ES"",""EN"")"),"OpenAI says that use will be free and open to everyone during this ""testing and research"" stage, leading experts to speculate on future types of monetization for the tool.")</f>
        <v>OpenAI says that use will be free and open to everyone during this "testing and research" stage, leading experts to speculate on future types of monetization for the tool.</v>
      </c>
      <c r="C17" s="1" t="s">
        <v>14</v>
      </c>
      <c r="D17" s="1" t="s">
        <v>52</v>
      </c>
    </row>
    <row r="18" spans="1:4" x14ac:dyDescent="0.2">
      <c r="A18" s="1">
        <v>18</v>
      </c>
      <c r="B18" s="1" t="str">
        <f ca="1">IFERROR(__xludf.DUMMYFUNCTION("GOOGLETRANSLATE(B19,""ES"",""EN"")"),"The company also warns that, in that period, the software ""may occasionally generate incorrect or misleading information"" and that its data history is limited to 2021.")</f>
        <v>The company also warns that, in that period, the software "may occasionally generate incorrect or misleading information" and that its data history is limited to 2021.</v>
      </c>
      <c r="C18" s="1" t="s">
        <v>15</v>
      </c>
      <c r="D18" s="1" t="s">
        <v>52</v>
      </c>
    </row>
    <row r="19" spans="1:4" x14ac:dyDescent="0.2">
      <c r="A19" s="1">
        <v>19</v>
      </c>
      <c r="B19" s="1" t="str">
        <f ca="1">IFERROR(__xludf.DUMMYFUNCTION("GOOGLETRANSLATE(B20,""ES"",""EN"")"),"Despite being pointed out as a possible threat to Google's hegemony as a facilitator of information on the Internet, the system still makes serious errors, such as saying that Brazil has won at least five Oscars (in fact, the country has never won a statu"&amp;"ette ).")</f>
        <v>Despite being pointed out as a possible threat to Google's hegemony as a facilitator of information on the Internet, the system still makes serious errors, such as saying that Brazil has won at least five Oscars (in fact, the country has never won a statuette ).</v>
      </c>
      <c r="C19" s="1" t="s">
        <v>16</v>
      </c>
      <c r="D19" s="1" t="s">
        <v>52</v>
      </c>
    </row>
    <row r="20" spans="1:4" ht="15.75" customHeight="1" x14ac:dyDescent="0.2">
      <c r="A20" s="1">
        <v>20</v>
      </c>
      <c r="B20" s="1" t="str">
        <f ca="1">IFERROR(__xludf.DUMMYFUNCTION("GOOGLETRANSLATE(B21,""ES"",""EN"")"),"image copyrightSteve Jennings")</f>
        <v>image copyrightSteve Jennings</v>
      </c>
      <c r="C20" s="1" t="s">
        <v>17</v>
      </c>
      <c r="D20" s="1" t="s">
        <v>52</v>
      </c>
    </row>
    <row r="21" spans="1:4" ht="15.75" customHeight="1" x14ac:dyDescent="0.2">
      <c r="A21" s="1">
        <v>21</v>
      </c>
      <c r="B21" s="1" t="str">
        <f ca="1">IFERROR(__xludf.DUMMYFUNCTION("GOOGLETRANSLATE(B22,""ES"",""EN"")"),"Powerful text-based AI programs work by storing gigantic amounts of data (with an emphasis on words and conversations in this case) and using algorithms to predict the best formulation of a sentence.")</f>
        <v>Powerful text-based AI programs work by storing gigantic amounts of data (with an emphasis on words and conversations in this case) and using algorithms to predict the best formulation of a sentence.</v>
      </c>
      <c r="C21" s="1" t="s">
        <v>18</v>
      </c>
      <c r="D21" s="1" t="s">
        <v>52</v>
      </c>
    </row>
    <row r="22" spans="1:4" ht="15.75" customHeight="1" x14ac:dyDescent="0.2">
      <c r="A22" s="1">
        <v>22</v>
      </c>
      <c r="B22" s="1" t="str">
        <f ca="1">IFERROR(__xludf.DUMMYFUNCTION("GOOGLETRANSLATE(B23,""ES"",""EN"")"),"These are called large language models (LLM).")</f>
        <v>These are called large language models (LLM).</v>
      </c>
      <c r="C22" s="1" t="s">
        <v>19</v>
      </c>
      <c r="D22" s="1" t="s">
        <v>52</v>
      </c>
    </row>
    <row r="23" spans="1:4" ht="15.75" customHeight="1" x14ac:dyDescent="0.2">
      <c r="A23" s="1">
        <v>23</v>
      </c>
      <c r="B23" s="1" t="str">
        <f ca="1">IFERROR(__xludf.DUMMYFUNCTION("GOOGLETRANSLATE(B24,""ES"",""EN"")"),"Unifesp professor Álvaro Machado Dias, a neuroscientist, explains that during software training, the chatbot is asked questions such as ""what is a cylinder?"" and the technicians prepare their own answers.")</f>
        <v>Unifesp professor Álvaro Machado Dias, a neuroscientist, explains that during software training, the chatbot is asked questions such as "what is a cylinder?" and the technicians prepare their own answers.</v>
      </c>
      <c r="C23" s="1" t="s">
        <v>20</v>
      </c>
      <c r="D23" s="1" t="s">
        <v>52</v>
      </c>
    </row>
    <row r="24" spans="1:4" ht="15.75" customHeight="1" x14ac:dyDescent="0.2">
      <c r="A24" s="1">
        <v>24</v>
      </c>
      <c r="B24" s="1" t="str">
        <f ca="1">IFERROR(__xludf.DUMMYFUNCTION("GOOGLETRANSLATE(B25,""ES"",""EN"")"),"""If the chatbot's response is invalid, the correct ones are inserted into the system to teach it. This is passed on to other situations automatically.""")</f>
        <v>"If the chatbot's response is invalid, the correct ones are inserted into the system to teach it. This is passed on to other situations automatically."</v>
      </c>
      <c r="C24" s="1" t="s">
        <v>21</v>
      </c>
      <c r="D24" s="1" t="s">
        <v>52</v>
      </c>
    </row>
    <row r="25" spans="1:4" ht="15.75" customHeight="1" x14ac:dyDescent="0.2">
      <c r="A25" s="1">
        <v>25</v>
      </c>
      <c r="B25" s="1" t="str">
        <f ca="1">IFERROR(__xludf.DUMMYFUNCTION("GOOGLETRANSLATE(B26,""ES"",""EN"")"),"Despite already using a modality that manages to understand the context of the use of words, allowing texts to be better concatenated, previous programs did not respond as well to the user or still sounded very artificial.")</f>
        <v>Despite already using a modality that manages to understand the context of the use of words, allowing texts to be better concatenated, previous programs did not respond as well to the user or still sounded very artificial.</v>
      </c>
      <c r="C25" s="1" t="s">
        <v>22</v>
      </c>
      <c r="D25" s="1" t="s">
        <v>52</v>
      </c>
    </row>
    <row r="26" spans="1:4" ht="15.75" customHeight="1" x14ac:dyDescent="0.2">
      <c r="A26" s="1">
        <v>26</v>
      </c>
      <c r="B26" s="1" t="str">
        <f ca="1">IFERROR(__xludf.DUMMYFUNCTION("GOOGLETRANSLATE(B27,""ES"",""EN"")"),"ChatGPT learned to speak in a way that is closer to a human.")</f>
        <v>ChatGPT learned to speak in a way that is closer to a human.</v>
      </c>
      <c r="C26" s="1" t="s">
        <v>23</v>
      </c>
      <c r="D26" s="1" t="s">
        <v>52</v>
      </c>
    </row>
    <row r="27" spans="1:4" ht="15.75" customHeight="1" x14ac:dyDescent="0.2">
      <c r="A27" s="1">
        <v>27</v>
      </c>
      <c r="B27" s="1" t="str">
        <f ca="1">IFERROR(__xludf.DUMMYFUNCTION("GOOGLETRANSLATE(B28,""ES"",""EN"")"),"Machado Dias says that what sets this program apart is the use of a technique that understands how language works: reinforcement learning through human feedback (RLHF).")</f>
        <v>Machado Dias says that what sets this program apart is the use of a technique that understands how language works: reinforcement learning through human feedback (RLHF).</v>
      </c>
      <c r="C27" s="1" t="s">
        <v>24</v>
      </c>
      <c r="D27" s="1" t="s">
        <v>52</v>
      </c>
    </row>
    <row r="28" spans="1:4" ht="15.75" customHeight="1" x14ac:dyDescent="0.2">
      <c r="A28" s="1">
        <v>28</v>
      </c>
      <c r="B28" s="1" t="str">
        <f ca="1">IFERROR(__xludf.DUMMYFUNCTION("GOOGLETRANSLATE(B29,""ES"",""EN"")"),"Engineers apply “reward” and “punishment” methods to teach the system the most desirable forms of interaction. It's a fine-tuning process.")</f>
        <v>Engineers apply “reward” and “punishment” methods to teach the system the most desirable forms of interaction. It's a fine-tuning process.</v>
      </c>
      <c r="C28" s="1" t="s">
        <v>25</v>
      </c>
      <c r="D28" s="1" t="s">
        <v>52</v>
      </c>
    </row>
    <row r="29" spans="1:4" ht="15.75" customHeight="1" x14ac:dyDescent="0.2">
      <c r="A29" s="1">
        <v>29</v>
      </c>
      <c r="B29" s="1" t="str">
        <f ca="1">IFERROR(__xludf.DUMMYFUNCTION("GOOGLETRANSLATE(B30,""ES"",""EN"")"),"image copyrightGetty Images")</f>
        <v>image copyrightGetty Images</v>
      </c>
      <c r="C29" s="1" t="s">
        <v>0</v>
      </c>
      <c r="D29" s="1" t="s">
        <v>52</v>
      </c>
    </row>
    <row r="30" spans="1:4" ht="15.75" customHeight="1" x14ac:dyDescent="0.2">
      <c r="A30" s="1">
        <v>30</v>
      </c>
      <c r="B30" s="1" t="str">
        <f ca="1">IFERROR(__xludf.DUMMYFUNCTION("GOOGLETRANSLATE(B31,""ES"",""EN"")"),"""In practice, engineers sort the answers given by the algorithm according to their relevance and encourage the program to learn the preferences listed in the sorting to increase the relevance of textual productions. The result is given in the form of tex"&amp;"ts that appear deeper and more significant than those of the alternatives,"" says the Unifesp professor.")</f>
        <v>"In practice, engineers sort the answers given by the algorithm according to their relevance and encourage the program to learn the preferences listed in the sorting to increase the relevance of textual productions. The result is given in the form of texts that appear deeper and more significant than those of the alternatives," says the Unifesp professor.</v>
      </c>
      <c r="C30" s="1" t="s">
        <v>26</v>
      </c>
      <c r="D30" s="1" t="s">
        <v>52</v>
      </c>
    </row>
    <row r="31" spans="1:4" ht="15.75" customHeight="1" x14ac:dyDescent="0.2">
      <c r="A31" s="1">
        <v>31</v>
      </c>
      <c r="B31" s="1" t="str">
        <f ca="1">IFERROR(__xludf.DUMMYFUNCTION("GOOGLETRANSLATE(B32,""ES"",""EN"")"),"ChatGPT has also been trained to admit mistakes, challenge incorrect assumptions, and reject inappropriate requests.")</f>
        <v>ChatGPT has also been trained to admit mistakes, challenge incorrect assumptions, and reject inappropriate requests.</v>
      </c>
      <c r="C31" s="1" t="s">
        <v>27</v>
      </c>
      <c r="D31" s="1" t="s">
        <v>52</v>
      </c>
    </row>
    <row r="32" spans="1:4" ht="15.75" customHeight="1" x14ac:dyDescent="0.2">
      <c r="A32" s="1">
        <v>32</v>
      </c>
      <c r="B32" s="1" t="str">
        <f ca="1">IFERROR(__xludf.DUMMYFUNCTION("GOOGLETRANSLATE(B33,""ES"",""EN"")"),"But a professor at the University of California managed to get the system to write programming code to say that only white or Asian men are good scientists.")</f>
        <v>But a professor at the University of California managed to get the system to write programming code to say that only white or Asian men are good scientists.</v>
      </c>
      <c r="C32" s="1" t="s">
        <v>28</v>
      </c>
      <c r="D32" s="1" t="s">
        <v>52</v>
      </c>
    </row>
    <row r="33" spans="1:4" ht="15.75" customHeight="1" x14ac:dyDescent="0.2">
      <c r="A33" s="1">
        <v>33</v>
      </c>
      <c r="B33" s="1" t="str">
        <f ca="1">IFERROR(__xludf.DUMMYFUNCTION("GOOGLETRANSLATE(B34,""ES"",""EN"")"),"OpenAI states that although it has made efforts in this regard, the program ""will sometimes respond to problematic instructions or exhibit biased behavior.""")</f>
        <v>OpenAI states that although it has made efforts in this regard, the program "will sometimes respond to problematic instructions or exhibit biased behavior."</v>
      </c>
      <c r="C33" s="1" t="s">
        <v>29</v>
      </c>
      <c r="D33" s="1" t="s">
        <v>52</v>
      </c>
    </row>
    <row r="34" spans="1:4" ht="15.75" customHeight="1" x14ac:dyDescent="0.2">
      <c r="A34" s="1">
        <v>34</v>
      </c>
      <c r="B34" s="1" t="str">
        <f ca="1">IFERROR(__xludf.DUMMYFUNCTION("GOOGLETRANSLATE(B35,""ES"",""EN"")"),"According to the company, the data collected in this testing stage will be used to improve the system.")</f>
        <v>According to the company, the data collected in this testing stage will be used to improve the system.</v>
      </c>
      <c r="C34" s="1" t="s">
        <v>30</v>
      </c>
      <c r="D34" s="1" t="s">
        <v>52</v>
      </c>
    </row>
    <row r="35" spans="1:4" ht="15.75" customHeight="1" x14ac:dyDescent="0.2">
      <c r="A35" s="1">
        <v>35</v>
      </c>
      <c r="B35" s="1" t="str">
        <f ca="1">IFERROR(__xludf.DUMMYFUNCTION("GOOGLETRANSLATE(B36,""ES"",""EN"")"),"The threat of change or disruption already looms over work and employment. Fields that rely on text, like journalism, could be greatly altered, and vacancies could disappear forever.")</f>
        <v>The threat of change or disruption already looms over work and employment. Fields that rely on text, like journalism, could be greatly altered, and vacancies could disappear forever.</v>
      </c>
      <c r="C35" s="1" t="s">
        <v>31</v>
      </c>
      <c r="D35" s="1" t="s">
        <v>52</v>
      </c>
    </row>
    <row r="36" spans="1:4" ht="15.75" customHeight="1" x14ac:dyDescent="0.2">
      <c r="A36" s="1">
        <v>36</v>
      </c>
      <c r="B36" s="1" t="str">
        <f ca="1">IFERROR(__xludf.DUMMYFUNCTION("GOOGLETRANSLATE(B37,""ES"",""EN"")"),"ChatGPT's proficiency in code generation is also raising questions in a relatively new sector: programming.")</f>
        <v>ChatGPT's proficiency in code generation is also raising questions in a relatively new sector: programming.</v>
      </c>
      <c r="C36" s="1" t="s">
        <v>32</v>
      </c>
      <c r="D36" s="1" t="s">
        <v>52</v>
      </c>
    </row>
    <row r="37" spans="1:4" ht="15.75" customHeight="1" x14ac:dyDescent="0.2">
      <c r="A37" s="1">
        <v>37</v>
      </c>
      <c r="B37" s="1" t="str">
        <f ca="1">IFERROR(__xludf.DUMMYFUNCTION("GOOGLETRANSLATE(B38,""ES"",""EN"")"),"But one of the areas that has been realizing the possible problems of ChatGPT is precisely one of the most affected by the arrival of new technologies: education.")</f>
        <v>But one of the areas that has been realizing the possible problems of ChatGPT is precisely one of the most affected by the arrival of new technologies: education.</v>
      </c>
      <c r="C37" s="1" t="s">
        <v>33</v>
      </c>
      <c r="D37" s="1" t="s">
        <v>52</v>
      </c>
    </row>
    <row r="38" spans="1:4" ht="15.75" customHeight="1" x14ac:dyDescent="0.2">
      <c r="A38" s="1">
        <v>38</v>
      </c>
      <c r="B38" s="1" t="str">
        <f ca="1">IFERROR(__xludf.DUMMYFUNCTION("GOOGLETRANSLATE(B39,""ES"",""EN"")"),"image copyrightGetty Images")</f>
        <v>image copyrightGetty Images</v>
      </c>
      <c r="C38" s="1" t="s">
        <v>0</v>
      </c>
      <c r="D38" s="1" t="s">
        <v>52</v>
      </c>
    </row>
    <row r="39" spans="1:4" ht="15.75" customHeight="1" x14ac:dyDescent="0.2">
      <c r="A39" s="1">
        <v>39</v>
      </c>
      <c r="B39" s="1" t="str">
        <f ca="1">IFERROR(__xludf.DUMMYFUNCTION("GOOGLETRANSLATE(B40,""ES"",""EN"")"),"The temptation among students to use the program to find ready-made answers to their assignments led New York to make a quick decision: just a month after its debut, the system was banned from schools and public devices in the American city.")</f>
        <v>The temptation among students to use the program to find ready-made answers to their assignments led New York to make a quick decision: just a month after its debut, the system was banned from schools and public devices in the American city.</v>
      </c>
      <c r="C39" s="1" t="s">
        <v>34</v>
      </c>
      <c r="D39" s="1" t="s">
        <v>52</v>
      </c>
    </row>
    <row r="40" spans="1:4" ht="15.75" customHeight="1" x14ac:dyDescent="0.2">
      <c r="A40" s="1">
        <v>40</v>
      </c>
      <c r="B40" s="1" t="str">
        <f ca="1">IFERROR(__xludf.DUMMYFUNCTION("GOOGLETRANSLATE(B41,""ES"",""EN"")"),"OpenAI has been working on some sort of marking to identify that content originated from ChatGPT. There are already algorithms that calculate quite accurately the probability that a chatbot has made a text.")</f>
        <v>OpenAI has been working on some sort of marking to identify that content originated from ChatGPT. There are already algorithms that calculate quite accurately the probability that a chatbot has made a text.</v>
      </c>
      <c r="C40" s="1" t="s">
        <v>35</v>
      </c>
      <c r="D40" s="1" t="s">
        <v>52</v>
      </c>
    </row>
    <row r="41" spans="1:4" ht="15.75" customHeight="1" x14ac:dyDescent="0.2">
      <c r="A41" s="1">
        <v>41</v>
      </c>
      <c r="B41" s="1" t="str">
        <f ca="1">IFERROR(__xludf.DUMMYFUNCTION("GOOGLETRANSLATE(B42,""ES"",""EN"")"),"In addition to “copy and paste,” there is fear of structural impacts on human learning. For example, will the cognitive exercise of writing an essay with a beginning, middle and end, concatenating ideas coherently, be affected?")</f>
        <v>In addition to “copy and paste,” there is fear of structural impacts on human learning. For example, will the cognitive exercise of writing an essay with a beginning, middle and end, concatenating ideas coherently, be affected?</v>
      </c>
      <c r="C41" s="1" t="s">
        <v>36</v>
      </c>
      <c r="D41" s="1" t="s">
        <v>52</v>
      </c>
    </row>
    <row r="42" spans="1:4" ht="15.75" customHeight="1" x14ac:dyDescent="0.2">
      <c r="A42" s="1">
        <v>42</v>
      </c>
      <c r="B42" s="1" t="str">
        <f ca="1">IFERROR(__xludf.DUMMYFUNCTION("GOOGLETRANSLATE(B43,""ES"",""EN"")"),"""I am very concerned about the algorithmization of thought, which is the alteration of our understanding and relationship with the world due to interaction with AI,"" says Machado Dias of Unifesp.")</f>
        <v>"I am very concerned about the algorithmization of thought, which is the alteration of our understanding and relationship with the world due to interaction with AI," says Machado Dias of Unifesp.</v>
      </c>
      <c r="C42" s="1" t="s">
        <v>37</v>
      </c>
      <c r="D42" s="1" t="s">
        <v>52</v>
      </c>
    </row>
    <row r="43" spans="1:4" ht="15.75" customHeight="1" x14ac:dyDescent="0.2">
      <c r="A43" s="1">
        <v>43</v>
      </c>
      <c r="B43" s="1" t="str">
        <f ca="1">IFERROR(__xludf.DUMMYFUNCTION("GOOGLETRANSLATE(B44,""ES"",""EN"")"),"""I think this will be the biggest change in mentality in all of modern history. It is worth noting that the human brain has been slowly shrinking in size, as a result of technological development, for more than a thousand years, from the point of view te"&amp;"chnical-cultural, but also more limited from a neurocognitive point of view.""")</f>
        <v>"I think this will be the biggest change in mentality in all of modern history. It is worth noting that the human brain has been slowly shrinking in size, as a result of technological development, for more than a thousand years, from the point of view technical-cultural, but also more limited from a neurocognitive point of view."</v>
      </c>
      <c r="C43" s="1" t="s">
        <v>38</v>
      </c>
      <c r="D43" s="1" t="s">
        <v>52</v>
      </c>
    </row>
    <row r="44" spans="1:4" ht="15.75" customHeight="1" x14ac:dyDescent="0.2">
      <c r="A44" s="1">
        <v>44</v>
      </c>
      <c r="B44" s="1" t="str">
        <f ca="1">IFERROR(__xludf.DUMMYFUNCTION("GOOGLETRANSLATE(B45,""ES"",""EN"")"),"Martha Gabriel, author of the book ""Artificial Intelligence: from zero to the metaverse"" and professor at the Pontifical Catholic University of Rio Grande do Sul, affirms that it will be necessary to adapt to new times.")</f>
        <v>Martha Gabriel, author of the book "Artificial Intelligence: from zero to the metaverse" and professor at the Pontifical Catholic University of Rio Grande do Sul, affirms that it will be necessary to adapt to new times.</v>
      </c>
      <c r="C44" s="1" t="s">
        <v>39</v>
      </c>
      <c r="D44" s="1" t="s">
        <v>52</v>
      </c>
    </row>
    <row r="45" spans="1:4" ht="15.75" customHeight="1" x14ac:dyDescent="0.2">
      <c r="A45" s="1">
        <v>45</v>
      </c>
      <c r="B45" s="1" t="str">
        <f ca="1">IFERROR(__xludf.DUMMYFUNCTION("GOOGLETRANSLATE(B46,""ES"",""EN"")"),"""What makes the difference in this context are no longer the answers, but the questions. You have to know how to ask. To know how to ask, you have to know how to think critically,"" he says.")</f>
        <v>"What makes the difference in this context are no longer the answers, but the questions. You have to know how to ask. To know how to ask, you have to know how to think critically," he says.</v>
      </c>
      <c r="C45" s="1" t="s">
        <v>40</v>
      </c>
      <c r="D45" s="1" t="s">
        <v>52</v>
      </c>
    </row>
    <row r="46" spans="1:4" ht="15.75" customHeight="1" x14ac:dyDescent="0.2">
      <c r="A46" s="1">
        <v>46</v>
      </c>
      <c r="B46" s="1" t="str">
        <f ca="1">IFERROR(__xludf.DUMMYFUNCTION("GOOGLETRANSLATE(B47,""ES"",""EN"")"),"For Yuri Lima, researcher at the Laboratory of the Future at the Federal University of Rio de Janeiro, ""teaching itself needs to adapt to stimulate learning that recognizes students as cyborgs increasingly integrated with new technologies.""")</f>
        <v>For Yuri Lima, researcher at the Laboratory of the Future at the Federal University of Rio de Janeiro, "teaching itself needs to adapt to stimulate learning that recognizes students as cyborgs increasingly integrated with new technologies."</v>
      </c>
      <c r="C46" s="1" t="s">
        <v>41</v>
      </c>
      <c r="D46" s="1" t="s">
        <v>52</v>
      </c>
    </row>
    <row r="47" spans="1:4" ht="15.75" customHeight="1" x14ac:dyDescent="0.2">
      <c r="A47" s="1">
        <v>47</v>
      </c>
      <c r="B47" s="1" t="str">
        <f ca="1">IFERROR(__xludf.DUMMYFUNCTION("GOOGLETRANSLATE(B48,""ES"",""EN"")"),"image copyrightGetty Images")</f>
        <v>image copyrightGetty Images</v>
      </c>
      <c r="C47" s="1" t="s">
        <v>0</v>
      </c>
      <c r="D47" s="1" t="s">
        <v>52</v>
      </c>
    </row>
    <row r="48" spans="1:4" ht="15.75" customHeight="1" x14ac:dyDescent="0.2">
      <c r="A48" s="1">
        <v>48</v>
      </c>
      <c r="B48" s="1" t="str">
        <f ca="1">IFERROR(__xludf.DUMMYFUNCTION("GOOGLETRANSLATE(B49,""ES"",""EN"")"),"""This requires that teachers also know how to use these same technologies and integrate them into their activities. From the moment projects, activities and tasks become more complex and integrated into the current universe in which students live, motiva"&amp;"tion is no longer seen affected by this technological issue"".")</f>
        <v>"This requires that teachers also know how to use these same technologies and integrate them into their activities. From the moment projects, activities and tasks become more complex and integrated into the current universe in which students live, motivation is no longer seen affected by this technological issue".</v>
      </c>
      <c r="C48" s="1" t="s">
        <v>42</v>
      </c>
      <c r="D48" s="1" t="s">
        <v>52</v>
      </c>
    </row>
    <row r="49" spans="1:4" ht="15.75" customHeight="1" x14ac:dyDescent="0.2">
      <c r="A49" s="1">
        <v>49</v>
      </c>
      <c r="B49" s="1" t="str">
        <f ca="1">IFERROR(__xludf.DUMMYFUNCTION("GOOGLETRANSLATE(B50,""ES"",""EN"")"),"Another topic revolves around the future of human creativity and the production of content that is not based on artificial intelligence.")</f>
        <v>Another topic revolves around the future of human creativity and the production of content that is not based on artificial intelligence.</v>
      </c>
      <c r="C49" s="1" t="s">
        <v>43</v>
      </c>
      <c r="D49" s="1" t="s">
        <v>52</v>
      </c>
    </row>
    <row r="50" spans="1:4" ht="15.75" customHeight="1" x14ac:dyDescent="0.2">
      <c r="A50" s="1">
        <v>50</v>
      </c>
      <c r="B50" s="1" t="str">
        <f ca="1">IFERROR(__xludf.DUMMYFUNCTION("GOOGLETRANSLATE(B51,""ES"",""EN"")"),"Ten days after the arrival of the OpenAI system, a designer from San Francisco (USA) managed to create in just one weekend a children's book with text and illustrations made with ChatGPT and MidJourney, a program that produces images providing description"&amp;"s. .")</f>
        <v>Ten days after the arrival of the OpenAI system, a designer from San Francisco (USA) managed to create in just one weekend a children's book with text and illustrations made with ChatGPT and MidJourney, a program that produces images providing descriptions. .</v>
      </c>
      <c r="C50" s="1" t="s">
        <v>44</v>
      </c>
      <c r="D50" s="1" t="s">
        <v>52</v>
      </c>
    </row>
    <row r="51" spans="1:4" ht="15.75" customHeight="1" x14ac:dyDescent="0.2">
      <c r="A51" s="1">
        <v>51</v>
      </c>
      <c r="B51" s="1" t="str">
        <f ca="1">IFERROR(__xludf.DUMMYFUNCTION("GOOGLETRANSLATE(B52,""ES"",""EN"")"),"""An important point still to be addressed is the issue of plagiarism. Since the training of models like ChatGPT is based on texts available on the Internet such as news, books and blogs, their answers can bring ideas published by certain people without t"&amp;"hem receiving credit for it. ""Lima says.")</f>
        <v>"An important point still to be addressed is the issue of plagiarism. Since the training of models like ChatGPT is based on texts available on the Internet such as news, books and blogs, their answers can bring ideas published by certain people without them receiving credit for it. "Lima says.</v>
      </c>
      <c r="C51" s="1" t="s">
        <v>45</v>
      </c>
      <c r="D51" s="1" t="s">
        <v>52</v>
      </c>
    </row>
    <row r="52" spans="1:4" ht="15.75" customHeight="1" x14ac:dyDescent="0.2">
      <c r="A52" s="1">
        <v>52</v>
      </c>
      <c r="B52" s="1" t="str">
        <f ca="1">IFERROR(__xludf.DUMMYFUNCTION("GOOGLETRANSLATE(B53,""ES"",""EN"")"),"""In creative areas, this recognition of authors is considered important. Furthermore, ignorance of sources makes it difficult to recognize bias or even lies, as in fake news.""")</f>
        <v>"In creative areas, this recognition of authors is considered important. Furthermore, ignorance of sources makes it difficult to recognize bias or even lies, as in fake news."</v>
      </c>
      <c r="C52" s="1" t="s">
        <v>46</v>
      </c>
      <c r="D52" s="1" t="s">
        <v>52</v>
      </c>
    </row>
    <row r="53" spans="1:4" ht="15.75" customHeight="1" x14ac:dyDescent="0.2">
      <c r="A53" s="1">
        <v>53</v>
      </c>
      <c r="B53" s="1" t="str">
        <f ca="1">IFERROR(__xludf.DUMMYFUNCTION("GOOGLETRANSLATE(B54,""ES"",""EN"")"),"Machado Dias notes that ""creativity arises from combinations that are both unusual and relevant. As algorithms are devices for generating combinations, the creative impulse is expected to be reduced.""")</f>
        <v>Machado Dias notes that "creativity arises from combinations that are both unusual and relevant. As algorithms are devices for generating combinations, the creative impulse is expected to be reduced."</v>
      </c>
      <c r="C53" s="1" t="s">
        <v>47</v>
      </c>
      <c r="D53" s="1" t="s">
        <v>52</v>
      </c>
    </row>
    <row r="54" spans="1:4" ht="15.75" customHeight="1" x14ac:dyDescent="0.2">
      <c r="A54" s="1">
        <v>54</v>
      </c>
      <c r="B54" s="1" t="str">
        <f ca="1">IFERROR(__xludf.DUMMYFUNCTION("GOOGLETRANSLATE(B55,""ES"",""EN"")"),"""On the other hand, as algorithms perform their tasks, they tend to generate patterns that we did not even imagine possible, expanding our combinatorial understanding, that is, our creativity.""")</f>
        <v>"On the other hand, as algorithms perform their tasks, they tend to generate patterns that we did not even imagine possible, expanding our combinatorial understanding, that is, our creativity."</v>
      </c>
      <c r="C54" s="1" t="s">
        <v>48</v>
      </c>
      <c r="D54" s="1" t="s">
        <v>52</v>
      </c>
    </row>
    <row r="55" spans="1:4" ht="15.75" customHeight="1" x14ac:dyDescent="0.2">
      <c r="A55" s="1">
        <v>55</v>
      </c>
      <c r="B55" s="1" t="str">
        <f ca="1">IFERROR(__xludf.DUMMYFUNCTION("GOOGLETRANSLATE(B56,""ES"",""EN"")"),"Martha Gabriel goes along a similar line: ""Technology can be an incredible tool to expand our thinking, since we can test in a short time countless hypotheses, formats, solutions to refine our hypotheses and improve our questions.""")</f>
        <v>Martha Gabriel goes along a similar line: "Technology can be an incredible tool to expand our thinking, since we can test in a short time countless hypotheses, formats, solutions to refine our hypotheses and improve our questions."</v>
      </c>
      <c r="C55" s="1" t="s">
        <v>49</v>
      </c>
      <c r="D55" s="1" t="s">
        <v>52</v>
      </c>
    </row>
    <row r="56" spans="1:4" ht="15.75" customHeight="1" x14ac:dyDescent="0.2">
      <c r="A56" s="1">
        <v>56</v>
      </c>
      <c r="B56" s="1" t="str">
        <f ca="1">IFERROR(__xludf.DUMMYFUNCTION("GOOGLETRANSLATE(B57,""ES"",""EN"")"),"""However, this can also be a very big threat for those who use these systems blindly, without criticism or questioning morals and ethics. This is not only an individual risk, but for all of humanity.""")</f>
        <v>"However, this can also be a very big threat for those who use these systems blindly, without criticism or questioning morals and ethics. This is not only an individual risk, but for all of humanity."</v>
      </c>
      <c r="C56" s="1" t="s">
        <v>50</v>
      </c>
      <c r="D56" s="1" t="s">
        <v>52</v>
      </c>
    </row>
    <row r="57" spans="1:4" ht="15.75" customHeight="1" x14ac:dyDescent="0.2">
      <c r="A57" s="1">
        <v>57</v>
      </c>
      <c r="B57" s="1" t="str">
        <f ca="1">IFERROR(__xludf.DUMMYFUNCTION("GOOGLETRANSLATE(B58,""ES"",""EN"")"),"Remember that you can receive notifications from BBC News Mundo. Download the latest version of our app and activate them so you don't miss our best content.")</f>
        <v>Remember that you can receive notifications from BBC News Mundo. Download the latest version of our app and activate them so you don't miss our best content.</v>
      </c>
      <c r="C57" s="1" t="s">
        <v>51</v>
      </c>
      <c r="D57" s="1" t="s">
        <v>52</v>
      </c>
    </row>
    <row r="58" spans="1:4" ht="15.75" customHeight="1" x14ac:dyDescent="0.2"/>
    <row r="59" spans="1:4" ht="15.75" customHeight="1" x14ac:dyDescent="0.2"/>
    <row r="60" spans="1:4" ht="15.75" customHeight="1" x14ac:dyDescent="0.2"/>
    <row r="61" spans="1:4" ht="15.75" customHeight="1" x14ac:dyDescent="0.2"/>
    <row r="62" spans="1:4" ht="15.75" customHeight="1" x14ac:dyDescent="0.2"/>
    <row r="63" spans="1:4" ht="15.75" customHeight="1" x14ac:dyDescent="0.2"/>
    <row r="64" spans="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2025-01-13T02:58:26Z</dcterms:created>
  <dcterms:modified xsi:type="dcterms:W3CDTF">2025-10-29T16:15:08Z</dcterms:modified>
</cp:coreProperties>
</file>