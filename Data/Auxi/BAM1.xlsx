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CENTE\Desktop\SYJ\Data\Auxi\"/>
    </mc:Choice>
  </mc:AlternateContent>
  <bookViews>
    <workbookView xWindow="0" yWindow="0" windowWidth="18816" windowHeight="6492"/>
  </bookViews>
  <sheets>
    <sheet name="Hoja1A" sheetId="2" r:id="rId1"/>
    <sheet name="Hoja1" sheetId="1" r:id="rId2"/>
  </sheets>
  <calcPr calcId="162913"/>
  <extLst>
    <ext uri="GoogleSheetsCustomDataVersion2">
      <go:sheetsCustomData xmlns:go="http://customooxmlschemas.google.com/" r:id="rId5" roundtripDataChecksum="uNMkqumUGTKlozrmbSIkpW6ezGziaL84mr5P5bsgAcU="/>
    </ext>
  </extLst>
</workbook>
</file>

<file path=xl/calcChain.xml><?xml version="1.0" encoding="utf-8"?>
<calcChain xmlns="http://schemas.openxmlformats.org/spreadsheetml/2006/main">
  <c r="B150" i="2" l="1"/>
  <c r="B93" i="2"/>
  <c r="B29" i="2"/>
  <c r="B12" i="1"/>
  <c r="B129" i="2"/>
  <c r="B132" i="2"/>
  <c r="B68" i="2"/>
  <c r="B4" i="2"/>
  <c r="B130" i="2"/>
  <c r="B9" i="1"/>
  <c r="B25" i="1"/>
  <c r="B91" i="2"/>
  <c r="B27" i="2"/>
  <c r="B21" i="1"/>
  <c r="B47" i="1"/>
  <c r="B144" i="2"/>
  <c r="B80" i="2"/>
  <c r="B16" i="2"/>
  <c r="B14" i="1"/>
  <c r="B54" i="2"/>
  <c r="B43" i="1"/>
  <c r="B95" i="2"/>
  <c r="B31" i="2"/>
  <c r="B28" i="1"/>
  <c r="B30" i="2"/>
  <c r="B69" i="2"/>
  <c r="B108" i="2"/>
  <c r="B66" i="2"/>
  <c r="B67" i="2"/>
  <c r="B98" i="2"/>
  <c r="B56" i="2"/>
  <c r="B6" i="2"/>
  <c r="B7" i="2"/>
  <c r="B149" i="2"/>
  <c r="B85" i="2"/>
  <c r="B21" i="2"/>
  <c r="B34" i="1"/>
  <c r="B105" i="2"/>
  <c r="B124" i="2"/>
  <c r="B60" i="2"/>
  <c r="B4" i="1"/>
  <c r="B106" i="2"/>
  <c r="B2" i="1"/>
  <c r="B147" i="2"/>
  <c r="B83" i="2"/>
  <c r="B19" i="2"/>
  <c r="B138" i="2"/>
  <c r="B121" i="2"/>
  <c r="B136" i="2"/>
  <c r="B72" i="2"/>
  <c r="B8" i="2"/>
  <c r="B20" i="1"/>
  <c r="B38" i="2"/>
  <c r="B24" i="1"/>
  <c r="B87" i="2"/>
  <c r="B23" i="2"/>
  <c r="B45" i="1"/>
  <c r="B14" i="2"/>
  <c r="B5" i="2"/>
  <c r="B44" i="2"/>
  <c r="B131" i="2"/>
  <c r="B41" i="2"/>
  <c r="B17" i="1"/>
  <c r="B135" i="2"/>
  <c r="B110" i="2"/>
  <c r="B141" i="2"/>
  <c r="B77" i="2"/>
  <c r="B13" i="2"/>
  <c r="B122" i="2"/>
  <c r="B89" i="2"/>
  <c r="B116" i="2"/>
  <c r="B52" i="2"/>
  <c r="B31" i="1"/>
  <c r="B90" i="2"/>
  <c r="B137" i="2"/>
  <c r="B139" i="2"/>
  <c r="B75" i="2"/>
  <c r="B11" i="2"/>
  <c r="B114" i="2"/>
  <c r="B81" i="2"/>
  <c r="B128" i="2"/>
  <c r="B64" i="2"/>
  <c r="B8" i="1"/>
  <c r="B142" i="2"/>
  <c r="B22" i="2"/>
  <c r="B143" i="2"/>
  <c r="B79" i="2"/>
  <c r="B15" i="2"/>
  <c r="B134" i="2"/>
  <c r="B6" i="1"/>
  <c r="B82" i="2"/>
  <c r="B57" i="2"/>
  <c r="B32" i="1"/>
  <c r="B113" i="2"/>
  <c r="B3" i="2"/>
  <c r="B120" i="2"/>
  <c r="B126" i="2"/>
  <c r="B71" i="2"/>
  <c r="B44" i="1"/>
  <c r="B133" i="2"/>
  <c r="B125" i="2"/>
  <c r="B61" i="2"/>
  <c r="B37" i="1"/>
  <c r="B58" i="2"/>
  <c r="B25" i="2"/>
  <c r="B100" i="2"/>
  <c r="B36" i="2"/>
  <c r="B5" i="1"/>
  <c r="B42" i="2"/>
  <c r="B97" i="2"/>
  <c r="B123" i="2"/>
  <c r="B59" i="2"/>
  <c r="B18" i="1"/>
  <c r="B74" i="2"/>
  <c r="B9" i="2"/>
  <c r="B112" i="2"/>
  <c r="B48" i="2"/>
  <c r="B41" i="1"/>
  <c r="B118" i="2"/>
  <c r="B23" i="1"/>
  <c r="B127" i="2"/>
  <c r="B63" i="2"/>
  <c r="B39" i="1"/>
  <c r="B94" i="2"/>
  <c r="B3" i="1"/>
  <c r="B47" i="2"/>
  <c r="B62" i="2"/>
  <c r="B38" i="1"/>
  <c r="B12" i="2"/>
  <c r="B1" i="2"/>
  <c r="B36" i="1"/>
  <c r="B88" i="2"/>
  <c r="B70" i="2"/>
  <c r="B39" i="2"/>
  <c r="B11" i="1"/>
  <c r="B117" i="2"/>
  <c r="B53" i="2"/>
  <c r="B35" i="1"/>
  <c r="B34" i="2"/>
  <c r="B19" i="1"/>
  <c r="B92" i="2"/>
  <c r="B28" i="2"/>
  <c r="B26" i="1"/>
  <c r="B26" i="2"/>
  <c r="B73" i="2"/>
  <c r="B115" i="2"/>
  <c r="B51" i="2"/>
  <c r="B48" i="1"/>
  <c r="B50" i="2"/>
  <c r="B46" i="1"/>
  <c r="B104" i="2"/>
  <c r="B40" i="2"/>
  <c r="B42" i="1"/>
  <c r="B102" i="2"/>
  <c r="B7" i="1"/>
  <c r="B119" i="2"/>
  <c r="B55" i="2"/>
  <c r="B10" i="1"/>
  <c r="B78" i="2"/>
  <c r="B65" i="2"/>
  <c r="B17" i="2"/>
  <c r="B49" i="1"/>
  <c r="B76" i="2"/>
  <c r="B16" i="1"/>
  <c r="B99" i="2"/>
  <c r="B15" i="1"/>
  <c r="B24" i="2"/>
  <c r="B49" i="2"/>
  <c r="B46" i="2"/>
  <c r="B109" i="2"/>
  <c r="B45" i="2"/>
  <c r="B27" i="1"/>
  <c r="B2" i="2"/>
  <c r="B148" i="2"/>
  <c r="B84" i="2"/>
  <c r="B20" i="2"/>
  <c r="B1" i="1"/>
  <c r="B10" i="2"/>
  <c r="B33" i="2"/>
  <c r="B107" i="2"/>
  <c r="B43" i="2"/>
  <c r="B30" i="1"/>
  <c r="B18" i="2"/>
  <c r="B146" i="2"/>
  <c r="B96" i="2"/>
  <c r="B32" i="2"/>
  <c r="B50" i="1"/>
  <c r="B86" i="2"/>
  <c r="B33" i="1"/>
  <c r="B111" i="2"/>
  <c r="B13" i="1"/>
  <c r="B37" i="2"/>
  <c r="B140" i="2"/>
  <c r="B29" i="1"/>
  <c r="B35" i="2"/>
  <c r="B145" i="2"/>
  <c r="B22" i="1"/>
  <c r="B103" i="2"/>
  <c r="B40" i="1"/>
  <c r="B101" i="2"/>
</calcChain>
</file>

<file path=xl/sharedStrings.xml><?xml version="1.0" encoding="utf-8"?>
<sst xmlns="http://schemas.openxmlformats.org/spreadsheetml/2006/main" count="600" uniqueCount="559">
  <si>
    <t>@SBreycher</t>
  </si>
  <si>
    <t>http://twitter.com/SBreycher/status/1111541807974735873</t>
  </si>
  <si>
    <t>March 29, 2019 at 03:13AM</t>
  </si>
  <si>
    <t>@Yenner81350696</t>
  </si>
  <si>
    <t>http://twitter.com/Yenner81350696/status/1111956597121708032</t>
  </si>
  <si>
    <t>March 30, 2019 at 06:41AM</t>
  </si>
  <si>
    <t>@FreddyNagaki</t>
  </si>
  <si>
    <t>http://twitter.com/FreddyNagaki/status/1111501071430508545</t>
  </si>
  <si>
    <t>March 29, 2019 at 12:31AM</t>
  </si>
  <si>
    <t>@DCuevaCasanova</t>
  </si>
  <si>
    <t>http://twitter.com/DCuevaCasanova/status/1111576813585731584</t>
  </si>
  <si>
    <t>March 29, 2019 at 05:32AM</t>
  </si>
  <si>
    <t>@Blidam</t>
  </si>
  <si>
    <t>http://twitter.com/Blidam/status/1111650389265387521</t>
  </si>
  <si>
    <t>March 29, 2019 at 10:24AM</t>
  </si>
  <si>
    <t>@Otoniel1109</t>
  </si>
  <si>
    <t>http://twitter.com/Otoniel1109/status/1111929851315978243</t>
  </si>
  <si>
    <t>March 30, 2019 at 04:55AM</t>
  </si>
  <si>
    <t>@Marcielmarciano</t>
  </si>
  <si>
    <t>http://twitter.com/Marcielmarciano/status/1111473119770890240</t>
  </si>
  <si>
    <t>March 28, 2019 at 10:40PM</t>
  </si>
  <si>
    <t>@contiki12</t>
  </si>
  <si>
    <t>http://twitter.com/contiki12/status/1111969949650747397</t>
  </si>
  <si>
    <t>March 30, 2019 at 07:34AM</t>
  </si>
  <si>
    <t>@Gtz63Ms</t>
  </si>
  <si>
    <t>http://twitter.com/Gtz63Ms/status/1111567227063545856</t>
  </si>
  <si>
    <t>March 29, 2019 at 04:54AM</t>
  </si>
  <si>
    <t>@amesacha</t>
  </si>
  <si>
    <t>http://twitter.com/amesacha/status/1111903495505002496</t>
  </si>
  <si>
    <t>March 30, 2019 at 03:10AM</t>
  </si>
  <si>
    <t>@ilozada76</t>
  </si>
  <si>
    <t>http://twitter.com/ilozada76/status/1111809816241016832</t>
  </si>
  <si>
    <t>March 29, 2019 at 08:58PM</t>
  </si>
  <si>
    <t>@Shival51665212</t>
  </si>
  <si>
    <t>http://twitter.com/Shival51665212/status/1111614390388879361</t>
  </si>
  <si>
    <t>March 29, 2019 at 08:01AM</t>
  </si>
  <si>
    <t>@rhtorresm</t>
  </si>
  <si>
    <t>http://twitter.com/rhtorresm/status/1111981500877193216</t>
  </si>
  <si>
    <t>March 30, 2019 at 08:20AM</t>
  </si>
  <si>
    <t>@GuilleNolasco</t>
  </si>
  <si>
    <t>http://twitter.com/GuilleNolasco/status/1111435089508876288</t>
  </si>
  <si>
    <t>March 28, 2019 at 08:09PM</t>
  </si>
  <si>
    <t>@Rogat96</t>
  </si>
  <si>
    <t>http://twitter.com/Rogat96/status/1111955603994349568</t>
  </si>
  <si>
    <t>March 30, 2019 at 06:37AM</t>
  </si>
  <si>
    <t>http://twitter.com/SBreycher/status/1111540275854229504</t>
  </si>
  <si>
    <t>March 29, 2019 at 03:07AM</t>
  </si>
  <si>
    <t>@hilwiller</t>
  </si>
  <si>
    <t>http://twitter.com/hilwiller/status/1111439267769638912</t>
  </si>
  <si>
    <t>March 28, 2019 at 08:25PM</t>
  </si>
  <si>
    <t>@alci_41</t>
  </si>
  <si>
    <t>http://twitter.com/alci_41/status/1111591238363480064</t>
  </si>
  <si>
    <t>March 29, 2019 at 06:29AM</t>
  </si>
  <si>
    <t>@Verve87</t>
  </si>
  <si>
    <t>http://twitter.com/Verve87/status/1111642095184498689</t>
  </si>
  <si>
    <t>March 29, 2019 at 09:51AM</t>
  </si>
  <si>
    <t>@BitacoraAninna</t>
  </si>
  <si>
    <t>http://twitter.com/BitacoraAninna/status/1112013072204529664</t>
  </si>
  <si>
    <t>March 30, 2019 at 10:25AM</t>
  </si>
  <si>
    <t>@LC_PER</t>
  </si>
  <si>
    <t>http://twitter.com/LC_PER/status/1111706600602042368</t>
  </si>
  <si>
    <t>March 29, 2019 at 02:08PM</t>
  </si>
  <si>
    <t>@alexkaddir</t>
  </si>
  <si>
    <t>http://twitter.com/alexkaddir/status/1111933941680881664</t>
  </si>
  <si>
    <t>March 30, 2019 at 05:11AM</t>
  </si>
  <si>
    <t>@JaniceV1P</t>
  </si>
  <si>
    <t>http://twitter.com/JaniceV1P/status/1111555276648390657</t>
  </si>
  <si>
    <t>March 29, 2019 at 04:06AM</t>
  </si>
  <si>
    <t>@RoqueSagrado</t>
  </si>
  <si>
    <t>http://twitter.com/RoqueSagrado/status/1111833405082267649</t>
  </si>
  <si>
    <t>March 29, 2019 at 10:31PM</t>
  </si>
  <si>
    <t>@ESisifo</t>
  </si>
  <si>
    <t>http://twitter.com/ESisifo/status/1112004750118129665</t>
  </si>
  <si>
    <t>March 30, 2019 at 09:52AM</t>
  </si>
  <si>
    <t>@marian_j</t>
  </si>
  <si>
    <t>http://twitter.com/marian_j/status/1111650352267513856</t>
  </si>
  <si>
    <t>@asesorsindical</t>
  </si>
  <si>
    <t>http://twitter.com/asesorsindical/status/1111401597890772992</t>
  </si>
  <si>
    <t>March 28, 2019 at 05:56PM</t>
  </si>
  <si>
    <t>@AndresEspejo40</t>
  </si>
  <si>
    <t>http://twitter.com/AndresEspejo40/status/1111849990085898245</t>
  </si>
  <si>
    <t>March 29, 2019 at 11:37PM</t>
  </si>
  <si>
    <t>@Victria00807366</t>
  </si>
  <si>
    <t>http://twitter.com/Victria00807366/status/1111749099437604867</t>
  </si>
  <si>
    <t>March 29, 2019 at 04:56PM</t>
  </si>
  <si>
    <t>@Walter45502750</t>
  </si>
  <si>
    <t>http://twitter.com/Walter45502750/status/1111483187119751168</t>
  </si>
  <si>
    <t>March 28, 2019 at 11:20PM</t>
  </si>
  <si>
    <t>@PeruDaily</t>
  </si>
  <si>
    <t>http://twitter.com/PeruDaily/status/1111886626794409984</t>
  </si>
  <si>
    <t>March 30, 2019 at 02:03AM</t>
  </si>
  <si>
    <t>http://twitter.com/Marcielmarciano/status/1111637953607073792</t>
  </si>
  <si>
    <t>March 29, 2019 at 09:35AM</t>
  </si>
  <si>
    <t>@HugoPenares</t>
  </si>
  <si>
    <t>http://twitter.com/HugoPenares/status/1111764973850644482</t>
  </si>
  <si>
    <t>March 29, 2019 at 06:00PM</t>
  </si>
  <si>
    <t>@CarlosV18967386</t>
  </si>
  <si>
    <t>http://twitter.com/CarlosV18967386/status/1111952111263088640</t>
  </si>
  <si>
    <t>March 30, 2019 at 06:23AM</t>
  </si>
  <si>
    <t>@Lalete282</t>
  </si>
  <si>
    <t>http://twitter.com/Lalete282/status/1111764466201432065</t>
  </si>
  <si>
    <t>March 29, 2019 at 05:57PM</t>
  </si>
  <si>
    <t>@FabioLatinez</t>
  </si>
  <si>
    <t>http://twitter.com/FabioLatinez/status/1111509472613187584</t>
  </si>
  <si>
    <t>March 29, 2019 at 01:04AM</t>
  </si>
  <si>
    <t>@javierlimamiami</t>
  </si>
  <si>
    <t>http://twitter.com/javierlimamiami/status/1111965681745043456</t>
  </si>
  <si>
    <t>March 30, 2019 at 07:17AM</t>
  </si>
  <si>
    <t>@DraGonzalez</t>
  </si>
  <si>
    <t>http://twitter.com/DraGonzalez/status/1111529149250846722</t>
  </si>
  <si>
    <t>March 29, 2019 at 02:22AM</t>
  </si>
  <si>
    <t>@Manolo03687441</t>
  </si>
  <si>
    <t>http://twitter.com/Manolo03687441/status/1111483882023645184</t>
  </si>
  <si>
    <t>March 28, 2019 at 11:23PM</t>
  </si>
  <si>
    <t>@Jamyr0</t>
  </si>
  <si>
    <t>http://twitter.com/Jamyr0/status/1111417918091198464</t>
  </si>
  <si>
    <t>March 28, 2019 at 07:00PM</t>
  </si>
  <si>
    <t>@noticias_tvperu</t>
  </si>
  <si>
    <t>http://twitter.com/noticias_tvperu/status/1111573084266528768</t>
  </si>
  <si>
    <t>March 29, 2019 at 05:17AM</t>
  </si>
  <si>
    <t>@heinzroque</t>
  </si>
  <si>
    <t>http://twitter.com/heinzroque/status/1111926841915424769</t>
  </si>
  <si>
    <t>March 30, 2019 at 04:43AM</t>
  </si>
  <si>
    <t>@edgarsaavedra11</t>
  </si>
  <si>
    <t>http://twitter.com/edgarsaavedra11/status/1111727459446210566</t>
  </si>
  <si>
    <t>March 29, 2019 at 03:30PM</t>
  </si>
  <si>
    <t>@Meetabel3</t>
  </si>
  <si>
    <t>http://twitter.com/Meetabel3/status/1111413846688698368</t>
  </si>
  <si>
    <t>March 28, 2019 at 06:44PM</t>
  </si>
  <si>
    <t>@spaciolibre</t>
  </si>
  <si>
    <t>http://twitter.com/spaciolibre/status/1111431124872364033</t>
  </si>
  <si>
    <t>March 28, 2019 at 07:53PM</t>
  </si>
  <si>
    <t>@JulioRios1</t>
  </si>
  <si>
    <t>http://twitter.com/JulioRios1/status/1111745561391185922</t>
  </si>
  <si>
    <t>March 29, 2019 at 04:42PM</t>
  </si>
  <si>
    <t>@luchocamacu</t>
  </si>
  <si>
    <t>http://twitter.com/luchocamacu/status/1112008458906357763</t>
  </si>
  <si>
    <t>March 30, 2019 at 10:07AM</t>
  </si>
  <si>
    <t>@luroel</t>
  </si>
  <si>
    <t>http://twitter.com/luroel/status/1111610005474734081</t>
  </si>
  <si>
    <t>March 29, 2019 at 07:44AM</t>
  </si>
  <si>
    <t>@CentenoRenata</t>
  </si>
  <si>
    <t>http://twitter.com/CentenoRenata/status/1111622227953414145</t>
  </si>
  <si>
    <t>March 29, 2019 at 08:32AM</t>
  </si>
  <si>
    <t>@RadarGuarico</t>
  </si>
  <si>
    <t>http://twitter.com/RadarGuarico/status/1111528759008604161</t>
  </si>
  <si>
    <t>March 29, 2019 at 02:21AM</t>
  </si>
  <si>
    <t>@Arpl70Mac</t>
  </si>
  <si>
    <t>http://twitter.com/Arpl70Mac/status/1111982280615120898</t>
  </si>
  <si>
    <t>March 30, 2019 at 08:23AM</t>
  </si>
  <si>
    <t>@Mariayigar</t>
  </si>
  <si>
    <t>http://twitter.com/Mariayigar/status/1111535187631005699</t>
  </si>
  <si>
    <t>March 29, 2019 at 02:46AM</t>
  </si>
  <si>
    <t>@r_lavieri</t>
  </si>
  <si>
    <t>http://twitter.com/r_lavieri/status/1111965706340524033</t>
  </si>
  <si>
    <t>@silvestre_75</t>
  </si>
  <si>
    <t>http://twitter.com/silvestre_75/status/1111817662047375360</t>
  </si>
  <si>
    <t>March 29, 2019 at 09:29PM</t>
  </si>
  <si>
    <t>@danistar61</t>
  </si>
  <si>
    <t>http://twitter.com/danistar61/status/1111764607553728512</t>
  </si>
  <si>
    <t>March 29, 2019 at 05:58PM</t>
  </si>
  <si>
    <t>@PeruvianCommie</t>
  </si>
  <si>
    <t>http://twitter.com/PeruvianCommie/status/1111756851841040384</t>
  </si>
  <si>
    <t>March 29, 2019 at 05:27PM</t>
  </si>
  <si>
    <t>@ellissaurusrex</t>
  </si>
  <si>
    <t>http://twitter.com/ellissaurusrex/status/1111714214035505154</t>
  </si>
  <si>
    <t>March 29, 2019 at 02:38PM</t>
  </si>
  <si>
    <t>@maquint2508</t>
  </si>
  <si>
    <t>http://twitter.com/maquint2508/status/1111833134138429441</t>
  </si>
  <si>
    <t>March 29, 2019 at 10:30PM</t>
  </si>
  <si>
    <t>@SoulOfJulius</t>
  </si>
  <si>
    <t>http://twitter.com/SoulOfJulius/status/1111867608721211392</t>
  </si>
  <si>
    <t>March 30, 2019 at 12:47AM</t>
  </si>
  <si>
    <t>@eml229</t>
  </si>
  <si>
    <t>http://twitter.com/eml229/status/1111493249913573376</t>
  </si>
  <si>
    <t>March 29, 2019 at 12:00AM</t>
  </si>
  <si>
    <t>@MarioMELJ</t>
  </si>
  <si>
    <t>http://twitter.com/MarioMELJ/status/1111489033400737792</t>
  </si>
  <si>
    <t>March 28, 2019 at 11:43PM</t>
  </si>
  <si>
    <t>@libertropico</t>
  </si>
  <si>
    <t>http://twitter.com/libertropico/status/1111859385364447235</t>
  </si>
  <si>
    <t>March 30, 2019 at 12:15AM</t>
  </si>
  <si>
    <t>@pintora67</t>
  </si>
  <si>
    <t>http://twitter.com/pintora67/status/1111753069040189441</t>
  </si>
  <si>
    <t>March 29, 2019 at 05:12PM</t>
  </si>
  <si>
    <t>http://twitter.com/spaciolibre/status/1111646638420959235</t>
  </si>
  <si>
    <t>March 29, 2019 at 10:09AM</t>
  </si>
  <si>
    <t>@33_geral</t>
  </si>
  <si>
    <t>http://twitter.com/33_geral/status/1111916894687293440</t>
  </si>
  <si>
    <t>March 30, 2019 at 04:03AM</t>
  </si>
  <si>
    <t>@a_reynoso7</t>
  </si>
  <si>
    <t>http://twitter.com/a_reynoso7/status/1111947671563051008</t>
  </si>
  <si>
    <t>March 30, 2019 at 06:05AM</t>
  </si>
  <si>
    <t>@go1305110</t>
  </si>
  <si>
    <t>http://twitter.com/go1305110/status/1111702489563385857</t>
  </si>
  <si>
    <t>March 29, 2019 at 01:51PM</t>
  </si>
  <si>
    <t>@AlvarezSerapio</t>
  </si>
  <si>
    <t>http://twitter.com/AlvarezSerapio/status/1111986440177618944</t>
  </si>
  <si>
    <t>March 30, 2019 at 08:40AM</t>
  </si>
  <si>
    <t>@tucomunsentido</t>
  </si>
  <si>
    <t>http://twitter.com/tucomunsentido/status/1111473452458954752</t>
  </si>
  <si>
    <t>March 28, 2019 at 10:41PM</t>
  </si>
  <si>
    <t>@ROSARIOMZYO</t>
  </si>
  <si>
    <t>http://twitter.com/ROSARIOMZYO/status/1111901155687321600</t>
  </si>
  <si>
    <t>March 30, 2019 at 03:01AM</t>
  </si>
  <si>
    <t>@kismipedro</t>
  </si>
  <si>
    <t>http://twitter.com/kismipedro/status/1111924319888777217</t>
  </si>
  <si>
    <t>March 30, 2019 at 04:33AM</t>
  </si>
  <si>
    <t>@PeruvianDreamTL</t>
  </si>
  <si>
    <t>http://twitter.com/PeruvianDreamTL/status/1112008251925774338</t>
  </si>
  <si>
    <t>March 30, 2019 at 10:06AM</t>
  </si>
  <si>
    <t>@w_wyg</t>
  </si>
  <si>
    <t>http://twitter.com/w_wyg/status/1111569015925850112</t>
  </si>
  <si>
    <t>March 29, 2019 at 05:01AM</t>
  </si>
  <si>
    <t>@giserrat</t>
  </si>
  <si>
    <t>http://twitter.com/giserrat/status/1111958201203900418</t>
  </si>
  <si>
    <t>March 30, 2019 at 06:47AM</t>
  </si>
  <si>
    <t>@JRCastanedaH</t>
  </si>
  <si>
    <t>http://twitter.com/JRCastanedaH/status/1111678063195099136</t>
  </si>
  <si>
    <t>March 29, 2019 at 12:14PM</t>
  </si>
  <si>
    <t>@SamyH1982</t>
  </si>
  <si>
    <t>http://twitter.com/SamyH1982/status/1111885999569887233</t>
  </si>
  <si>
    <t>March 30, 2019 at 02:00AM</t>
  </si>
  <si>
    <t>@Oswaldo_Bolo</t>
  </si>
  <si>
    <t>http://twitter.com/Oswaldo_Bolo/status/1111787423225266176</t>
  </si>
  <si>
    <t>March 29, 2019 at 07:29PM</t>
  </si>
  <si>
    <t>@tonyventur</t>
  </si>
  <si>
    <t>http://twitter.com/tonyventur/status/1111880965595545600</t>
  </si>
  <si>
    <t>March 30, 2019 at 01:40AM</t>
  </si>
  <si>
    <t>@PaolaRLoayza</t>
  </si>
  <si>
    <t>http://twitter.com/PaolaRLoayza/status/1111649772660801537</t>
  </si>
  <si>
    <t>March 29, 2019 at 10:22AM</t>
  </si>
  <si>
    <t>@PORLAMORALDPERU</t>
  </si>
  <si>
    <t>http://twitter.com/PORLAMORALDPERU/status/1111809180053073920</t>
  </si>
  <si>
    <t>March 29, 2019 at 08:55PM</t>
  </si>
  <si>
    <t>@Joseroman2010</t>
  </si>
  <si>
    <t>http://twitter.com/Joseroman2010/status/1111427255442432002</t>
  </si>
  <si>
    <t>March 28, 2019 at 07:38PM</t>
  </si>
  <si>
    <t>@rochi1529</t>
  </si>
  <si>
    <t>http://twitter.com/rochi1529/status/1111526484936740864</t>
  </si>
  <si>
    <t>March 29, 2019 at 02:12AM</t>
  </si>
  <si>
    <t>@zully_martino</t>
  </si>
  <si>
    <t>http://twitter.com/zully_martino/status/1111549078352080897</t>
  </si>
  <si>
    <t>March 29, 2019 at 03:42AM</t>
  </si>
  <si>
    <t>@ComoEnLaCombi</t>
  </si>
  <si>
    <t>http://twitter.com/ComoEnLaCombi/status/1111706459019116544</t>
  </si>
  <si>
    <t>March 29, 2019 at 02:07PM</t>
  </si>
  <si>
    <t>@Frospigliosi</t>
  </si>
  <si>
    <t>http://twitter.com/Frospigliosi/status/1111970534684876800</t>
  </si>
  <si>
    <t>March 30, 2019 at 07:36AM</t>
  </si>
  <si>
    <t>@jaimedelcastill</t>
  </si>
  <si>
    <t>http://twitter.com/jaimedelcastill/status/1111970584169246721</t>
  </si>
  <si>
    <t>March 30, 2019 at 07:37AM</t>
  </si>
  <si>
    <t>@Gloriadun</t>
  </si>
  <si>
    <t>http://twitter.com/Gloriadun/status/1111686107899539456</t>
  </si>
  <si>
    <t>March 29, 2019 at 12:46PM</t>
  </si>
  <si>
    <t>@MaikLarico</t>
  </si>
  <si>
    <t>http://twitter.com/MaikLarico/status/1111561909164232705</t>
  </si>
  <si>
    <t>March 29, 2019 at 04:33AM</t>
  </si>
  <si>
    <t>@leo_valra</t>
  </si>
  <si>
    <t>http://twitter.com/leo_valra/status/1111777008445472768</t>
  </si>
  <si>
    <t>March 29, 2019 at 06:47PM</t>
  </si>
  <si>
    <t>@ManuelhuntersS</t>
  </si>
  <si>
    <t>http://twitter.com/ManuelhuntersS/status/1111993842092380162</t>
  </si>
  <si>
    <t>March 30, 2019 at 09:09AM</t>
  </si>
  <si>
    <t>http://twitter.com/Jamyr0/status/1111646383159808001</t>
  </si>
  <si>
    <t>March 29, 2019 at 10:08AM</t>
  </si>
  <si>
    <t>@almenara_</t>
  </si>
  <si>
    <t>http://twitter.com/almenara_/status/1111564876223299586</t>
  </si>
  <si>
    <t>March 29, 2019 at 04:44AM</t>
  </si>
  <si>
    <t>@Enrique_aqp</t>
  </si>
  <si>
    <t>http://twitter.com/Enrique_aqp/status/1111727055211806722</t>
  </si>
  <si>
    <t>March 29, 2019 at 03:29PM</t>
  </si>
  <si>
    <t>@rubivg96</t>
  </si>
  <si>
    <t>http://twitter.com/rubivg96/status/1111405343580418048</t>
  </si>
  <si>
    <t>March 28, 2019 at 06:10PM</t>
  </si>
  <si>
    <t>@doctorjlfc</t>
  </si>
  <si>
    <t>http://twitter.com/doctorjlfc/status/1111622221343150082</t>
  </si>
  <si>
    <t>@aArchitteto</t>
  </si>
  <si>
    <t>http://twitter.com/aArchitteto/status/1111618193100075008</t>
  </si>
  <si>
    <t>March 29, 2019 at 08:16AM</t>
  </si>
  <si>
    <t>@palomatorkasa</t>
  </si>
  <si>
    <t>http://twitter.com/palomatorkasa/status/1111706793212690432</t>
  </si>
  <si>
    <t>@_gonzalez_jordi</t>
  </si>
  <si>
    <t>http://twitter.com/_gonzalez_jordi/status/1111840579569311744</t>
  </si>
  <si>
    <t>March 29, 2019 at 11:00PM</t>
  </si>
  <si>
    <t>http://twitter.com/alci_41/status/1111591113108934656</t>
  </si>
  <si>
    <t>@Gianmarco_luc</t>
  </si>
  <si>
    <t>http://twitter.com/Gianmarco_luc/status/1111626477152415745</t>
  </si>
  <si>
    <t>March 29, 2019 at 08:49AM</t>
  </si>
  <si>
    <t>@malita0550</t>
  </si>
  <si>
    <t>http://twitter.com/malita0550/status/1111768310817927168</t>
  </si>
  <si>
    <t>March 29, 2019 at 06:13PM</t>
  </si>
  <si>
    <t>@willyjunior2000</t>
  </si>
  <si>
    <t>http://twitter.com/willyjunior2000/status/1111697090416132101</t>
  </si>
  <si>
    <t>March 29, 2019 at 01:30PM</t>
  </si>
  <si>
    <t>@csarzc</t>
  </si>
  <si>
    <t>http://twitter.com/csarzc/status/1111753397361930242</t>
  </si>
  <si>
    <t>March 29, 2019 at 05:13PM</t>
  </si>
  <si>
    <t>@YutKungChai</t>
  </si>
  <si>
    <t>http://twitter.com/YutKungChai/status/1111977657451855872</t>
  </si>
  <si>
    <t>March 30, 2019 at 08:05AM</t>
  </si>
  <si>
    <t>@greatJirca</t>
  </si>
  <si>
    <t>http://twitter.com/greatJirca/status/1111662058460889088</t>
  </si>
  <si>
    <t>March 29, 2019 at 11:11AM</t>
  </si>
  <si>
    <t>@planteamientos</t>
  </si>
  <si>
    <t>http://twitter.com/planteamientos/status/1111981368957759488</t>
  </si>
  <si>
    <t>March 30, 2019 at 08:19AM</t>
  </si>
  <si>
    <t>@franklin1903</t>
  </si>
  <si>
    <t>http://twitter.com/franklin1903/status/1111884121276645377</t>
  </si>
  <si>
    <t>March 30, 2019 at 01:53AM</t>
  </si>
  <si>
    <t>@exitosape</t>
  </si>
  <si>
    <t>http://twitter.com/exitosape/status/1111501100652335105</t>
  </si>
  <si>
    <t>@norma_altez</t>
  </si>
  <si>
    <t>http://twitter.com/norma_altez/status/1111764201406689280</t>
  </si>
  <si>
    <t>March 29, 2019 at 05:56PM</t>
  </si>
  <si>
    <t>@LuisinOficial</t>
  </si>
  <si>
    <t>http://twitter.com/LuisinOficial/status/1111719189671305218</t>
  </si>
  <si>
    <t>March 29, 2019 at 02:58PM</t>
  </si>
  <si>
    <t>@lima58</t>
  </si>
  <si>
    <t>http://twitter.com/lima58/status/1111678303784493061</t>
  </si>
  <si>
    <t>March 29, 2019 at 12:15PM</t>
  </si>
  <si>
    <t>@clarys_carmen</t>
  </si>
  <si>
    <t>http://twitter.com/clarys_carmen/status/1111396685727571968</t>
  </si>
  <si>
    <t>March 28, 2019 at 05:36PM</t>
  </si>
  <si>
    <t>@jgonzalq</t>
  </si>
  <si>
    <t>http://twitter.com/jgonzalq/status/1111422788953202688</t>
  </si>
  <si>
    <t>March 28, 2019 at 07:20PM</t>
  </si>
  <si>
    <t>@maldittagordura</t>
  </si>
  <si>
    <t>http://twitter.com/maldittagordura/status/1111431277054296064</t>
  </si>
  <si>
    <t>March 28, 2019 at 07:54PM</t>
  </si>
  <si>
    <t>@QoriKatari</t>
  </si>
  <si>
    <t>http://twitter.com/QoriKatari/status/1111812992939765761</t>
  </si>
  <si>
    <t>March 29, 2019 at 09:10PM</t>
  </si>
  <si>
    <t>@hlrmariana</t>
  </si>
  <si>
    <t>http://twitter.com/hlrmariana/status/1111772490609709056</t>
  </si>
  <si>
    <t>March 29, 2019 at 06:29PM</t>
  </si>
  <si>
    <t>@LuluChaD2</t>
  </si>
  <si>
    <t>http://twitter.com/LuluChaD2/status/1111395828785020929</t>
  </si>
  <si>
    <t>March 28, 2019 at 05:33PM</t>
  </si>
  <si>
    <t>@lrmundaca</t>
  </si>
  <si>
    <t>http://twitter.com/lrmundaca/status/1111929125474893824</t>
  </si>
  <si>
    <t>March 30, 2019 at 04:52AM</t>
  </si>
  <si>
    <t>@Caro60</t>
  </si>
  <si>
    <t>http://twitter.com/Caro60/status/1111833360840699904</t>
  </si>
  <si>
    <t>@peruvianito</t>
  </si>
  <si>
    <t>http://twitter.com/peruvianito/status/1111507451701006336</t>
  </si>
  <si>
    <t>March 29, 2019 at 12:56AM</t>
  </si>
  <si>
    <t>@NESTORPAZPOLO</t>
  </si>
  <si>
    <t>http://twitter.com/NESTORPAZPOLO/status/1111817338268123137</t>
  </si>
  <si>
    <t>March 29, 2019 at 09:28PM</t>
  </si>
  <si>
    <t>http://twitter.com/DraGonzalez/status/1111529037686542336</t>
  </si>
  <si>
    <t>@aliguti71</t>
  </si>
  <si>
    <t>http://twitter.com/aliguti71/status/1111923821903265793</t>
  </si>
  <si>
    <t>March 30, 2019 at 04:31AM</t>
  </si>
  <si>
    <t>@JessicaTradr</t>
  </si>
  <si>
    <t>http://twitter.com/JessicaTradr/status/1111563936405602304</t>
  </si>
  <si>
    <t>March 29, 2019 at 04:41AM</t>
  </si>
  <si>
    <t>@jonipai</t>
  </si>
  <si>
    <t>http://twitter.com/jonipai/status/1111674133086126085</t>
  </si>
  <si>
    <t>March 29, 2019 at 11:59AM</t>
  </si>
  <si>
    <t>@armelp1</t>
  </si>
  <si>
    <t>http://twitter.com/armelp1/status/1111834024249606144</t>
  </si>
  <si>
    <t>March 29, 2019 at 10:34PM</t>
  </si>
  <si>
    <t>@RitaPat47</t>
  </si>
  <si>
    <t>http://twitter.com/RitaPat47/status/1111674667721330693</t>
  </si>
  <si>
    <t>March 29, 2019 at 12:01PM</t>
  </si>
  <si>
    <t>@AR_Novacula</t>
  </si>
  <si>
    <t>http://twitter.com/AR_Novacula/status/1111899522375081984</t>
  </si>
  <si>
    <t>March 30, 2019 at 02:54AM</t>
  </si>
  <si>
    <t>@SILVYTA27</t>
  </si>
  <si>
    <t>http://twitter.com/SILVYTA27/status/1111858189992116224</t>
  </si>
  <si>
    <t>March 30, 2019 at 12:10AM</t>
  </si>
  <si>
    <t>@SOS52980067</t>
  </si>
  <si>
    <t>http://twitter.com/SOS52980067/status/1111469317319729152</t>
  </si>
  <si>
    <t>March 28, 2019 at 10:25PM</t>
  </si>
  <si>
    <t>@JuanEst71164374</t>
  </si>
  <si>
    <t>http://twitter.com/JuanEst71164374/status/1111445291058618369</t>
  </si>
  <si>
    <t>March 28, 2019 at 08:49PM</t>
  </si>
  <si>
    <t>@lesbiansmyg</t>
  </si>
  <si>
    <t>http://twitter.com/lesbiansmyg/status/1111508155702358016</t>
  </si>
  <si>
    <t>March 29, 2019 at 12:59AM</t>
  </si>
  <si>
    <t>@zicozocialvol2</t>
  </si>
  <si>
    <t>http://twitter.com/zicozocialvol2/status/1111840354549067777</t>
  </si>
  <si>
    <t>March 29, 2019 at 10:59PM</t>
  </si>
  <si>
    <t>@Elcasti69714805</t>
  </si>
  <si>
    <t>http://twitter.com/Elcasti69714805/status/1111883327504412672</t>
  </si>
  <si>
    <t>March 30, 2019 at 01:50AM</t>
  </si>
  <si>
    <t>@Nancylvalle</t>
  </si>
  <si>
    <t>http://twitter.com/Nancylvalle/status/1111805465552453632</t>
  </si>
  <si>
    <t>March 29, 2019 at 08:40PM</t>
  </si>
  <si>
    <t>@ArunisLaMar</t>
  </si>
  <si>
    <t>http://twitter.com/ArunisLaMar/status/1111658826946752514</t>
  </si>
  <si>
    <t>March 29, 2019 at 10:58AM</t>
  </si>
  <si>
    <t>http://twitter.com/heinzroque/status/1111926659660333056</t>
  </si>
  <si>
    <t>March 30, 2019 at 04:42AM</t>
  </si>
  <si>
    <t>@DecemberBeer</t>
  </si>
  <si>
    <t>http://twitter.com/DecemberBeer/status/1111400760820948992</t>
  </si>
  <si>
    <t>March 28, 2019 at 05:52PM</t>
  </si>
  <si>
    <t>@parapioggia</t>
  </si>
  <si>
    <t>http://twitter.com/parapioggia/status/1111737213174382592</t>
  </si>
  <si>
    <t>March 29, 2019 at 04:09PM</t>
  </si>
  <si>
    <t>@CheCarolo</t>
  </si>
  <si>
    <t>http://twitter.com/CheCarolo/status/1111941530045108225</t>
  </si>
  <si>
    <t>March 30, 2019 at 05:41AM</t>
  </si>
  <si>
    <t>@Katiuskaley</t>
  </si>
  <si>
    <t>http://twitter.com/Katiuskaley/status/1111801497271062528</t>
  </si>
  <si>
    <t>March 29, 2019 at 08:25PM</t>
  </si>
  <si>
    <t>@hugocabellos</t>
  </si>
  <si>
    <t>http://twitter.com/hugocabellos/status/1111866265893625856</t>
  </si>
  <si>
    <t>March 30, 2019 at 12:42AM</t>
  </si>
  <si>
    <t>@AliciARojas</t>
  </si>
  <si>
    <t>http://twitter.com/AliciARojas/status/1111997387961233408</t>
  </si>
  <si>
    <t>March 30, 2019 at 09:23AM</t>
  </si>
  <si>
    <t>@RafaelHidalgoP</t>
  </si>
  <si>
    <t>http://twitter.com/RafaelHidalgoP/status/1111469370650304517</t>
  </si>
  <si>
    <t>@anbendezu</t>
  </si>
  <si>
    <t>http://twitter.com/anbendezu/status/1111677936006885376</t>
  </si>
  <si>
    <t>@sharo1953</t>
  </si>
  <si>
    <t>http://twitter.com/sharo1953/status/1111492158576570368</t>
  </si>
  <si>
    <t>March 28, 2019 at 11:55PM</t>
  </si>
  <si>
    <t>@ojoxojoydientex</t>
  </si>
  <si>
    <t>http://twitter.com/ojoxojoydientex/status/1111994051480510466</t>
  </si>
  <si>
    <t>March 30, 2019 at 09:10AM</t>
  </si>
  <si>
    <t>http://twitter.com/SBreycher/status/1111934737117921280</t>
  </si>
  <si>
    <t>March 30, 2019 at 05:14AM</t>
  </si>
  <si>
    <t>@miguelaqp</t>
  </si>
  <si>
    <t>http://twitter.com/miguelaqp/status/1111513190456836096</t>
  </si>
  <si>
    <t>March 29, 2019 at 01:19AM</t>
  </si>
  <si>
    <t>@alvarosarco</t>
  </si>
  <si>
    <t>http://twitter.com/alvarosarco/status/1111749154512998400</t>
  </si>
  <si>
    <t>March 29, 2019 at 04:57PM</t>
  </si>
  <si>
    <t>http://twitter.com/BitacoraAninna/status/1111965711100858369</t>
  </si>
  <si>
    <t>@mariaherminiab1</t>
  </si>
  <si>
    <t>http://twitter.com/mariaherminiab1/status/1111844997035372544</t>
  </si>
  <si>
    <t>March 29, 2019 at 11:17PM</t>
  </si>
  <si>
    <t>@royriojas</t>
  </si>
  <si>
    <t>http://twitter.com/royriojas/status/1111921743193612291</t>
  </si>
  <si>
    <t>March 30, 2019 at 04:22AM</t>
  </si>
  <si>
    <t>@periodismoperu</t>
  </si>
  <si>
    <t>http://twitter.com/periodismoperu/status/1111630418145697792</t>
  </si>
  <si>
    <t>March 29, 2019 at 09:05AM</t>
  </si>
  <si>
    <t>@tenta_fjhotmail</t>
  </si>
  <si>
    <t>http://twitter.com/tenta_fjhotmail/status/1111697214156484609</t>
  </si>
  <si>
    <t>@shwnangel</t>
  </si>
  <si>
    <t>http://twitter.com/shwnangel/status/1111698060801908736</t>
  </si>
  <si>
    <t>March 29, 2019 at 01:34PM</t>
  </si>
  <si>
    <t>@Alfoxap</t>
  </si>
  <si>
    <t>http://twitter.com/Alfoxap/status/1111646421399334914</t>
  </si>
  <si>
    <t>@MidisQaliWarma</t>
  </si>
  <si>
    <t>http://twitter.com/MidisQaliWarma/status/1111400714096377856</t>
  </si>
  <si>
    <t>@LoyoJimenez</t>
  </si>
  <si>
    <t>http://twitter.com/LoyoJimenez/status/1111757066425622530</t>
  </si>
  <si>
    <t>March 29, 2019 at 05:28PM</t>
  </si>
  <si>
    <t>@JaimeSerra</t>
  </si>
  <si>
    <t>http://twitter.com/JaimeSerra/status/1111761105968336896</t>
  </si>
  <si>
    <t>March 29, 2019 at 05:44PM</t>
  </si>
  <si>
    <t>@FranzHuegel</t>
  </si>
  <si>
    <t>http://twitter.com/FranzHuegel/status/1111978052156882944</t>
  </si>
  <si>
    <t>March 30, 2019 at 08:06AM</t>
  </si>
  <si>
    <t>@zosimar57</t>
  </si>
  <si>
    <t>http://twitter.com/zosimar57/status/1111409621086793730</t>
  </si>
  <si>
    <t>March 28, 2019 at 06:27PM</t>
  </si>
  <si>
    <t>@RCarhuallay</t>
  </si>
  <si>
    <t>http://twitter.com/RCarhuallay/status/1111945146004705281</t>
  </si>
  <si>
    <t>March 30, 2019 at 05:55AM</t>
  </si>
  <si>
    <t>@DxnielPatilla</t>
  </si>
  <si>
    <t>http://twitter.com/DxnielPatilla/status/1111745058544513030</t>
  </si>
  <si>
    <t>March 29, 2019 at 04:40PM</t>
  </si>
  <si>
    <t>@zegarramining</t>
  </si>
  <si>
    <t>http://twitter.com/zegarramining/status/1111727684755677185</t>
  </si>
  <si>
    <t>March 29, 2019 at 03:31PM</t>
  </si>
  <si>
    <t>@inriro</t>
  </si>
  <si>
    <t>http://twitter.com/inriro/status/1111622061326299137</t>
  </si>
  <si>
    <t>@davidasair</t>
  </si>
  <si>
    <t>http://twitter.com/davidasair/status/1111642083897606146</t>
  </si>
  <si>
    <t>http://twitter.com/SILVYTA27/status/1111858268077522944</t>
  </si>
  <si>
    <t>@Jenifferbk_DM</t>
  </si>
  <si>
    <t>http://twitter.com/Jenifferbk_DM/status/1111733205252616199</t>
  </si>
  <si>
    <t>March 29, 2019 at 03:53PM</t>
  </si>
  <si>
    <t>@JovenesKeiko</t>
  </si>
  <si>
    <t>http://twitter.com/JovenesKeiko/status/1111864238816051200</t>
  </si>
  <si>
    <t>March 30, 2019 at 12:34AM</t>
  </si>
  <si>
    <t>@Marcela45231150</t>
  </si>
  <si>
    <t>http://twitter.com/Marcela45231150/status/1111541869866074112</t>
  </si>
  <si>
    <t>@RAMONHERBERT1</t>
  </si>
  <si>
    <t>http://twitter.com/RAMONHERBERT1/status/1111626236940427264</t>
  </si>
  <si>
    <t>March 29, 2019 at 08:48AM</t>
  </si>
  <si>
    <t>@AldoVasquezP</t>
  </si>
  <si>
    <t>http://twitter.com/AldoVasquezP/status/1111582819501948929</t>
  </si>
  <si>
    <t>March 29, 2019 at 05:56AM</t>
  </si>
  <si>
    <t>@vigilfran</t>
  </si>
  <si>
    <t>http://twitter.com/vigilfran/status/1111669036633518080</t>
  </si>
  <si>
    <t>March 29, 2019 at 11:38AM</t>
  </si>
  <si>
    <t>@JeanettPetrosi2</t>
  </si>
  <si>
    <t>http://twitter.com/JeanettPetrosi2/status/1111431112444674049</t>
  </si>
  <si>
    <t>@milagrosaven</t>
  </si>
  <si>
    <t>http://twitter.com/milagrosaven/status/1111732707669745664</t>
  </si>
  <si>
    <t>March 29, 2019 at 03:51PM</t>
  </si>
  <si>
    <t>@peruenlanoticia</t>
  </si>
  <si>
    <t>http://twitter.com/peruenlanoticia/status/1111753288209350656</t>
  </si>
  <si>
    <t>@sarrescate</t>
  </si>
  <si>
    <t>http://twitter.com/sarrescate/status/1111714684586086401</t>
  </si>
  <si>
    <t>March 29, 2019 at 02:40PM</t>
  </si>
  <si>
    <t>@R2D2Y2</t>
  </si>
  <si>
    <t>http://twitter.com/R2D2Y2/status/1111938112056410112</t>
  </si>
  <si>
    <t>March 30, 2019 at 05:27AM</t>
  </si>
  <si>
    <t>http://twitter.com/exitosape/status/1111599600522145792</t>
  </si>
  <si>
    <t>March 29, 2019 at 07:02AM</t>
  </si>
  <si>
    <t>http://twitter.com/kismipedro/status/1111928394026024960</t>
  </si>
  <si>
    <t>March 30, 2019 at 04:49AM</t>
  </si>
  <si>
    <t>http://twitter.com/MaikLarico/status/1111595008392658944</t>
  </si>
  <si>
    <t>March 29, 2019 at 06:44AM</t>
  </si>
  <si>
    <t>@helenblurryface</t>
  </si>
  <si>
    <t>http://twitter.com/helenblurryface/status/1111948783670255627</t>
  </si>
  <si>
    <t>March 30, 2019 at 06:10AM</t>
  </si>
  <si>
    <t>@Ineselefra</t>
  </si>
  <si>
    <t>http://twitter.com/Ineselefra/status/1111978296827396101</t>
  </si>
  <si>
    <t>March 30, 2019 at 08:07AM</t>
  </si>
  <si>
    <t>@AndreaAirlines</t>
  </si>
  <si>
    <t>http://twitter.com/AndreaAirlines/status/1111669618685427712</t>
  </si>
  <si>
    <t>March 29, 2019 at 11:41AM</t>
  </si>
  <si>
    <t>@RiveraKike</t>
  </si>
  <si>
    <t>http://twitter.com/RiveraKike/status/1111840642764886016</t>
  </si>
  <si>
    <t>@IsmaelBenavide8</t>
  </si>
  <si>
    <t>http://twitter.com/IsmaelBenavide8/status/1111939810254639104</t>
  </si>
  <si>
    <t>March 30, 2019 at 05:34AM</t>
  </si>
  <si>
    <t>@DCRISPIN51</t>
  </si>
  <si>
    <t>http://twitter.com/DCRISPIN51/status/1111646364805394432</t>
  </si>
  <si>
    <t>http://twitter.com/kismipedro/status/1111553923805036545</t>
  </si>
  <si>
    <t>March 29, 2019 at 04:01AM</t>
  </si>
  <si>
    <t>@maryju333</t>
  </si>
  <si>
    <t>http://twitter.com/maryju333/status/1111678264593055744</t>
  </si>
  <si>
    <t>@peru21noticias</t>
  </si>
  <si>
    <t>http://twitter.com/peru21noticias/status/1111457431312367618</t>
  </si>
  <si>
    <t>March 28, 2019 at 09:37PM</t>
  </si>
  <si>
    <t>@josferperu</t>
  </si>
  <si>
    <t>http://twitter.com/josferperu/status/1111710337806553088</t>
  </si>
  <si>
    <t>March 29, 2019 at 02:22PM</t>
  </si>
  <si>
    <t>@Agencia_Andina</t>
  </si>
  <si>
    <t>http://twitter.com/Agencia_Andina/status/1111919492869718016</t>
  </si>
  <si>
    <t>March 30, 2019 at 04:14AM</t>
  </si>
  <si>
    <t>http://twitter.com/jaimedelcastill/status/1111749258850549760</t>
  </si>
  <si>
    <t>@steysiet</t>
  </si>
  <si>
    <t>http://twitter.com/steysiet/status/1111456909146710016</t>
  </si>
  <si>
    <t>March 28, 2019 at 09:35PM</t>
  </si>
  <si>
    <t>@gabriellaperu</t>
  </si>
  <si>
    <t>http://twitter.com/gabriellaperu/status/1111881452075913216</t>
  </si>
  <si>
    <t>March 30, 2019 at 01:42AM</t>
  </si>
  <si>
    <t>http://twitter.com/AldoVasquezP/status/1111692482801217538</t>
  </si>
  <si>
    <t>March 29, 2019 at 01:11PM</t>
  </si>
  <si>
    <t>@FernandaAranib</t>
  </si>
  <si>
    <t>http://twitter.com/FernandaAranib/status/1111659030341210114</t>
  </si>
  <si>
    <t>March 29, 2019 at 10:59AM</t>
  </si>
  <si>
    <t>http://twitter.com/SILVYTA27/status/1111853572814225411</t>
  </si>
  <si>
    <t>March 29, 2019 at 11:52PM</t>
  </si>
  <si>
    <t>@digoesundecir</t>
  </si>
  <si>
    <t>http://twitter.com/digoesundecir/status/1111488785500430337</t>
  </si>
  <si>
    <t>March 28, 2019 at 11:42PM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</si>
</sst>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0"/>
  <sheetViews>
    <sheetView tabSelected="1" workbookViewId="0">
      <selection activeCell="J15" sqref="J15"/>
    </sheetView>
  </sheetViews>
  <sheetFormatPr baseColWidth="10" defaultRowHeight="14.4" x14ac:dyDescent="0.3"/>
  <sheetData>
    <row r="1" spans="1:4" ht="15.75" customHeight="1" x14ac:dyDescent="0.3">
      <c r="A1" s="1" t="s">
        <v>147</v>
      </c>
      <c r="B1" s="1" t="str">
        <f ca="1">IFERROR(__xludf.DUMMYFUNCTION("GOOGLETRANSLATE(B51,""es"",""en"")"),"Rt @fabiolamorales: It seems that we are tumbo in tumbo. I reiterate my opinion to advance elections. This can not go on like this. https://t.co/pk6uqhgqoa")</f>
        <v>Rt @fabiolamorales: It seems that we are tumbo in tumbo. I reiterate my opinion to advance elections. This can not go on like this. https://t.co/pk6uqhgqoa</v>
      </c>
      <c r="C1" s="1" t="s">
        <v>148</v>
      </c>
      <c r="D1" s="1" t="s">
        <v>149</v>
      </c>
    </row>
    <row r="2" spans="1:4" ht="15.75" customHeight="1" x14ac:dyDescent="0.3">
      <c r="A2" s="1" t="s">
        <v>150</v>
      </c>
      <c r="B2" s="1" t="str">
        <f ca="1">IFERROR(__xludf.DUMMYFUNCTION("GOOGLETRANSLATE(B52,""es"",""en"")"),"RT @eljorobado: Government management regarding bambas is one more case for #BlanquitosoutofContext looks like the management of PPK #OHWAIT")</f>
        <v>RT @eljorobado: Government management regarding bambas is one more case for #BlanquitosoutofContext looks like the management of PPK #OHWAIT</v>
      </c>
      <c r="C2" s="1" t="s">
        <v>151</v>
      </c>
      <c r="D2" s="1" t="s">
        <v>152</v>
      </c>
    </row>
    <row r="3" spans="1:4" ht="15.75" customHeight="1" x14ac:dyDescent="0.3">
      <c r="A3" s="1" t="s">
        <v>153</v>
      </c>
      <c r="B3" s="1" t="str">
        <f ca="1">IFERROR(__xludf.DUMMYFUNCTION("GOOGLETRANSLATE(B53,""es"",""en"")"),"Rt @luisthais1: serious accusation of @Expresoperu points out former minister @memperu Jorge Merino changed eia current minister @mtc_gobperu Edmer Trujillo reclassified departmental roads in nationals and @ppkamigo as a partner of @servosa Spanish compan"&amp;"y that translates mineral of the bambas with 300 dump trucks")</f>
        <v>Rt @luisthais1: serious accusation of @Expresoperu points out former minister @memperu Jorge Merino changed eia current minister @mtc_gobperu Edmer Trujillo reclassified departmental roads in nationals and @ppkamigo as a partner of @servosa Spanish company that translates mineral of the bambas with 300 dump trucks</v>
      </c>
      <c r="C3" s="1" t="s">
        <v>154</v>
      </c>
      <c r="D3" s="1" t="s">
        <v>107</v>
      </c>
    </row>
    <row r="4" spans="1:4" ht="15.75" customHeight="1" x14ac:dyDescent="0.3">
      <c r="A4" s="1" t="s">
        <v>155</v>
      </c>
      <c r="B4" s="1" t="str">
        <f ca="1">IFERROR(__xludf.DUMMYFUNCTION("GOOGLETRANSLATE(B54,""es"",""en"")"),"Rt @jpereyra1952: If this guy were in the bambas, the police had been thrown out to the floor of a manazo
But since it is influential and not common, nothing happens with him.
#Lasbambas https://t.co/pikuw7g2bx")</f>
        <v>Rt @jpereyra1952: If this guy were in the bambas, the police had been thrown out to the floor of a manazo
But since it is influential and not common, nothing happens with him.
#Lasbambas https://t.co/pikuw7g2bx</v>
      </c>
      <c r="C4" s="1" t="s">
        <v>156</v>
      </c>
      <c r="D4" s="1" t="s">
        <v>157</v>
      </c>
    </row>
    <row r="5" spans="1:4" ht="15.75" customHeight="1" x14ac:dyDescent="0.3">
      <c r="A5" s="1" t="s">
        <v>158</v>
      </c>
      <c r="B5" s="1" t="str">
        <f ca="1">IFERROR(__xludf.DUMMYFUNCTION("GOOGLETRANSLATE(B55,""es"",""en"")"),"If a president is not inept or incompetent, then that qualifier would be given when the great problems of the country are not solved, such as the Las Bambas, armed crime, lousy attention in education and health, affected without attention etc.?")</f>
        <v>If a president is not inept or incompetent, then that qualifier would be given when the great problems of the country are not solved, such as the Las Bambas, armed crime, lousy attention in education and health, affected without attention etc.?</v>
      </c>
      <c r="C5" s="1" t="s">
        <v>159</v>
      </c>
      <c r="D5" s="1" t="s">
        <v>160</v>
      </c>
    </row>
    <row r="6" spans="1:4" ht="15.75" customHeight="1" x14ac:dyDescent="0.3">
      <c r="A6" s="1" t="s">
        <v>161</v>
      </c>
      <c r="B6" s="1" t="str">
        <f ca="1">IFERROR(__xludf.DUMMYFUNCTION("GOOGLETRANSLATE(B56,""es"",""en"")"),"Rt @JTACEDELPERU: 📣Atnción⚠️
🗣 The communal leader Gregorio Rojas has been released. The next step is to resume the dialogue and give a peaceful solution to what happens to our compatriots in force.
Immediate solution in the bambas! https://t.co/Hyuitmm"&amp;"qje")</f>
        <v>Rt @JTACEDELPERU: 📣Atnción⚠️
🗣 The communal leader Gregorio Rojas has been released. The next step is to resume the dialogue and give a peaceful solution to what happens to our compatriots in force.
Immediate solution in the bambas! https://t.co/Hyuitmmqje</v>
      </c>
      <c r="C6" s="1" t="s">
        <v>162</v>
      </c>
      <c r="D6" s="1" t="s">
        <v>163</v>
      </c>
    </row>
    <row r="7" spans="1:4" ht="15.75" customHeight="1" x14ac:dyDescent="0.3">
      <c r="A7" s="1" t="s">
        <v>164</v>
      </c>
      <c r="B7" s="1" t="str">
        <f ca="1">IFERROR(__xludf.DUMMYFUNCTION("GOOGLETRANSLATE(B57,""es"",""en"")"),"Steve, which is March, take off your flip flops and put on sluts bambas")</f>
        <v>Steve, which is March, take off your flip flops and put on sluts bambas</v>
      </c>
      <c r="C7" s="1" t="s">
        <v>165</v>
      </c>
      <c r="D7" s="1" t="s">
        <v>166</v>
      </c>
    </row>
    <row r="8" spans="1:4" ht="15.75" customHeight="1" x14ac:dyDescent="0.3">
      <c r="A8" s="1" t="s">
        <v>167</v>
      </c>
      <c r="B8" s="1" t="str">
        <f ca="1">IFERROR(__xludf.DUMMYFUNCTION("GOOGLETRANSLATE(B58,""es"",""en"")"),"RT @Reaccionap: Congressman #vitocho could not be oblivious to the topic of the bambas conflict, which has been for 52 days, after listening to it, we ask ourselves who supports, to the people of the bambas or the Chinese mining company? #Lasbambas #bamba"&amp;"s #enlasbambas #chumbivilcas https://t.co/vitgb1r0aj")</f>
        <v>RT @Reaccionap: Congressman #vitocho could not be oblivious to the topic of the bambas conflict, which has been for 52 days, after listening to it, we ask ourselves who supports, to the people of the bambas or the Chinese mining company? #Lasbambas #bambas #enlasbambas #chumbivilcas https://t.co/vitgb1r0aj</v>
      </c>
      <c r="C8" s="1" t="s">
        <v>168</v>
      </c>
      <c r="D8" s="1" t="s">
        <v>169</v>
      </c>
    </row>
    <row r="9" spans="1:4" ht="15.75" customHeight="1" x14ac:dyDescent="0.3">
      <c r="A9" s="1" t="s">
        <v>170</v>
      </c>
      <c r="B9" s="1" t="str">
        <f ca="1">IFERROR(__xludf.DUMMYFUNCTION("GOOGLETRANSLATE(B59,""es"",""en"")"),"Because for all governments, whether from the right or left, liberal or caviar ?")</f>
        <v>Because for all governments, whether from the right or left, liberal or caviar ?</v>
      </c>
      <c r="C9" s="1" t="s">
        <v>171</v>
      </c>
      <c r="D9" s="1" t="s">
        <v>172</v>
      </c>
    </row>
    <row r="10" spans="1:4" ht="15.75" customHeight="1" x14ac:dyDescent="0.3">
      <c r="A10" s="1" t="s">
        <v>173</v>
      </c>
      <c r="B10" s="1" t="str">
        <f ca="1">IFERROR(__xludf.DUMMYFUNCTION("GOOGLETRANSLATE(B60,""es"",""en"")"),"@Mavilahuertasc #lasbambas Raúl Huamaní Huachaca (37) denounced that it was assaulted around 6:00 am today by a group of police officers who protect the entrance to the Las Bambas mine, in the 'spring' sector. https://t.co/vxkei8j1t9 https://t.co/bvncuwzk"&amp;"y6")</f>
        <v>@Mavilahuertasc #lasbambas Raúl Huamaní Huachaca (37) denounced that it was assaulted around 6:00 am today by a group of police officers who protect the entrance to the Las Bambas mine, in the 'spring' sector. https://t.co/vxkei8j1t9 https://t.co/bvncuwzky6</v>
      </c>
      <c r="C10" s="1" t="s">
        <v>174</v>
      </c>
      <c r="D10" s="1" t="s">
        <v>175</v>
      </c>
    </row>
    <row r="11" spans="1:4" ht="15.75" customHeight="1" x14ac:dyDescent="0.3">
      <c r="A11" s="1" t="s">
        <v>176</v>
      </c>
      <c r="B11" s="1" t="str">
        <f ca="1">IFERROR(__xludf.DUMMYFUNCTION("GOOGLETRANSLATE(B61,""es"",""en"")"),"RT @alfonsobaella: Fuerabamba: houses with light, water, drainage, internet, medical post, school, tracks and paths. Almost 2 million S/. X family. They were initially 150, 500 appeared, but the same. Now they want more or block the road. The mine complie"&amp;"d, they didn't!")</f>
        <v>RT @alfonsobaella: Fuerabamba: houses with light, water, drainage, internet, medical post, school, tracks and paths. Almost 2 million S/. X family. They were initially 150, 500 appeared, but the same. Now they want more or block the road. The mine complied, they didn't!</v>
      </c>
      <c r="C11" s="1" t="s">
        <v>177</v>
      </c>
      <c r="D11" s="1" t="s">
        <v>178</v>
      </c>
    </row>
    <row r="12" spans="1:4" ht="15.75" customHeight="1" x14ac:dyDescent="0.3">
      <c r="A12" s="1" t="s">
        <v>179</v>
      </c>
      <c r="B12" s="1" t="str">
        <f ca="1">IFERROR(__xludf.DUMMYFUNCTION("GOOGLETRANSLATE(B62,""es"",""en"")"),"Rt @Joveneskmiraflo: Jorge Paredes: Las Bambas | Vizcarra and Salvador del Solar are taking care of Pedro Pablo Kuczynski. The owner of the servant company. @Defensoria_peru
@congresoperu
Please, is this true? .. https://t.co/iw4sggetpa")</f>
        <v>Rt @Joveneskmiraflo: Jorge Paredes: Las Bambas | Vizcarra and Salvador del Solar are taking care of Pedro Pablo Kuczynski. The owner of the servant company. @Defensoria_peru
@congresoperu
Please, is this true? .. https://t.co/iw4sggetpa</v>
      </c>
      <c r="C12" s="1" t="s">
        <v>180</v>
      </c>
      <c r="D12" s="1" t="s">
        <v>181</v>
      </c>
    </row>
    <row r="13" spans="1:4" ht="15.75" customHeight="1" x14ac:dyDescent="0.3">
      <c r="A13" s="1" t="s">
        <v>182</v>
      </c>
      <c r="B13" s="1" t="str">
        <f ca="1">IFERROR(__xludf.DUMMYFUNCTION("GOOGLETRANSLATE(B63,""es"",""en"")"),"RT @Plinio2009: Martín Vizcarra and PPK burned the bambas. Of course, the first promising more than S/ 2,000 million, and the second putting its trucks serrated by mineral transport. This does not exempt mafia community leaders or ""chavelos"" extortion. "&amp;"https://t.co/l6bf7hne22")</f>
        <v>RT @Plinio2009: Martín Vizcarra and PPK burned the bambas. Of course, the first promising more than S/ 2,000 million, and the second putting its trucks serrated by mineral transport. This does not exempt mafia community leaders or "chavelos" extortion. https://t.co/l6bf7hne22</v>
      </c>
      <c r="C13" s="1" t="s">
        <v>183</v>
      </c>
      <c r="D13" s="1" t="s">
        <v>184</v>
      </c>
    </row>
    <row r="14" spans="1:4" ht="15.75" customHeight="1" x14ac:dyDescent="0.3">
      <c r="A14" s="1" t="s">
        <v>129</v>
      </c>
      <c r="B14" s="1" t="str">
        <f ca="1">IFERROR(__xludf.DUMMYFUNCTION("GOOGLETRANSLATE(B64,""es"",""en"")"),"Last night in #Spaciolibre by @ucinoticias_pe and @vivatv19 we analyze the case Las Bambas and the electoral photos of @dsalaverryvv
Full video here https://t.co/q5asrjdmhp
And also here https://t.co/f8gw8pnxom https://t.co/jhkjqlykhv")</f>
        <v>Last night in #Spaciolibre by @ucinoticias_pe and @vivatv19 we analyze the case Las Bambas and the electoral photos of @dsalaverryvv
Full video here https://t.co/q5asrjdmhp
And also here https://t.co/f8gw8pnxom https://t.co/jhkjqlykhv</v>
      </c>
      <c r="C14" s="1" t="s">
        <v>185</v>
      </c>
      <c r="D14" s="1" t="s">
        <v>186</v>
      </c>
    </row>
    <row r="15" spans="1:4" ht="15.75" customHeight="1" x14ac:dyDescent="0.3">
      <c r="A15" s="1" t="s">
        <v>187</v>
      </c>
      <c r="B15" s="1" t="str">
        <f ca="1">IFERROR(__xludf.DUMMYFUNCTION("GOOGLETRANSLATE(B65,""es"",""en"")"),"Rt @ojo_publica: #The last #Fuerabamba was identified as an indigenous people in a preliminary database, but was withdrawn in 2015 in the official list that was published. The government never made prior consultation by #Lasbambas. https://t.co/uch9ljxxuz")</f>
        <v>Rt @ojo_publica: #The last #Fuerabamba was identified as an indigenous people in a preliminary database, but was withdrawn in 2015 in the official list that was published. The government never made prior consultation by #Lasbambas. https://t.co/uch9ljxxuz</v>
      </c>
      <c r="C15" s="1" t="s">
        <v>188</v>
      </c>
      <c r="D15" s="1" t="s">
        <v>189</v>
      </c>
    </row>
    <row r="16" spans="1:4" ht="15.75" customHeight="1" x14ac:dyDescent="0.3">
      <c r="A16" s="1" t="s">
        <v>190</v>
      </c>
      <c r="B16" s="1" t="str">
        <f ca="1">IFERROR(__xludf.DUMMYFUNCTION("GOOGLETRANSLATE(B66,""es"",""en"")"),"Rt @delurens: Nós went to shit, the members of the FUDEPP, political arm of the Shining Path, marched through the streets of the center of Lima in support of the community members of Cotabambas who maintain a strike against the Minera de las Bambas. https"&amp;"://t.co/9fcbmqbyyu")</f>
        <v>Rt @delurens: Nós went to shit, the members of the FUDEPP, political arm of the Shining Path, marched through the streets of the center of Lima in support of the community members of Cotabambas who maintain a strike against the Minera de las Bambas. https://t.co/9fcbmqbyyu</v>
      </c>
      <c r="C16" s="1" t="s">
        <v>191</v>
      </c>
      <c r="D16" s="1" t="s">
        <v>192</v>
      </c>
    </row>
    <row r="17" spans="1:4" ht="15.75" customHeight="1" x14ac:dyDescent="0.3">
      <c r="A17" s="1" t="s">
        <v>193</v>
      </c>
      <c r="B17" s="1" t="str">
        <f ca="1">IFERROR(__xludf.DUMMYFUNCTION("GOOGLETRANSLATE(B67,""es"",""en"")"),"Rt @richardrossimo1: @pipohuerta Can't solve the problem of bambas, and do you want a vote of trust?")</f>
        <v>Rt @richardrossimo1: @pipohuerta Can't solve the problem of bambas, and do you want a vote of trust?</v>
      </c>
      <c r="C17" s="1" t="s">
        <v>194</v>
      </c>
      <c r="D17" s="1" t="s">
        <v>195</v>
      </c>
    </row>
    <row r="18" spans="1:4" ht="15.75" customHeight="1" x14ac:dyDescent="0.3">
      <c r="A18" s="1" t="s">
        <v>196</v>
      </c>
      <c r="B18" s="1" t="str">
        <f ca="1">IFERROR(__xludf.DUMMYFUNCTION("GOOGLETRANSLATE(B68,""es"",""en"")"),"Rt @Joveneskmiraflo: Jorge Paredes: Las Bambas | Vizcarra and Salvador del Solar are taking care of Pedro Pablo Kuczynski. The owner of the servant company. @Defensoria_peru
@congresoperu
Please, is this true? .. https://t.co/iw4sggetpa")</f>
        <v>Rt @Joveneskmiraflo: Jorge Paredes: Las Bambas | Vizcarra and Salvador del Solar are taking care of Pedro Pablo Kuczynski. The owner of the servant company. @Defensoria_peru
@congresoperu
Please, is this true? .. https://t.co/iw4sggetpa</v>
      </c>
      <c r="C18" s="1" t="s">
        <v>197</v>
      </c>
      <c r="D18" s="1" t="s">
        <v>198</v>
      </c>
    </row>
    <row r="19" spans="1:4" ht="15.75" customHeight="1" x14ac:dyDescent="0.3">
      <c r="A19" s="1" t="s">
        <v>199</v>
      </c>
      <c r="B19" s="1" t="str">
        <f ca="1">IFERROR(__xludf.DUMMYFUNCTION("GOOGLETRANSLATE(B69,""es"",""en"")"),"Rt @riciclodelperu: This was Vizcarra in 2008, when he wanted to be governor, he headed the moqueguazo where 63 police officers were kidnapped and all the ways were taken. There if the road taking, the burning of the police station, the blockade of the br"&amp;"idges.
Now go solve the bambas.
INEPT! https://t.co/onjdeq9wpu")</f>
        <v>Rt @riciclodelperu: This was Vizcarra in 2008, when he wanted to be governor, he headed the moqueguazo where 63 police officers were kidnapped and all the ways were taken. There if the road taking, the burning of the police station, the blockade of the bridges.
Now go solve the bambas.
INEPT! https://t.co/onjdeq9wpu</v>
      </c>
      <c r="C19" s="1" t="s">
        <v>200</v>
      </c>
      <c r="D19" s="1" t="s">
        <v>201</v>
      </c>
    </row>
    <row r="20" spans="1:4" ht="15.75" customHeight="1" x14ac:dyDescent="0.3">
      <c r="A20" s="1" t="s">
        <v>202</v>
      </c>
      <c r="B20" s="1" t="str">
        <f ca="1">IFERROR(__xludf.DUMMYFUNCTION("GOOGLETRANSLATE(B70,""es"",""en"")"),"Rt @pruperu: ""Now that the MP ignored the political and commercial pressures that asked to free the president of the Fuerabamba community - for"" imbalance ""negotiations"" in the bambas - we know that, indeed, Keiko Fujimori is a political prey . https:"&amp;"//t.co/fp5md3qhi8")</f>
        <v>Rt @pruperu: "Now that the MP ignored the political and commercial pressures that asked to free the president of the Fuerabamba community - for" imbalance "negotiations" in the bambas - we know that, indeed, Keiko Fujimori is a political prey . https://t.co/fp5md3qhi8</v>
      </c>
      <c r="C20" s="1" t="s">
        <v>203</v>
      </c>
      <c r="D20" s="1" t="s">
        <v>204</v>
      </c>
    </row>
    <row r="21" spans="1:4" ht="15.75" customHeight="1" x14ac:dyDescent="0.3">
      <c r="A21" s="1" t="s">
        <v>205</v>
      </c>
      <c r="B21" s="1" t="str">
        <f ca="1">IFERROR(__xludf.DUMMYFUNCTION("GOOGLETRANSLATE(B71,""es"",""en"")"),"Rt @mariomantilla7: publicly transparent who owns trucks and/or dump trucks that move the mineral in the bambas will be known if there was conflict of interest among those who negotiated from before to date, there may be surprises.")</f>
        <v>Rt @mariomantilla7: publicly transparent who owns trucks and/or dump trucks that move the mineral in the bambas will be known if there was conflict of interest among those who negotiated from before to date, there may be surprises.</v>
      </c>
      <c r="C21" s="1" t="s">
        <v>206</v>
      </c>
      <c r="D21" s="1" t="s">
        <v>207</v>
      </c>
    </row>
    <row r="22" spans="1:4" ht="15.75" customHeight="1" x14ac:dyDescent="0.3">
      <c r="A22" s="1" t="s">
        <v>208</v>
      </c>
      <c r="B22" s="1" t="str">
        <f ca="1">IFERROR(__xludf.DUMMYFUNCTION("GOOGLETRANSLATE(B72,""es"",""en"")"),"Rt @isique_pedro: Is the problem to solve the bambas?
We would all believe yes, but for #DonPanta's #Ministros it doesn't seem like this
Yesterday they met with communities in Apurímac and agreed to meet again in Lima #9deabril ... 12 days later!
I don't "&amp;"tell you #ineptos because they are offended")</f>
        <v>Rt @isique_pedro: Is the problem to solve the bambas?
We would all believe yes, but for #DonPanta's #Ministros it doesn't seem like this
Yesterday they met with communities in Apurímac and agreed to meet again in Lima #9deabril ... 12 days later!
I don't tell you #ineptos because they are offended</v>
      </c>
      <c r="C22" s="1" t="s">
        <v>209</v>
      </c>
      <c r="D22" s="1" t="s">
        <v>210</v>
      </c>
    </row>
    <row r="23" spans="1:4" ht="15.75" customHeight="1" x14ac:dyDescent="0.3">
      <c r="A23" s="1" t="s">
        <v>211</v>
      </c>
      <c r="B23" s="1" t="str">
        <f ca="1">IFERROR(__xludf.DUMMYFUNCTION("GOOGLETRANSLATE(B73,""es"",""en"")"),"RT @DMacera: Now that the operations of the bambas is outlined, let's put their contribution in perspective.
Who are benefiting from this conflict? https://t.co/esvewmpxxy")</f>
        <v>RT @DMacera: Now that the operations of the bambas is outlined, let's put their contribution in perspective.
Who are benefiting from this conflict? https://t.co/esvewmpxxy</v>
      </c>
      <c r="C23" s="1" t="s">
        <v>212</v>
      </c>
      <c r="D23" s="1" t="s">
        <v>213</v>
      </c>
    </row>
    <row r="24" spans="1:4" ht="15.75" customHeight="1" x14ac:dyDescent="0.3">
      <c r="A24" s="1" t="s">
        <v>214</v>
      </c>
      <c r="B24" s="1" t="str">
        <f ca="1">IFERROR(__xludf.DUMMYFUNCTION("GOOGLETRANSLATE(B74,""es"",""en"")"),"RT @marttinnoba: It is disgusting that a lawyer wants to present as ""innocent"" the Criminal Lobbysta al Ph.D. Pedro Pablo Kuczynski Godard. Thanks to the disastrous intervention, the tunnel was not made for the bambas, because it already had the roads o"&amp;"f the walks. There are already 4 four dead")</f>
        <v>RT @marttinnoba: It is disgusting that a lawyer wants to present as "innocent" the Criminal Lobbysta al Ph.D. Pedro Pablo Kuczynski Godard. Thanks to the disastrous intervention, the tunnel was not made for the bambas, because it already had the roads of the walks. There are already 4 four dead</v>
      </c>
      <c r="C24" s="1" t="s">
        <v>215</v>
      </c>
      <c r="D24" s="1" t="s">
        <v>216</v>
      </c>
    </row>
    <row r="25" spans="1:4" ht="15.75" customHeight="1" x14ac:dyDescent="0.3">
      <c r="A25" s="1" t="s">
        <v>217</v>
      </c>
      <c r="B25" s="1" t="str">
        <f ca="1">IFERROR(__xludf.DUMMYFUNCTION("GOOGLETRANSLATE(B75,""es"",""en"")"),"Rt @canaln_: [live] #nportada Cateriano on the bambas: the acts of violence must be condemned, not only the blockage of roads and threats but also the aggression to the ministers. The law must be applied firmly ► https://t.co/oyiw8cfzil https://t.co/1zgnr"&amp;"pkci2")</f>
        <v>Rt @canaln_: [live] #nportada Cateriano on the bambas: the acts of violence must be condemned, not only the blockage of roads and threats but also the aggression to the ministers. The law must be applied firmly ► https://t.co/oyiw8cfzil https://t.co/1zgnrpkci2</v>
      </c>
      <c r="C25" s="1" t="s">
        <v>218</v>
      </c>
      <c r="D25" s="1" t="s">
        <v>219</v>
      </c>
    </row>
    <row r="26" spans="1:4" ht="15.75" customHeight="1" x14ac:dyDescent="0.3">
      <c r="A26" s="1" t="s">
        <v>220</v>
      </c>
      <c r="B26" s="1" t="str">
        <f ca="1">IFERROR(__xludf.DUMMYFUNCTION("GOOGLETRANSLATE(B76,""es"",""en"")"),"Las Bambas: The head of the Minproduction, Rocío Barrios, invokes the dialog")</f>
        <v>Las Bambas: The head of the Minproduction, Rocío Barrios, invokes the dialog</v>
      </c>
      <c r="C26" s="1" t="s">
        <v>221</v>
      </c>
      <c r="D26" s="1" t="s">
        <v>222</v>
      </c>
    </row>
    <row r="27" spans="1:4" ht="15.75" customHeight="1" x14ac:dyDescent="0.3">
      <c r="A27" s="1" t="s">
        <v>223</v>
      </c>
      <c r="B27" s="1" t="str">
        <f ca="1">IFERROR(__xludf.DUMMYFUNCTION("GOOGLETRANSLATE(B77,""es"",""en"")"),"RT @waykaperu: What is really happening with the communities affected by the Las Bambas mining project?
The lawyer Mirtha Vasquez explains it in #3minutos⏱ | #Tensiónlasbambas
Watch the full video 👉 https://t.co/Keyfpezjf2 https://t.co/OZ3LTQXVUL")</f>
        <v>RT @waykaperu: What is really happening with the communities affected by the Las Bambas mining project?
The lawyer Mirtha Vasquez explains it in #3minutos⏱ | #Tensiónlasbambas
Watch the full video 👉 https://t.co/Keyfpezjf2 https://t.co/OZ3LTQXVUL</v>
      </c>
      <c r="C27" s="1" t="s">
        <v>224</v>
      </c>
      <c r="D27" s="1" t="s">
        <v>225</v>
      </c>
    </row>
    <row r="28" spans="1:4" ht="15.75" customHeight="1" x14ac:dyDescent="0.3">
      <c r="A28" s="1" t="s">
        <v>226</v>
      </c>
      <c r="B28" s="1" t="str">
        <f ca="1">IFERROR(__xludf.DUMMYFUNCTION("GOOGLETRANSLATE(B78,""es"",""en"")"),"@Jbcperu @plinio2009:
MVC and PPK set the bambas on fire. Of course, the first promising more than S/ 2,000 million, and the second putting its trucks serrated by mineral transport. This does not exempt mafia community leaders or ""chavelos"" extortion. h"&amp;"ttps://t.co/drvssx02my")</f>
        <v>@Jbcperu @plinio2009:
MVC and PPK set the bambas on fire. Of course, the first promising more than S/ 2,000 million, and the second putting its trucks serrated by mineral transport. This does not exempt mafia community leaders or "chavelos" extortion. https://t.co/drvssx02my</v>
      </c>
      <c r="C28" s="1" t="s">
        <v>227</v>
      </c>
      <c r="D28" s="1" t="s">
        <v>228</v>
      </c>
    </row>
    <row r="29" spans="1:4" ht="15.75" customHeight="1" x14ac:dyDescent="0.3">
      <c r="A29" s="1" t="s">
        <v>229</v>
      </c>
      <c r="B29" s="1" t="str">
        <f ca="1">IFERROR(__xludf.DUMMYFUNCTION("GOOGLETRANSLATE(B79,""es"",""en"")"),"Rt @chaplaytierra: today by Althaus talking about the bambas:
- You. Have you gone to the area?
- No, but I've seen many photos")</f>
        <v>Rt @chaplaytierra: today by Althaus talking about the bambas:
- You. Have you gone to the area?
- No, but I've seen many photos</v>
      </c>
      <c r="C29" s="1" t="s">
        <v>230</v>
      </c>
      <c r="D29" s="1" t="s">
        <v>231</v>
      </c>
    </row>
    <row r="30" spans="1:4" ht="15.75" customHeight="1" x14ac:dyDescent="0.3">
      <c r="A30" s="1" t="s">
        <v>232</v>
      </c>
      <c r="B30" s="1" t="str">
        <f ca="1">IFERROR(__xludf.DUMMYFUNCTION("GOOGLETRANSLATE(B80,""es"",""en"")"),"Excellent")</f>
        <v>Excellent</v>
      </c>
      <c r="C30" s="1" t="s">
        <v>233</v>
      </c>
      <c r="D30" s="1" t="s">
        <v>234</v>
      </c>
    </row>
    <row r="31" spans="1:4" ht="15.75" customHeight="1" x14ac:dyDescent="0.3">
      <c r="A31" s="1" t="s">
        <v>235</v>
      </c>
      <c r="B31" s="1" t="str">
        <f ca="1">IFERROR(__xludf.DUMMYFUNCTION("GOOGLETRANSLATE(B81,""es"",""en"")"),"RT @DMacera: Now that the operations of the bambas is outlined, let's put their contribution in perspective.
Who are benefiting from this conflict? https://t.co/esvewmpxxy")</f>
        <v>RT @DMacera: Now that the operations of the bambas is outlined, let's put their contribution in perspective.
Who are benefiting from this conflict? https://t.co/esvewmpxxy</v>
      </c>
      <c r="C31" s="1" t="s">
        <v>236</v>
      </c>
      <c r="D31" s="1" t="s">
        <v>237</v>
      </c>
    </row>
    <row r="32" spans="1:4" ht="15.75" customHeight="1" x14ac:dyDescent="0.3">
      <c r="A32" s="1" t="s">
        <v>238</v>
      </c>
      <c r="B32" s="1" t="str">
        <f ca="1">IFERROR(__xludf.DUMMYFUNCTION("GOOGLETRANSLATE(B82,""es"",""en"")"),"RT @RPPNOTICIAS: Bambas: Executive declares the state of emergency in chalhuahuacho https://t.co/2e3m8io2qz")</f>
        <v>RT @RPPNOTICIAS: Bambas: Executive declares the state of emergency in chalhuahuacho https://t.co/2e3m8io2qz</v>
      </c>
      <c r="C32" s="1" t="s">
        <v>239</v>
      </c>
      <c r="D32" s="1" t="s">
        <v>240</v>
      </c>
    </row>
    <row r="33" spans="1:4" ht="15.75" customHeight="1" x14ac:dyDescent="0.3">
      <c r="A33" s="1" t="s">
        <v>241</v>
      </c>
      <c r="B33" s="1" t="str">
        <f ca="1">IFERROR(__xludf.DUMMYFUNCTION("GOOGLETRANSLATE(B83,""es"",""en"")"),"RT @xafu: The instigator of the 'moqueguazo', does not know (or does not want) to solve the 'bambazo'. It goes for two months ...
https://t.co/neos5n6ewy")</f>
        <v>RT @xafu: The instigator of the 'moqueguazo', does not know (or does not want) to solve the 'bambazo'. It goes for two months ...
https://t.co/neos5n6ewy</v>
      </c>
      <c r="C33" s="1" t="s">
        <v>242</v>
      </c>
      <c r="D33" s="1" t="s">
        <v>243</v>
      </c>
    </row>
    <row r="34" spans="1:4" ht="15.75" customHeight="1" x14ac:dyDescent="0.3">
      <c r="A34" s="1" t="s">
        <v>244</v>
      </c>
      <c r="B34" s="1" t="str">
        <f ca="1">IFERROR(__xludf.DUMMYFUNCTION("GOOGLETRANSLATE(B84,""es"",""en"")"),"RT @alfonsobaella: Fuerabamba: houses with light, water, drainage, internet, medical post, school, tracks and paths. Almost 2 million S/. X family. They were initially 150, 500 appeared, but the same. Now they want more or block the road. The mine complie"&amp;"d, they didn't!")</f>
        <v>RT @alfonsobaella: Fuerabamba: houses with light, water, drainage, internet, medical post, school, tracks and paths. Almost 2 million S/. X family. They were initially 150, 500 appeared, but the same. Now they want more or block the road. The mine complied, they didn't!</v>
      </c>
      <c r="C34" s="1" t="s">
        <v>245</v>
      </c>
      <c r="D34" s="1" t="s">
        <v>246</v>
      </c>
    </row>
    <row r="35" spans="1:4" ht="15.75" customHeight="1" x14ac:dyDescent="0.3">
      <c r="A35" s="1" t="s">
        <v>247</v>
      </c>
      <c r="B35" s="1" t="str">
        <f ca="1">IFERROR(__xludf.DUMMYFUNCTION("GOOGLETRANSLATE(B85,""es"",""en"")"),"The coalition is cracked, by Fernando Rappigliosi @politica_ecpe https://t.co/fesisipvyv")</f>
        <v>The coalition is cracked, by Fernando Rappigliosi @politica_ecpe https://t.co/fesisipvyv</v>
      </c>
      <c r="C35" s="1" t="s">
        <v>248</v>
      </c>
      <c r="D35" s="1" t="s">
        <v>249</v>
      </c>
    </row>
    <row r="36" spans="1:4" ht="15.75" customHeight="1" x14ac:dyDescent="0.3">
      <c r="A36" s="1" t="s">
        <v>250</v>
      </c>
      <c r="B36" s="1" t="str">
        <f ca="1">IFERROR(__xludf.DUMMYFUNCTION("GOOGLETRANSLATE(B86,""es"",""en"")"),"Rt @ojo_publica: #The last #Fuerabamba was identified as an indigenous people in a preliminary database, but was withdrawn in 2015 in the official list that was published. The government never made prior consultation by #Lasbambas. https://t.co/uch9ljxxuz")</f>
        <v>Rt @ojo_publica: #The last #Fuerabamba was identified as an indigenous people in a preliminary database, but was withdrawn in 2015 in the official list that was published. The government never made prior consultation by #Lasbambas. https://t.co/uch9ljxxuz</v>
      </c>
      <c r="C36" s="1" t="s">
        <v>251</v>
      </c>
      <c r="D36" s="1" t="s">
        <v>252</v>
      </c>
    </row>
    <row r="37" spans="1:4" ht="15.75" customHeight="1" x14ac:dyDescent="0.3">
      <c r="A37" s="1" t="s">
        <v>253</v>
      </c>
      <c r="B37" s="1" t="str">
        <f ca="1">IFERROR(__xludf.DUMMYFUNCTION("GOOGLETRANSLATE(B87,""es"",""en"")"),"RT @elinfantejuan: Now that the conversations uncover between the general manager of the Bambas and their lawyers. Maybe they also have to spend a few days in Cana. Let's say. The conflict has two responsible parts.#OKNO https://t.co/O82BRN7PJP")</f>
        <v>RT @elinfantejuan: Now that the conversations uncover between the general manager of the Bambas and their lawyers. Maybe they also have to spend a few days in Cana. Let's say. The conflict has two responsible parts.#OKNO https://t.co/O82BRN7PJP</v>
      </c>
      <c r="C37" s="1" t="s">
        <v>254</v>
      </c>
      <c r="D37" s="1" t="s">
        <v>255</v>
      </c>
    </row>
    <row r="38" spans="1:4" ht="15.75" customHeight="1" x14ac:dyDescent="0.3">
      <c r="A38" s="1" t="s">
        <v>256</v>
      </c>
      <c r="B38" s="1" t="str">
        <f ca="1">IFERROR(__xludf.DUMMYFUNCTION("GOOGLETRANSLATE(B88,""es"",""en"")"),"In one day. In July 2014, an offshorade Glencore sold the Las Bambas mine, the most important cupriferous project, to a Chinese consortium for US $ 7,000 million. By the ... https://t.co/vtrwmvpyPl")</f>
        <v>In one day. In July 2014, an offshorade Glencore sold the Las Bambas mine, the most important cupriferous project, to a Chinese consortium for US $ 7,000 million. By the ... https://t.co/vtrwmvpyPl</v>
      </c>
      <c r="C38" s="1" t="s">
        <v>257</v>
      </c>
      <c r="D38" s="1" t="s">
        <v>258</v>
      </c>
    </row>
    <row r="39" spans="1:4" ht="15.75" customHeight="1" x14ac:dyDescent="0.3">
      <c r="A39" s="1" t="s">
        <v>259</v>
      </c>
      <c r="B39" s="1" t="str">
        <f ca="1">IFERROR(__xludf.DUMMYFUNCTION("GOOGLETRANSLATE(B89,""es"",""en"")"),"RT @Miquelmarin: Las Bambas: They warn of groups linked to Hezbollah https://t.co/qtodoecfPL
Edward Husain Quiroga Vargas is the leader of Inkari Islam, a Shiite Islamic group that would have various with ethnocacerism. Quiroga was pointed out in 2016 as "&amp;"a follower of a terrorist group")</f>
        <v>RT @Miquelmarin: Las Bambas: They warn of groups linked to Hezbollah https://t.co/qtodoecfPL
Edward Husain Quiroga Vargas is the leader of Inkari Islam, a Shiite Islamic group that would have various with ethnocacerism. Quiroga was pointed out in 2016 as a follower of a terrorist group</v>
      </c>
      <c r="C39" s="1" t="s">
        <v>260</v>
      </c>
      <c r="D39" s="1" t="s">
        <v>261</v>
      </c>
    </row>
    <row r="40" spans="1:4" ht="15.75" customHeight="1" x14ac:dyDescent="0.3">
      <c r="A40" s="1" t="s">
        <v>262</v>
      </c>
      <c r="B40" s="1" t="str">
        <f ca="1">IFERROR(__xludf.DUMMYFUNCTION("GOOGLETRANSLATE(B90,""es"",""en"")"),"RT @msalazarCongers: What actions is taking @Martinvizcarrac and @pcmperu about it. Members of the political arm of the Shining Path marched in support of community members | Journal Mail https://t.co/p3hpsapmtu")</f>
        <v>RT @msalazarCongers: What actions is taking @Martinvizcarrac and @pcmperu about it. Members of the political arm of the Shining Path marched in support of community members | Journal Mail https://t.co/p3hpsapmtu</v>
      </c>
      <c r="C40" s="1" t="s">
        <v>263</v>
      </c>
      <c r="D40" s="1" t="s">
        <v>264</v>
      </c>
    </row>
    <row r="41" spans="1:4" ht="15.75" customHeight="1" x14ac:dyDescent="0.3">
      <c r="A41" s="1" t="s">
        <v>114</v>
      </c>
      <c r="B41" s="1" t="str">
        <f ca="1">IFERROR(__xludf.DUMMYFUNCTION("GOOGLETRANSLATE(B91,""es"",""en"")"),"@Mtc_gobperu @proviasnac_peru fix what they caused in the bambas too, please.")</f>
        <v>@Mtc_gobperu @proviasnac_peru fix what they caused in the bambas too, please.</v>
      </c>
      <c r="C41" s="1" t="s">
        <v>265</v>
      </c>
      <c r="D41" s="1" t="s">
        <v>266</v>
      </c>
    </row>
    <row r="42" spans="1:4" ht="15.75" customHeight="1" x14ac:dyDescent="0.3">
      <c r="A42" s="1" t="s">
        <v>267</v>
      </c>
      <c r="B42" s="1" t="str">
        <f ca="1">IFERROR(__xludf.DUMMYFUNCTION("GOOGLETRANSLATE(B92,""es"",""en"")"),"Rt @riciclodelperu: This was Vizcarra in 2008, when he wanted to be governor, he headed the moqueguazo where 63 police officers were kidnapped and all the ways were taken. There if the road taking, the burning of the police station, the blockade of the br"&amp;"idges.
Now go solve the bambas.
INEPT! https://t.co/onjdeq9wpu")</f>
        <v>Rt @riciclodelperu: This was Vizcarra in 2008, when he wanted to be governor, he headed the moqueguazo where 63 police officers were kidnapped and all the ways were taken. There if the road taking, the burning of the police station, the blockade of the bridges.
Now go solve the bambas.
INEPT! https://t.co/onjdeq9wpu</v>
      </c>
      <c r="C42" s="1" t="s">
        <v>268</v>
      </c>
      <c r="D42" s="1" t="s">
        <v>269</v>
      </c>
    </row>
    <row r="43" spans="1:4" ht="15.75" customHeight="1" x14ac:dyDescent="0.3">
      <c r="A43" s="1" t="s">
        <v>270</v>
      </c>
      <c r="B43" s="1" t="str">
        <f ca="1">IFERROR(__xludf.DUMMYFUNCTION("GOOGLETRANSLATE(B93,""es"",""en"")"),"➽The bambas: they release the leader of Fuerabamba Gregorio Rojas (photos) &amp; lt; p&amp; gt;. https://t.co/6CVLF08CLH https://t.co/7f2qk1zjd4")</f>
        <v>➽The bambas: they release the leader of Fuerabamba Gregorio Rojas (photos) &amp; lt; p&amp; gt;. https://t.co/6CVLF08CLH https://t.co/7f2qk1zjd4</v>
      </c>
      <c r="C43" s="1" t="s">
        <v>271</v>
      </c>
      <c r="D43" s="1" t="s">
        <v>272</v>
      </c>
    </row>
    <row r="44" spans="1:4" ht="15.75" customHeight="1" x14ac:dyDescent="0.3">
      <c r="A44" s="1" t="s">
        <v>273</v>
      </c>
      <c r="B44" s="1" t="str">
        <f ca="1">IFERROR(__xludf.DUMMYFUNCTION("GOOGLETRANSLATE(B94,""es"",""en"")"),"Rt @julianaoxenford: Who would be the link between “Los Cuellos Blancos” and “Los TEMERARIOS del Crime”? Tonight a special report in #90central and also, all about the bambas. See you 6.55pm by @latina_pe")</f>
        <v>Rt @julianaoxenford: Who would be the link between “Los Cuellos Blancos” and “Los TEMERARIOS del Crime”? Tonight a special report in #90central and also, all about the bambas. See you 6.55pm by @latina_pe</v>
      </c>
      <c r="C44" s="1" t="s">
        <v>274</v>
      </c>
      <c r="D44" s="1" t="s">
        <v>275</v>
      </c>
    </row>
    <row r="45" spans="1:4" ht="15.75" customHeight="1" x14ac:dyDescent="0.3">
      <c r="A45" s="1" t="s">
        <v>276</v>
      </c>
      <c r="B45" s="1" t="str">
        <f ca="1">IFERROR(__xludf.DUMMYFUNCTION("GOOGLETRANSLATE(B95,""es"",""en"")"),"@BDPTV BDP drivers have Marxist, Leninist, Maoistas, Gonzalo thought, when it comes to the rights of the Bambas population, the same that allow the State to expropriate their lands, direct their destinations, their lives, their economy
Pure radicalism")</f>
        <v>@BDPTV BDP drivers have Marxist, Leninist, Maoistas, Gonzalo thought, when it comes to the rights of the Bambas population, the same that allow the State to expropriate their lands, direct their destinations, their lives, their economy
Pure radicalism</v>
      </c>
      <c r="C45" s="1" t="s">
        <v>277</v>
      </c>
      <c r="D45" s="1" t="s">
        <v>143</v>
      </c>
    </row>
    <row r="46" spans="1:4" ht="15.75" customHeight="1" x14ac:dyDescent="0.3">
      <c r="A46" s="1" t="s">
        <v>278</v>
      </c>
      <c r="B46" s="1" t="str">
        <f ca="1">IFERROR(__xludf.DUMMYFUNCTION("GOOGLETRANSLATE(B96,""es"",""en"")"),"RT @aaronsalomong: Martín Vizcarra and PPK set the bambas https://t.co/bjjkrrdcbi")</f>
        <v>RT @aaronsalomong: Martín Vizcarra and PPK set the bambas https://t.co/bjjkrrdcbi</v>
      </c>
      <c r="C46" s="1" t="s">
        <v>279</v>
      </c>
      <c r="D46" s="1" t="s">
        <v>280</v>
      </c>
    </row>
    <row r="47" spans="1:4" ht="15.75" customHeight="1" x14ac:dyDescent="0.3">
      <c r="A47" s="1" t="s">
        <v>281</v>
      </c>
      <c r="B47" s="1" t="str">
        <f ca="1">IFERROR(__xludf.DUMMYFUNCTION("GOOGLETRANSLATE(B97,""es"",""en"")"),"Rt @vponce64: revealed curtain: @ideele comes out in defense of antimineros openly. What does @actransparencia say about it? Confused liberal friends, without definitions, the caviar world is a light version of anti -capitalism. Today they come together w"&amp;"ith the extremism against the bambas!")</f>
        <v>Rt @vponce64: revealed curtain: @ideele comes out in defense of antimineros openly. What does @actransparencia say about it? Confused liberal friends, without definitions, the caviar world is a light version of anti -capitalism. Today they come together with the extremism against the bambas!</v>
      </c>
      <c r="C47" s="1" t="s">
        <v>282</v>
      </c>
      <c r="D47" s="1" t="s">
        <v>61</v>
      </c>
    </row>
    <row r="48" spans="1:4" ht="15.75" customHeight="1" x14ac:dyDescent="0.3">
      <c r="A48" s="1" t="s">
        <v>283</v>
      </c>
      <c r="B48" s="1" t="str">
        <f ca="1">IFERROR(__xludf.DUMMYFUNCTION("GOOGLETRANSLATE(B98,""es"",""en"")"),"Rt @delurens: Nós went to shit, the members of the FUDEPP, political arm of the Shining Path, marched through the streets of the center of Lima in support of the community members of Cotabambas who maintain a strike against the Minera de las Bambas. https"&amp;"://t.co/9fcbmqbyyu")</f>
        <v>Rt @delurens: Nós went to shit, the members of the FUDEPP, political arm of the Shining Path, marched through the streets of the center of Lima in support of the community members of Cotabambas who maintain a strike against the Minera de las Bambas. https://t.co/9fcbmqbyyu</v>
      </c>
      <c r="C48" s="1" t="s">
        <v>284</v>
      </c>
      <c r="D48" s="1" t="s">
        <v>285</v>
      </c>
    </row>
    <row r="49" spans="1:4" ht="15.75" customHeight="1" x14ac:dyDescent="0.3">
      <c r="A49" s="1" t="s">
        <v>50</v>
      </c>
      <c r="B49" s="1" t="str">
        <f ca="1">IFERROR(__xludf.DUMMYFUNCTION("GOOGLETRANSLATE(B99,""es"",""en"")"),"To Peru is respected, enough of abuse and killing ... If powers of state, representative of us do not represent guardians NOTHING. https://t.co/kanpfp2J63")</f>
        <v>To Peru is respected, enough of abuse and killing ... If powers of state, representative of us do not represent guardians NOTHING. https://t.co/kanpfp2J63</v>
      </c>
      <c r="C49" s="1" t="s">
        <v>286</v>
      </c>
      <c r="D49" s="1" t="s">
        <v>52</v>
      </c>
    </row>
    <row r="50" spans="1:4" ht="15.75" customHeight="1" x14ac:dyDescent="0.3">
      <c r="A50" s="1" t="s">
        <v>287</v>
      </c>
      <c r="B50" s="1" t="str">
        <f ca="1">IFERROR(__xludf.DUMMYFUNCTION("GOOGLETRANSLATE(B100,""es"",""en"")"),"RT @ocram: I don't know if I told you, but 15 years ago I almost linked me in the bambas. I was going to be my fault (ours, Marco Vásquez accompanied me). We got into prior notice, such as eggs, in a very isolated community. https://t.co/68w2etiuhv")</f>
        <v>RT @ocram: I don't know if I told you, but 15 years ago I almost linked me in the bambas. I was going to be my fault (ours, Marco Vásquez accompanied me). We got into prior notice, such as eggs, in a very isolated community. https://t.co/68w2etiuhv</v>
      </c>
      <c r="C50" s="1" t="s">
        <v>288</v>
      </c>
      <c r="D50" s="1" t="s">
        <v>289</v>
      </c>
    </row>
    <row r="51" spans="1:4" ht="15.75" customHeight="1" x14ac:dyDescent="0.3">
      <c r="A51" s="1" t="s">
        <v>290</v>
      </c>
      <c r="B51" s="1" t="str">
        <f ca="1">IFERROR(__xludf.DUMMYFUNCTION("GOOGLETRANSLATE(B101,""es"",""en"")"),"RT @Plinio2009: Martín Vizcarra and PPK burned the bambas. Of course, the first promising more than S/ 2,000 million, and the second putting its trucks serrated by mineral transport. This does not exempt mafia community leaders or ""chavelos"" extortion. "&amp;"https://t.co/l6bf7hne22")</f>
        <v>RT @Plinio2009: Martín Vizcarra and PPK burned the bambas. Of course, the first promising more than S/ 2,000 million, and the second putting its trucks serrated by mineral transport. This does not exempt mafia community leaders or "chavelos" extortion. https://t.co/l6bf7hne22</v>
      </c>
      <c r="C51" s="1" t="s">
        <v>291</v>
      </c>
      <c r="D51" s="1" t="s">
        <v>292</v>
      </c>
    </row>
    <row r="52" spans="1:4" ht="15.75" customHeight="1" x14ac:dyDescent="0.3">
      <c r="A52" s="1" t="s">
        <v>293</v>
      </c>
      <c r="B52" s="1" t="str">
        <f ca="1">IFERROR(__xludf.DUMMYFUNCTION("GOOGLETRANSLATE(B102,""es"",""en"")"),"The bambas and the full movie https://t.co/t4hsp02f0p")</f>
        <v>The bambas and the full movie https://t.co/t4hsp02f0p</v>
      </c>
      <c r="C52" s="1" t="s">
        <v>294</v>
      </c>
      <c r="D52" s="1" t="s">
        <v>295</v>
      </c>
    </row>
    <row r="53" spans="1:4" ht="15.75" customHeight="1" x14ac:dyDescent="0.3">
      <c r="A53" s="1" t="s">
        <v>296</v>
      </c>
      <c r="B53" s="1" t="str">
        <f ca="1">IFERROR(__xludf.DUMMYFUNCTION("GOOGLETRANSLATE(B103,""es"",""en"")"),"Rt @ojo_publica: #lasbambas force, which was registered as a Quechua town until 2015, the year in which it was withdrawn. Not appearing on this list, the government did not carry out the prior consultation process for the construction of a road in its ter"&amp;"ritory. https://t.co/uch9ljxxuz https://t.co/cmw6hqijai")</f>
        <v>Rt @ojo_publica: #lasbambas force, which was registered as a Quechua town until 2015, the year in which it was withdrawn. Not appearing on this list, the government did not carry out the prior consultation process for the construction of a road in its territory. https://t.co/uch9ljxxuz https://t.co/cmw6hqijai</v>
      </c>
      <c r="C53" s="1" t="s">
        <v>297</v>
      </c>
      <c r="D53" s="1" t="s">
        <v>298</v>
      </c>
    </row>
    <row r="54" spans="1:4" ht="15.75" customHeight="1" x14ac:dyDescent="0.3">
      <c r="A54" s="1" t="s">
        <v>299</v>
      </c>
      <c r="B54" s="1" t="str">
        <f ca="1">IFERROR(__xludf.DUMMYFUNCTION("GOOGLETRANSLATE(B104,""es"",""en"")"),"Rt @jsaldanacuba: PUCP classroom fills in conference on bambas. Fuerabamba community members fear for their freedom, but they sent a video explaining their problem. https://t.co/sxwldpjl75")</f>
        <v>Rt @jsaldanacuba: PUCP classroom fills in conference on bambas. Fuerabamba community members fear for their freedom, but they sent a video explaining their problem. https://t.co/sxwldpjl75</v>
      </c>
      <c r="C54" s="1" t="s">
        <v>300</v>
      </c>
      <c r="D54" s="1" t="s">
        <v>301</v>
      </c>
    </row>
    <row r="55" spans="1:4" ht="15.75" customHeight="1" x14ac:dyDescent="0.3">
      <c r="A55" s="1" t="s">
        <v>302</v>
      </c>
      <c r="B55" s="1" t="str">
        <f ca="1">IFERROR(__xludf.DUMMYFUNCTION("GOOGLETRANSLATE(B105,""es"",""en"")"),"Rt @politica_lr: #video García Belaunde A del Solar: ""Stop acting, this is not theater""
►https: //t.co/z9f3mb8dmb https://t.co/8gm63cyody")</f>
        <v>Rt @politica_lr: #video García Belaunde A del Solar: "Stop acting, this is not theater"
►https: //t.co/z9f3mb8dmb https://t.co/8gm63cyody</v>
      </c>
      <c r="C55" s="1" t="s">
        <v>303</v>
      </c>
      <c r="D55" s="1" t="s">
        <v>304</v>
      </c>
    </row>
    <row r="56" spans="1:4" ht="15.75" customHeight="1" x14ac:dyDescent="0.3">
      <c r="A56" s="1" t="s">
        <v>305</v>
      </c>
      <c r="B56" s="1" t="str">
        <f ca="1">IFERROR(__xludf.DUMMYFUNCTION("GOOGLETRANSLATE(B106,""es"",""en"")"),"https://t.co/leuifdabeq The conflict in the bambas is only one of the most serious among 133 existing socio -environmental conflicts, 71 are miners. Prevention, management and management does not work because there is no clear policy to address them and s"&amp;"olve the underlying problems.")</f>
        <v>https://t.co/leuifdabeq The conflict in the bambas is only one of the most serious among 133 existing socio -environmental conflicts, 71 are miners. Prevention, management and management does not work because there is no clear policy to address them and solve the underlying problems.</v>
      </c>
      <c r="C56" s="1" t="s">
        <v>306</v>
      </c>
      <c r="D56" s="1" t="s">
        <v>307</v>
      </c>
    </row>
    <row r="57" spans="1:4" ht="15.75" customHeight="1" x14ac:dyDescent="0.3">
      <c r="A57" s="1" t="s">
        <v>308</v>
      </c>
      <c r="B57" s="1" t="str">
        <f ca="1">IFERROR(__xludf.DUMMYFUNCTION("GOOGLETRANSLATE(B107,""es"",""en"")"),"RT @alfonsobaella: Fuerabamba: houses with light, water, drainage, internet, medical post, school, tracks and paths. Almost 2 million S/. X family. They were initially 150, 500 appeared, but the same. Now they want more or block the road. The mine complie"&amp;"d, they didn't!")</f>
        <v>RT @alfonsobaella: Fuerabamba: houses with light, water, drainage, internet, medical post, school, tracks and paths. Almost 2 million S/. X family. They were initially 150, 500 appeared, but the same. Now they want more or block the road. The mine complied, they didn't!</v>
      </c>
      <c r="C57" s="1" t="s">
        <v>309</v>
      </c>
      <c r="D57" s="1" t="s">
        <v>310</v>
      </c>
    </row>
    <row r="58" spans="1:4" ht="15.75" customHeight="1" x14ac:dyDescent="0.3">
      <c r="A58" s="1" t="s">
        <v>311</v>
      </c>
      <c r="B58" s="1" t="str">
        <f ca="1">IFERROR(__xludf.DUMMYFUNCTION("GOOGLETRANSLATE(B108,""es"",""en"")"),"Salaverry says that ""nobody is above the law,"" and Juan Sheput warns ""political impericia"" to act in the face of the conflict that affects the country.
https://t.co/lyexbtwkb8")</f>
        <v>Salaverry says that "nobody is above the law," and Juan Sheput warns "political impericia" to act in the face of the conflict that affects the country.
https://t.co/lyexbtwkb8</v>
      </c>
      <c r="C58" s="1" t="s">
        <v>312</v>
      </c>
      <c r="D58" s="1" t="s">
        <v>8</v>
      </c>
    </row>
    <row r="59" spans="1:4" ht="15.75" customHeight="1" x14ac:dyDescent="0.3">
      <c r="A59" s="1" t="s">
        <v>313</v>
      </c>
      <c r="B59" s="1" t="str">
        <f ca="1">IFERROR(__xludf.DUMMYFUNCTION("GOOGLETRANSLATE(B109,""es"",""en"")"),"Rt @Tamyarimborgog: Sr Vizcarra seems not to be aware of what happens in the country ... because it is still very busy ""promoting"" the recommendations of its ""notable board"" on political reform !! While the bambas is a hotbed .. and his ""Premier"" st"&amp;"ill does not find the GPS ..")</f>
        <v>Rt @Tamyarimborgog: Sr Vizcarra seems not to be aware of what happens in the country ... because it is still very busy "promoting" the recommendations of its "notable board" on political reform !! While the bambas is a hotbed .. and his "Premier" still does not find the GPS ..</v>
      </c>
      <c r="C59" s="1" t="s">
        <v>314</v>
      </c>
      <c r="D59" s="1" t="s">
        <v>315</v>
      </c>
    </row>
    <row r="60" spans="1:4" ht="15.75" customHeight="1" x14ac:dyDescent="0.3">
      <c r="A60" s="1" t="s">
        <v>316</v>
      </c>
      <c r="B60" s="1" t="str">
        <f ca="1">IFERROR(__xludf.DUMMYFUNCTION("GOOGLETRANSLATE(B110,""es"",""en"")"),"@Torehgiveaways @bylokus_ some bambas is the typical Nike to do physical education")</f>
        <v>@Torehgiveaways @bylokus_ some bambas is the typical Nike to do physical education</v>
      </c>
      <c r="C60" s="1" t="s">
        <v>317</v>
      </c>
      <c r="D60" s="1" t="s">
        <v>318</v>
      </c>
    </row>
    <row r="61" spans="1:4" ht="15.75" customHeight="1" x14ac:dyDescent="0.3">
      <c r="A61" s="1" t="s">
        <v>319</v>
      </c>
      <c r="B61" s="1" t="str">
        <f ca="1">IFERROR(__xludf.DUMMYFUNCTION("GOOGLETRANSLATE(B111,""es"",""en"")"),"Rt @riciclodelperu: This was Vizcarra in 2008, when he wanted to be governor, he headed the moqueguazo where 63 police officers were kidnapped and all the ways were taken. There if the road taking, the burning of the police station, the blockade of the br"&amp;"idges.
Now go solve the bambas.
INEPT! https://t.co/onjdeq9wpu")</f>
        <v>Rt @riciclodelperu: This was Vizcarra in 2008, when he wanted to be governor, he headed the moqueguazo where 63 police officers were kidnapped and all the ways were taken. There if the road taking, the burning of the police station, the blockade of the bridges.
Now go solve the bambas.
INEPT! https://t.co/onjdeq9wpu</v>
      </c>
      <c r="C61" s="1" t="s">
        <v>320</v>
      </c>
      <c r="D61" s="1" t="s">
        <v>321</v>
      </c>
    </row>
    <row r="62" spans="1:4" ht="15.75" customHeight="1" x14ac:dyDescent="0.3">
      <c r="A62" s="1" t="s">
        <v>322</v>
      </c>
      <c r="B62" s="1" t="str">
        <f ca="1">IFERROR(__xludf.DUMMYFUNCTION("GOOGLETRANSLATE(B112,""es"",""en"")"),"Rt @ojo_publica: #lasbambas in this morning's fiscal diligence, the regional prefect of #Apurímac, Ivón Contreras, representatives of the Ombudsman's Office and the Municipality of #Challuahuacho was also present. https://t.co/pngxmuifip https://t.co/kd1b"&amp;"kbyui1")</f>
        <v>Rt @ojo_publica: #lasbambas in this morning's fiscal diligence, the regional prefect of #Apurímac, Ivón Contreras, representatives of the Ombudsman's Office and the Municipality of #Challuahuacho was also present. https://t.co/pngxmuifip https://t.co/kd1bkbyui1</v>
      </c>
      <c r="C62" s="1" t="s">
        <v>323</v>
      </c>
      <c r="D62" s="1" t="s">
        <v>324</v>
      </c>
    </row>
    <row r="63" spans="1:4" ht="15.75" customHeight="1" x14ac:dyDescent="0.3">
      <c r="A63" s="1" t="s">
        <v>325</v>
      </c>
      <c r="B63" s="1" t="str">
        <f ca="1">IFERROR(__xludf.DUMMYFUNCTION("GOOGLETRANSLATE(B113,""es"",""en"")"),"Rt @riciclodelperu: This was Vizcarra in 2008, when he wanted to be governor, he headed the moqueguazo where 63 police officers were kidnapped and all the ways were taken. There if the road taking, the burning of the police station, the blockade of the br"&amp;"idges.
Now go solve the bambas.
INEPT! https://t.co/onjdeq9wpu")</f>
        <v>Rt @riciclodelperu: This was Vizcarra in 2008, when he wanted to be governor, he headed the moqueguazo where 63 police officers were kidnapped and all the ways were taken. There if the road taking, the burning of the police station, the blockade of the bridges.
Now go solve the bambas.
INEPT! https://t.co/onjdeq9wpu</v>
      </c>
      <c r="C63" s="1" t="s">
        <v>326</v>
      </c>
      <c r="D63" s="1" t="s">
        <v>327</v>
      </c>
    </row>
    <row r="64" spans="1:4" ht="15.75" customHeight="1" x14ac:dyDescent="0.3">
      <c r="A64" s="1" t="s">
        <v>328</v>
      </c>
      <c r="B64" s="1" t="str">
        <f ca="1">IFERROR(__xludf.DUMMYFUNCTION("GOOGLETRANSLATE(B114,""es"",""en"")"),"Rt @Margamedonzac: Mr. Pdte @MartinvizCarrac confirm if the dump trucks of your family company C Y M Vizcarra S.A.C have contracts with the copper mining company Las Bambas, we wait")</f>
        <v>Rt @Margamedonzac: Mr. Pdte @MartinvizCarrac confirm if the dump trucks of your family company C Y M Vizcarra S.A.C have contracts with the copper mining company Las Bambas, we wait</v>
      </c>
      <c r="C64" s="1" t="s">
        <v>329</v>
      </c>
      <c r="D64" s="1" t="s">
        <v>330</v>
      </c>
    </row>
    <row r="65" spans="1:4" ht="15.75" customHeight="1" x14ac:dyDescent="0.3">
      <c r="A65" s="1" t="s">
        <v>331</v>
      </c>
      <c r="B65" s="1" t="str">
        <f ca="1">IFERROR(__xludf.DUMMYFUNCTION("GOOGLETRANSLATE(B115,""es"",""en"")"),"Rt @politica_lr: Prosecutor on Gregorio Rojas: There are no elements of conviction for detention
►https: //t.co/irqrkruppa https://t.co/nkizqozs6a")</f>
        <v>Rt @politica_lr: Prosecutor on Gregorio Rojas: There are no elements of conviction for detention
►https: //t.co/irqrkruppa https://t.co/nkizqozs6a</v>
      </c>
      <c r="C65" s="1" t="s">
        <v>332</v>
      </c>
      <c r="D65" s="1" t="s">
        <v>333</v>
      </c>
    </row>
    <row r="66" spans="1:4" ht="15.75" customHeight="1" x14ac:dyDescent="0.3">
      <c r="A66" s="1" t="s">
        <v>334</v>
      </c>
      <c r="B66" s="1" t="str">
        <f ca="1">IFERROR(__xludf.DUMMYFUNCTION("GOOGLETRANSLATE(B116,""es"",""en"")"),"Rt @ojo_publica: #The last #lasbambas fiscal provides the immediate release of the president of the community of Fuerabamba, Gregorio Rojas. You should not leave the community and order not to maintain contact with advisors arrested and accused of extorti"&amp;"on. https://t.co/uch9ljxxuz https://t.co/bd7jebhlbs")</f>
        <v>Rt @ojo_publica: #The last #lasbambas fiscal provides the immediate release of the president of the community of Fuerabamba, Gregorio Rojas. You should not leave the community and order not to maintain contact with advisors arrested and accused of extortion. https://t.co/uch9ljxxuz https://t.co/bd7jebhlbs</v>
      </c>
      <c r="C66" s="1" t="s">
        <v>335</v>
      </c>
      <c r="D66" s="1" t="s">
        <v>336</v>
      </c>
    </row>
    <row r="67" spans="1:4" ht="15.75" customHeight="1" x14ac:dyDescent="0.3">
      <c r="A67" s="1" t="s">
        <v>337</v>
      </c>
      <c r="B67" s="1" t="str">
        <f ca="1">IFERROR(__xludf.DUMMYFUNCTION("GOOGLETRANSLATE(B117,""es"",""en"")"),"RT @vero_mendoza_f: #lasbambas or the institutionality made dust
What authority can exercise a State that abandoned its responsibility to order the territory, mediate in the dialogue, consult, do environmental evaluations to take care of people's quality"&amp;" of life?
 https://t.co/CBTZZMXN1W")</f>
        <v>RT @vero_mendoza_f: #lasbambas or the institutionality made dust
What authority can exercise a State that abandoned its responsibility to order the territory, mediate in the dialogue, consult, do environmental evaluations to take care of people's quality of life?
 https://t.co/CBTZZMXN1W</v>
      </c>
      <c r="C67" s="1" t="s">
        <v>338</v>
      </c>
      <c r="D67" s="1" t="s">
        <v>339</v>
      </c>
    </row>
    <row r="68" spans="1:4" ht="15.75" customHeight="1" x14ac:dyDescent="0.3">
      <c r="A68" s="1" t="s">
        <v>340</v>
      </c>
      <c r="B68" s="1" t="str">
        <f ca="1">IFERROR(__xludf.DUMMYFUNCTION("GOOGLETRANSLATE(B118,""es"",""en"")"),"Rt @fabiolamorales: It seems that we are tumbo in tumbo. I reiterate my opinion to advance elections. This can not go on like this. https://t.co/pk6uqhgqoa")</f>
        <v>Rt @fabiolamorales: It seems that we are tumbo in tumbo. I reiterate my opinion to advance elections. This can not go on like this. https://t.co/pk6uqhgqoa</v>
      </c>
      <c r="C68" s="1" t="s">
        <v>341</v>
      </c>
      <c r="D68" s="1" t="s">
        <v>342</v>
      </c>
    </row>
    <row r="69" spans="1:4" ht="15.75" customHeight="1" x14ac:dyDescent="0.3">
      <c r="A69" s="1" t="s">
        <v>343</v>
      </c>
      <c r="B69" s="1" t="str">
        <f ca="1">IFERROR(__xludf.DUMMYFUNCTION("GOOGLETRANSLATE(B119,""es"",""en"")"),"RT @xafu: This is what Martín Vizcarra leads.
Members of the FUDEPP, a political arm of the Shining Path, marched in Lima, in support of Bambas community members. Also collective of the Cantuta, and members of the MAS party, by Gregorio Santos.
https://t."&amp;"co/a6jkfk6cls")</f>
        <v>RT @xafu: This is what Martín Vizcarra leads.
Members of the FUDEPP, a political arm of the Shining Path, marched in Lima, in support of Bambas community members. Also collective of the Cantuta, and members of the MAS party, by Gregorio Santos.
https://t.co/a6jkfk6cls</v>
      </c>
      <c r="C69" s="1" t="s">
        <v>344</v>
      </c>
      <c r="D69" s="1" t="s">
        <v>70</v>
      </c>
    </row>
    <row r="70" spans="1:4" ht="15.75" customHeight="1" x14ac:dyDescent="0.3">
      <c r="A70" s="1" t="s">
        <v>345</v>
      </c>
      <c r="B70" s="1" t="str">
        <f ca="1">IFERROR(__xludf.DUMMYFUNCTION("GOOGLETRANSLATE(B120,""es"",""en"")"),"Rt @abelgilvonio: Verónika Mendoza: ""The crisis will not be resolved to criminalize the leaders"" https://t.co/lfcgi9eygl")</f>
        <v>Rt @abelgilvonio: Verónika Mendoza: "The crisis will not be resolved to criminalize the leaders" https://t.co/lfcgi9eygl</v>
      </c>
      <c r="C70" s="1" t="s">
        <v>346</v>
      </c>
      <c r="D70" s="1" t="s">
        <v>347</v>
      </c>
    </row>
    <row r="71" spans="1:4" ht="15.75" customHeight="1" x14ac:dyDescent="0.3">
      <c r="A71" s="1" t="s">
        <v>348</v>
      </c>
      <c r="B71" s="1" t="str">
        <f ca="1">IFERROR(__xludf.DUMMYFUNCTION("GOOGLETRANSLATE(B121,""es"",""en"")"),"Rt @Joveneskmiraflo: Jorge Paredes: Las Bambas | Vizcarra and Salvador del Solar are taking care of Pedro Pablo Kuczynski. The owner of the servant company. @Defensoria_peru
@congresoperu
Please, is this true? .. https://t.co/iw4sggetpa")</f>
        <v>Rt @Joveneskmiraflo: Jorge Paredes: Las Bambas | Vizcarra and Salvador del Solar are taking care of Pedro Pablo Kuczynski. The owner of the servant company. @Defensoria_peru
@congresoperu
Please, is this true? .. https://t.co/iw4sggetpa</v>
      </c>
      <c r="C71" s="1" t="s">
        <v>349</v>
      </c>
      <c r="D71" s="1" t="s">
        <v>350</v>
      </c>
    </row>
    <row r="72" spans="1:4" ht="15.75" customHeight="1" x14ac:dyDescent="0.3">
      <c r="A72" s="1" t="s">
        <v>108</v>
      </c>
      <c r="B72" s="1" t="str">
        <f ca="1">IFERROR(__xludf.DUMMYFUNCTION("GOOGLETRANSLATE(B122,""es"",""en"")"),"Rt @larepublica_pe: Verónika Mendoza: ""The crisis will not be resolved to criminalize the leaders"" https://t.co/crutestdqj https://t.co/kxbc1tdtli")</f>
        <v>Rt @larepublica_pe: Verónika Mendoza: "The crisis will not be resolved to criminalize the leaders" https://t.co/crutestdqj https://t.co/kxbc1tdtli</v>
      </c>
      <c r="C72" s="1" t="s">
        <v>351</v>
      </c>
      <c r="D72" s="1" t="s">
        <v>110</v>
      </c>
    </row>
    <row r="73" spans="1:4" ht="15.75" customHeight="1" x14ac:dyDescent="0.3">
      <c r="A73" s="1" t="s">
        <v>352</v>
      </c>
      <c r="B73" s="1" t="str">
        <f ca="1">IFERROR(__xludf.DUMMYFUNCTION("GOOGLETRANSLATE(B123,""es"",""en"")"),"Rt @pruperu: ""Now that the MP ignored the political and commercial pressures that asked to free the president of the Fuerabamba community - for"" imbalance ""negotiations"" in the bambas - we know that, indeed, Keiko Fujimori is a political prey . https:"&amp;"//t.co/fp5md3qhi8")</f>
        <v>Rt @pruperu: "Now that the MP ignored the political and commercial pressures that asked to free the president of the Fuerabamba community - for" imbalance "negotiations" in the bambas - we know that, indeed, Keiko Fujimori is a political prey . https://t.co/fp5md3qhi8</v>
      </c>
      <c r="C73" s="1" t="s">
        <v>353</v>
      </c>
      <c r="D73" s="1" t="s">
        <v>354</v>
      </c>
    </row>
    <row r="74" spans="1:4" ht="15.75" customHeight="1" x14ac:dyDescent="0.3">
      <c r="A74" s="1" t="s">
        <v>355</v>
      </c>
      <c r="B74" s="1" t="str">
        <f ca="1">IFERROR(__xludf.DUMMYFUNCTION("GOOGLETRANSLATE(B124,""es"",""en"")"),"'Hello. See how I get a gain of $ 86 in 1 minute and how you can do it. Follow me.
#PORSIACATEAVISO #CONMIEXYO #GraciasManu #SIREGRESAYO SPURS #JOSEFINATOWSEND HANNAH MONTANA LOS BAMBAS OCMA MARIO VARGAS LLOSA 7149 '' '")</f>
        <v>'Hello. See how I get a gain of $ 86 in 1 minute and how you can do it. Follow me.
#PORSIACATEAVISO #CONMIEXYO #GraciasManu #SIREGRESAYO SPURS #JOSEFINATOWSEND HANNAH MONTANA LOS BAMBAS OCMA MARIO VARGAS LLOSA 7149 '' '</v>
      </c>
      <c r="C74" s="1" t="s">
        <v>356</v>
      </c>
      <c r="D74" s="1" t="s">
        <v>357</v>
      </c>
    </row>
    <row r="75" spans="1:4" ht="15.75" customHeight="1" x14ac:dyDescent="0.3">
      <c r="A75" s="1" t="s">
        <v>358</v>
      </c>
      <c r="B75" s="1" t="str">
        <f ca="1">IFERROR(__xludf.DUMMYFUNCTION("GOOGLETRANSLATE(B125,""es"",""en"")"),"At least I was in Bambas, I still are ashamed.")</f>
        <v>At least I was in Bambas, I still are ashamed.</v>
      </c>
      <c r="C75" s="1" t="s">
        <v>359</v>
      </c>
      <c r="D75" s="1" t="s">
        <v>360</v>
      </c>
    </row>
    <row r="76" spans="1:4" ht="15.75" customHeight="1" x14ac:dyDescent="0.3">
      <c r="A76" s="1" t="s">
        <v>361</v>
      </c>
      <c r="B76" s="1" t="str">
        <f ca="1">IFERROR(__xludf.DUMMYFUNCTION("GOOGLETRANSLATE(B126,""es"",""en"")"),"Rt @nuevoPerugp: demand around the Mina Las Bambas is fair. It is time for the State to assume its role and defend the interests of the Peruvian people, not only allane the legal land to promote the negotiations of the great mining companies. https://t.co"&amp;"/wuwdgqxyr9")</f>
        <v>Rt @nuevoPerugp: demand around the Mina Las Bambas is fair. It is time for the State to assume its role and defend the interests of the Peruvian people, not only allane the legal land to promote the negotiations of the great mining companies. https://t.co/wuwdgqxyr9</v>
      </c>
      <c r="C76" s="1" t="s">
        <v>362</v>
      </c>
      <c r="D76" s="1" t="s">
        <v>363</v>
      </c>
    </row>
    <row r="77" spans="1:4" ht="15.75" customHeight="1" x14ac:dyDescent="0.3">
      <c r="A77" s="1" t="s">
        <v>364</v>
      </c>
      <c r="B77" s="1" t="str">
        <f ca="1">IFERROR(__xludf.DUMMYFUNCTION("GOOGLETRANSLATE(B127,""es"",""en"")"),"Rt @jdealthaus: The Government has to clearly explain that the blockade is a crime and that the community must leave the blockade to dialogue: the bambas: conversations between the government and community members are still without progress | Peru | Apuri"&amp;"mac | Peru trade https://t.co/ybnq11rzxt")</f>
        <v>Rt @jdealthaus: The Government has to clearly explain that the blockade is a crime and that the community must leave the blockade to dialogue: the bambas: conversations between the government and community members are still without progress | Peru | Apurimac | Peru trade https://t.co/ybnq11rzxt</v>
      </c>
      <c r="C77" s="1" t="s">
        <v>365</v>
      </c>
      <c r="D77" s="1" t="s">
        <v>366</v>
      </c>
    </row>
    <row r="78" spans="1:4" ht="15.75" customHeight="1" x14ac:dyDescent="0.3">
      <c r="A78" s="1" t="s">
        <v>367</v>
      </c>
      <c r="B78" s="1" t="str">
        <f ca="1">IFERROR(__xludf.DUMMYFUNCTION("GOOGLETRANSLATE(B128,""es"",""en"")"),"Although I do not see or share the political line of Mikhael Garrido, I was going to put a link of the emission of @Contacton_ of March 28 but I do not find any, I found the table entertaining with Solari, Thais and even F. Ten Canseco speaking of the pro"&amp;"blem in the bambas. 🤷")</f>
        <v>Although I do not see or share the political line of Mikhael Garrido, I was going to put a link of the emission of @Contacton_ of March 28 but I do not find any, I found the table entertaining with Solari, Thais and even F. Ten Canseco speaking of the problem in the bambas. 🤷</v>
      </c>
      <c r="C78" s="1" t="s">
        <v>368</v>
      </c>
      <c r="D78" s="1" t="s">
        <v>369</v>
      </c>
    </row>
    <row r="79" spans="1:4" ht="15.75" customHeight="1" x14ac:dyDescent="0.3">
      <c r="A79" s="1" t="s">
        <v>370</v>
      </c>
      <c r="B79" s="1" t="str">
        <f ca="1">IFERROR(__xludf.DUMMYFUNCTION("GOOGLETRANSLATE(B129,""es"",""en"")"),"Rt @gabriellaperu: We already lost everything advanced. If the Prosecutor's Office was released at the instigator after the cocktail with the president, to which with which right we stop? Journal Mail https://t.co/b5nr2qqqaq")</f>
        <v>Rt @gabriellaperu: We already lost everything advanced. If the Prosecutor's Office was released at the instigator after the cocktail with the president, to which with which right we stop? Journal Mail https://t.co/b5nr2qqqaq</v>
      </c>
      <c r="C79" s="1" t="s">
        <v>371</v>
      </c>
      <c r="D79" s="1" t="s">
        <v>372</v>
      </c>
    </row>
    <row r="80" spans="1:4" ht="15.75" customHeight="1" x14ac:dyDescent="0.3">
      <c r="A80" s="1" t="s">
        <v>373</v>
      </c>
      <c r="B80" s="1" t="str">
        <f ca="1">IFERROR(__xludf.DUMMYFUNCTION("GOOGLETRANSLATE(B130,""es"",""en"")"),"@reyconbarba @Saldelsol The conflict of the bambas, transnational q covers 35% d our budget does not defend it is illegal: with a lift of guarantees and capture leader is the same thing is the same thing
Crimes of humanity are committed today by having ki"&amp;"dnapped workers with the silent complicity of the government")</f>
        <v>@reyconbarba @Saldelsol The conflict of the bambas, transnational q covers 35% d our budget does not defend it is illegal: with a lift of guarantees and capture leader is the same thing is the same thing
Crimes of humanity are committed today by having kidnapped workers with the silent complicity of the government</v>
      </c>
      <c r="C80" s="1" t="s">
        <v>374</v>
      </c>
      <c r="D80" s="1" t="s">
        <v>375</v>
      </c>
    </row>
    <row r="81" spans="1:4" ht="15.75" customHeight="1" x14ac:dyDescent="0.3">
      <c r="A81" s="1" t="s">
        <v>376</v>
      </c>
      <c r="B81" s="1" t="str">
        <f ca="1">IFERROR(__xludf.DUMMYFUNCTION("GOOGLETRANSLATE(B131,""es"",""en"")"),"Rt @riciclodelperu: Salvador del Solar: ""There is no conflict between community members and the Las Bambas mining company.""
Is the dead in the bambas not real? Isn't the road blockade real? Isn't the shipping of 2,000 policemen real? Isn't the extortion"&amp;"er call?
They rightly play tennis! https://t.co/pxGRHP1kqz")</f>
        <v>Rt @riciclodelperu: Salvador del Solar: "There is no conflict between community members and the Las Bambas mining company."
Is the dead in the bambas not real? Isn't the road blockade real? Isn't the shipping of 2,000 policemen real? Isn't the extortioner call?
They rightly play tennis! https://t.co/pxGRHP1kqz</v>
      </c>
      <c r="C81" s="1" t="s">
        <v>377</v>
      </c>
      <c r="D81" s="1" t="s">
        <v>378</v>
      </c>
    </row>
    <row r="82" spans="1:4" ht="15.75" customHeight="1" x14ac:dyDescent="0.3">
      <c r="A82" s="1" t="s">
        <v>379</v>
      </c>
      <c r="B82" s="1" t="str">
        <f ca="1">IFERROR(__xludf.DUMMYFUNCTION("GOOGLETRANSLATE(B132,""es"",""en"")"),"RT @indirahuilca: If you are a Quechua -speaking commoner living in a housing a whole, it is a luxury, even if they have displaced you to make an open pit mine in your lands. Some headlines about the bambas situation are fright. Mentality anchored in 1500"&amp;". https://t.co/tcpqfqvv4u")</f>
        <v>RT @indirahuilca: If you are a Quechua -speaking commoner living in a housing a whole, it is a luxury, even if they have displaced you to make an open pit mine in your lands. Some headlines about the bambas situation are fright. Mentality anchored in 1500. https://t.co/tcpqfqvv4u</v>
      </c>
      <c r="C82" s="1" t="s">
        <v>380</v>
      </c>
      <c r="D82" s="1" t="s">
        <v>381</v>
      </c>
    </row>
    <row r="83" spans="1:4" ht="15.75" customHeight="1" x14ac:dyDescent="0.3">
      <c r="A83" s="1" t="s">
        <v>382</v>
      </c>
      <c r="B83" s="1" t="str">
        <f ca="1">IFERROR(__xludf.DUMMYFUNCTION("GOOGLETRANSLATE(B133,""es"",""en"")"),"Rt @politica_lr: Las Bambas: Alan García accuses the government and users remind him of his investigations
►http: // chttp: //cort.as/-ghmz https://t.co/ktxpxxpe")</f>
        <v>Rt @politica_lr: Las Bambas: Alan García accuses the government and users remind him of his investigations
►http: // chttp: //cort.as/-ghmz https://t.co/ktxpxxpe</v>
      </c>
      <c r="C83" s="1" t="s">
        <v>383</v>
      </c>
      <c r="D83" s="1" t="s">
        <v>384</v>
      </c>
    </row>
    <row r="84" spans="1:4" ht="15.75" customHeight="1" x14ac:dyDescent="0.3">
      <c r="A84" s="1" t="s">
        <v>385</v>
      </c>
      <c r="B84" s="1" t="str">
        <f ca="1">IFERROR(__xludf.DUMMYFUNCTION("GOOGLETRANSLATE(B134,""es"",""en"")"),"RT @juansheput: Editorial de El Comercio collects the position of the game with you property which we appreciate. Fighting corruption is not a matter of double standard. It acts the same in all cases. Government attitude with Carlos Bruce leaves much to b"&amp;"e desired. https://t.co/qohpuoyy8j")</f>
        <v>RT @juansheput: Editorial de El Comercio collects the position of the game with you property which we appreciate. Fighting corruption is not a matter of double standard. It acts the same in all cases. Government attitude with Carlos Bruce leaves much to be desired. https://t.co/qohpuoyy8j</v>
      </c>
      <c r="C84" s="1" t="s">
        <v>386</v>
      </c>
      <c r="D84" s="1" t="s">
        <v>387</v>
      </c>
    </row>
    <row r="85" spans="1:4" ht="15.75" customHeight="1" x14ac:dyDescent="0.3">
      <c r="A85" s="1" t="s">
        <v>388</v>
      </c>
      <c r="B85" s="1" t="str">
        <f ca="1">IFERROR(__xludf.DUMMYFUNCTION("GOOGLETRANSLATE(B135,""es"",""en"")"),"Rt @luisthais1: serious accusation of @Expresoperu points out former minister @memperu Jorge Merino changed eia current minister @mtc_gobperu Edmer Trujillo reclassified departmental roads in nationals and @ppkamigo as a partner of @servosa Spanish compan"&amp;"y that translates mineral of the bambas with 300 dump trucks")</f>
        <v>Rt @luisthais1: serious accusation of @Expresoperu points out former minister @memperu Jorge Merino changed eia current minister @mtc_gobperu Edmer Trujillo reclassified departmental roads in nationals and @ppkamigo as a partner of @servosa Spanish company that translates mineral of the bambas with 300 dump trucks</v>
      </c>
      <c r="C85" s="1" t="s">
        <v>389</v>
      </c>
      <c r="D85" s="1" t="s">
        <v>390</v>
      </c>
    </row>
    <row r="86" spans="1:4" ht="15.75" customHeight="1" x14ac:dyDescent="0.3">
      <c r="A86" s="1" t="s">
        <v>391</v>
      </c>
      <c r="B86" s="1" t="str">
        <f ca="1">IFERROR(__xludf.DUMMYFUNCTION("GOOGLETRANSLATE(B136,""es"",""en"")"),"@Martinizcarrac curtains, curtains, and more curtains, it is true that it is also a territory looted by illegal mining and clandestine exercise of meretrices; and sex slaves, minors, etc. Etc. But at the moment you must go to the bambas; Stop being a pupp"&amp;"et.")</f>
        <v>@Martinizcarrac curtains, curtains, and more curtains, it is true that it is also a territory looted by illegal mining and clandestine exercise of meretrices; and sex slaves, minors, etc. Etc. But at the moment you must go to the bambas; Stop being a puppet.</v>
      </c>
      <c r="C86" s="1" t="s">
        <v>392</v>
      </c>
      <c r="D86" s="1" t="s">
        <v>393</v>
      </c>
    </row>
    <row r="87" spans="1:4" ht="15.75" customHeight="1" x14ac:dyDescent="0.3">
      <c r="A87" s="1" t="s">
        <v>120</v>
      </c>
      <c r="B87" s="1" t="str">
        <f ca="1">IFERROR(__xludf.DUMMYFUNCTION("GOOGLETRANSLATE(B137,""es"",""en"")"),"Rt @delurens: Nós went to shit, the members of the FUDEPP, political arm of the Shining Path, marched through the streets of the center of Lima in support of the community members of Cotabambas who maintain a strike against the Minera de las Bambas. https"&amp;"://t.co/9fcbmqbyyu")</f>
        <v>Rt @delurens: Nós went to shit, the members of the FUDEPP, political arm of the Shining Path, marched through the streets of the center of Lima in support of the community members of Cotabambas who maintain a strike against the Minera de las Bambas. https://t.co/9fcbmqbyyu</v>
      </c>
      <c r="C87" s="1" t="s">
        <v>394</v>
      </c>
      <c r="D87" s="1" t="s">
        <v>395</v>
      </c>
    </row>
    <row r="88" spans="1:4" ht="15.75" customHeight="1" x14ac:dyDescent="0.3">
      <c r="A88" s="1" t="s">
        <v>396</v>
      </c>
      <c r="B88" s="1" t="str">
        <f ca="1">IFERROR(__xludf.DUMMYFUNCTION("GOOGLETRANSLATE(B138,""es"",""en"")"),"Rt @vponce64: revealed curtain: @ideele comes out in defense of antimineros openly. What does @actransparencia say about it? Confused liberal friends, without definitions, the caviar world is a light version of anti -capitalism. Today they come together w"&amp;"ith the extremism against the bambas!")</f>
        <v>Rt @vponce64: revealed curtain: @ideele comes out in defense of antimineros openly. What does @actransparencia say about it? Confused liberal friends, without definitions, the caviar world is a light version of anti -capitalism. Today they come together with the extremism against the bambas!</v>
      </c>
      <c r="C88" s="1" t="s">
        <v>397</v>
      </c>
      <c r="D88" s="1" t="s">
        <v>398</v>
      </c>
    </row>
    <row r="89" spans="1:4" ht="15.75" customHeight="1" x14ac:dyDescent="0.3">
      <c r="A89" s="1" t="s">
        <v>399</v>
      </c>
      <c r="B89" s="1" t="str">
        <f ca="1">IFERROR(__xludf.DUMMYFUNCTION("GOOGLETRANSLATE(B139,""es"",""en"")"),"Gregorio Rojas is a complicate of the bambas' extortion network, people think that: Poor, it is a quechulantean community, they are incapable of any criminal act. A pity that the residents of the bambas are manipulated by some mafia lawyers.")</f>
        <v>Gregorio Rojas is a complicate of the bambas' extortion network, people think that: Poor, it is a quechulantean community, they are incapable of any criminal act. A pity that the residents of the bambas are manipulated by some mafia lawyers.</v>
      </c>
      <c r="C89" s="1" t="s">
        <v>400</v>
      </c>
      <c r="D89" s="1" t="s">
        <v>401</v>
      </c>
    </row>
    <row r="90" spans="1:4" ht="15.75" customHeight="1" x14ac:dyDescent="0.3">
      <c r="A90" s="1" t="s">
        <v>402</v>
      </c>
      <c r="B90" s="1" t="str">
        <f ca="1">IFERROR(__xludf.DUMMYFUNCTION("GOOGLETRANSLATE(B140,""es"",""en"")"),"Rt @malcom_x1x: vice president of the bambas is arrested in drunk when hitting a police https://t.co/jtgv0MB4qi")</f>
        <v>Rt @malcom_x1x: vice president of the bambas is arrested in drunk when hitting a police https://t.co/jtgv0MB4qi</v>
      </c>
      <c r="C90" s="1" t="s">
        <v>403</v>
      </c>
      <c r="D90" s="1" t="s">
        <v>404</v>
      </c>
    </row>
    <row r="91" spans="1:4" ht="15.75" customHeight="1" x14ac:dyDescent="0.3">
      <c r="A91" s="1" t="s">
        <v>405</v>
      </c>
      <c r="B91" s="1" t="str">
        <f ca="1">IFERROR(__xludf.DUMMYFUNCTION("GOOGLETRANSLATE(B141,""es"",""en"")"),"Rt @lele_valra: The extortion in the bambas results from the contubernio: Verónica Mendoza de @NuevoPerumov, aka ""Los Chavelos"", path luminiso and hezbollah.
Frank and Jorge Chavez Sotelo (""Chavelos"") entered Congress and gave a ""conference"" thanks "&amp;"to
Mendoza
Dini doesn't know? @Mininterperu? https://t.co/adhkiuka6k")</f>
        <v>Rt @lele_valra: The extortion in the bambas results from the contubernio: Verónica Mendoza de @NuevoPerumov, aka "Los Chavelos", path luminiso and hezbollah.
Frank and Jorge Chavez Sotelo ("Chavelos") entered Congress and gave a "conference" thanks to
Mendoza
Dini doesn't know? @Mininterperu? https://t.co/adhkiuka6k</v>
      </c>
      <c r="C91" s="1" t="s">
        <v>406</v>
      </c>
      <c r="D91" s="1" t="s">
        <v>407</v>
      </c>
    </row>
    <row r="92" spans="1:4" ht="15.75" customHeight="1" x14ac:dyDescent="0.3">
      <c r="A92" s="1" t="s">
        <v>408</v>
      </c>
      <c r="B92" s="1" t="str">
        <f ca="1">IFERROR(__xludf.DUMMYFUNCTION("GOOGLETRANSLATE(B142,""es"",""en"")"),"RT @lamula: #Estadodeemerncia What is the use of ministers to talk and the president of the community leaves free if they will restrict rights and send police and military to the area? -&amp; GT; https://t.co/sx1bbyammh
#Lasbambas #conflictosmineros")</f>
        <v>RT @lamula: #Estadodeemerncia What is the use of ministers to talk and the president of the community leaves free if they will restrict rights and send police and military to the area? -&amp; GT; https://t.co/sx1bbyammh
#Lasbambas #conflictosmineros</v>
      </c>
      <c r="C92" s="1" t="s">
        <v>409</v>
      </c>
      <c r="D92" s="1" t="s">
        <v>410</v>
      </c>
    </row>
    <row r="93" spans="1:4" ht="15.75" customHeight="1" x14ac:dyDescent="0.3">
      <c r="A93" s="1" t="s">
        <v>411</v>
      </c>
      <c r="B93" s="1" t="str">
        <f ca="1">IFERROR(__xludf.DUMMYFUNCTION("GOOGLETRANSLATE(B143,""es"",""en"")"),"Rt @elcomercio_peru: The bambas: access to the mine continues blocked after release of Gregorio Rojas (via @aliciarojas) https://t.co/4snv3ecmql")</f>
        <v>Rt @elcomercio_peru: The bambas: access to the mine continues blocked after release of Gregorio Rojas (via @aliciarojas) https://t.co/4snv3ecmql</v>
      </c>
      <c r="C93" s="1" t="s">
        <v>412</v>
      </c>
      <c r="D93" s="1" t="s">
        <v>413</v>
      </c>
    </row>
    <row r="94" spans="1:4" ht="15.75" customHeight="1" x14ac:dyDescent="0.3">
      <c r="A94" s="1" t="s">
        <v>414</v>
      </c>
      <c r="B94" s="1" t="str">
        <f ca="1">IFERROR(__xludf.DUMMYFUNCTION("GOOGLETRANSLATE(B144,""es"",""en"")"),"Rt @tamyarimborgog: Three ministers go to Cusco to waste time and make believe that ""they are negotiating"" the topic the bambas !! Channel N journalists ask them questions about it and Minister Bustamante does not know what to say !! And the great commu"&amp;"nicator (of the plot) continues silent !!")</f>
        <v>Rt @tamyarimborgog: Three ministers go to Cusco to waste time and make believe that "they are negotiating" the topic the bambas !! Channel N journalists ask them questions about it and Minister Bustamante does not know what to say !! And the great communicator (of the plot) continues silent !!</v>
      </c>
      <c r="C94" s="1" t="s">
        <v>415</v>
      </c>
      <c r="D94" s="1" t="s">
        <v>375</v>
      </c>
    </row>
    <row r="95" spans="1:4" ht="15.75" customHeight="1" x14ac:dyDescent="0.3">
      <c r="A95" s="1" t="s">
        <v>416</v>
      </c>
      <c r="B95" s="1" t="str">
        <f ca="1">IFERROR(__xludf.DUMMYFUNCTION("GOOGLETRANSLATE(B145,""es"",""en"")"),"Rt @vivianaausejo: Why does the Ombudsman exist if in conflict such as the bambas do not participate in the dialogue? Its function is ""critical collaborator of the State who acts c autonomy with respect to any public or private power, in the name of the "&amp;"good of the good Common and Defense of the rights of citizenship """)</f>
        <v>Rt @vivianaausejo: Why does the Ombudsman exist if in conflict such as the bambas do not participate in the dialogue? Its function is "critical collaborator of the State who acts c autonomy with respect to any public or private power, in the name of the good of the good Common and Defense of the rights of citizenship "</v>
      </c>
      <c r="C95" s="1" t="s">
        <v>417</v>
      </c>
      <c r="D95" s="1" t="s">
        <v>219</v>
      </c>
    </row>
    <row r="96" spans="1:4" ht="15.75" customHeight="1" x14ac:dyDescent="0.3">
      <c r="A96" s="1" t="s">
        <v>418</v>
      </c>
      <c r="B96" s="1" t="str">
        <f ca="1">IFERROR(__xludf.DUMMYFUNCTION("GOOGLETRANSLATE(B146,""es"",""en"")"),"Rt @Josenoriega1969: 2 years ago it was said that PPK was one of the owners of the company that has the 400 trucks in the bambas, are they going to outrak or investigate about it? I tell the crawling press that is made when it is ppk.")</f>
        <v>Rt @Josenoriega1969: 2 years ago it was said that PPK was one of the owners of the company that has the 400 trucks in the bambas, are they going to outrak or investigate about it? I tell the crawling press that is made when it is ppk.</v>
      </c>
      <c r="C96" s="1" t="s">
        <v>419</v>
      </c>
      <c r="D96" s="1" t="s">
        <v>420</v>
      </c>
    </row>
    <row r="97" spans="1:4" ht="15.75" customHeight="1" x14ac:dyDescent="0.3">
      <c r="A97" s="1" t="s">
        <v>421</v>
      </c>
      <c r="B97" s="1" t="str">
        <f ca="1">IFERROR(__xludf.DUMMYFUNCTION("GOOGLETRANSLATE(B147,""es"",""en"")"),"@Politica_lr only an irresponsible as he can say that there is no conflict in the bambas that we have a premier class and still give him confidence? The town will pass the invoice x allowing it @victorandresgb @juansheput")</f>
        <v>@Politica_lr only an irresponsible as he can say that there is no conflict in the bambas that we have a premier class and still give him confidence? The town will pass the invoice x allowing it @victorandresgb @juansheput</v>
      </c>
      <c r="C97" s="1" t="s">
        <v>422</v>
      </c>
      <c r="D97" s="1" t="s">
        <v>423</v>
      </c>
    </row>
    <row r="98" spans="1:4" ht="15.75" customHeight="1" x14ac:dyDescent="0.3">
      <c r="A98" s="1" t="s">
        <v>0</v>
      </c>
      <c r="B98" s="1" t="str">
        <f ca="1">IFERROR(__xludf.DUMMYFUNCTION("GOOGLETRANSLATE(B148,""es"",""en"")"),"RT @xafu: Vizcarra and PPK burned the bambas.
When he was a minister, Martín Vizcarra created expectations in the community members, by promising investments of more than 2,000 million soles, which were not fulfilled.
PPK took advantage of the minelor, fo"&amp;"r transport in its trucks.
via @Expresoperu https://t.co/pa8jelfbv5")</f>
        <v>RT @xafu: Vizcarra and PPK burned the bambas.
When he was a minister, Martín Vizcarra created expectations in the community members, by promising investments of more than 2,000 million soles, which were not fulfilled.
PPK took advantage of the minelor, for transport in its trucks.
via @Expresoperu https://t.co/pa8jelfbv5</v>
      </c>
      <c r="C98" s="1" t="s">
        <v>424</v>
      </c>
      <c r="D98" s="1" t="s">
        <v>425</v>
      </c>
    </row>
    <row r="99" spans="1:4" ht="15.75" customHeight="1" x14ac:dyDescent="0.3">
      <c r="A99" s="1" t="s">
        <v>426</v>
      </c>
      <c r="B99" s="1" t="str">
        <f ca="1">IFERROR(__xludf.DUMMYFUNCTION("GOOGLETRANSLATE(B149,""es"",""en"")"),"RT @Laconchacaviar: Congressman @Rosamariabartra, on representation of Peruvian D Millions tells him inept (the truth) to #vizcarra and all the ""rackets"" jump on him.
➡️ Pantaleón says that in the #bambas there is no conflict (he lies blatantly) and ap"&amp;"plaud it?
These Peruanites are death.")</f>
        <v>RT @Laconchacaviar: Congressman @Rosamariabartra, on representation of Peruvian D Millions tells him inept (the truth) to #vizcarra and all the "rackets" jump on him.
➡️ Pantaleón says that in the #bambas there is no conflict (he lies blatantly) and applaud it?
These Peruanites are death.</v>
      </c>
      <c r="C99" s="1" t="s">
        <v>427</v>
      </c>
      <c r="D99" s="1" t="s">
        <v>428</v>
      </c>
    </row>
    <row r="100" spans="1:4" ht="15.75" customHeight="1" x14ac:dyDescent="0.3">
      <c r="A100" s="1" t="s">
        <v>429</v>
      </c>
      <c r="B100" s="1" t="str">
        <f ca="1">IFERROR(__xludf.DUMMYFUNCTION("GOOGLETRANSLATE(B150,""es"",""en"")"),"Rt @Tamyarimborgog: Thus ""negotiate"" the government! One by one they will be released, which according to extorted audios")</f>
        <v>Rt @Tamyarimborgog: Thus "negotiate" the government! One by one they will be released, which according to extorted audios</v>
      </c>
      <c r="C100" s="1" t="s">
        <v>430</v>
      </c>
      <c r="D100" s="1" t="s">
        <v>431</v>
      </c>
    </row>
    <row r="101" spans="1:4" ht="15.75" customHeight="1" x14ac:dyDescent="0.3">
      <c r="A101" s="1" t="s">
        <v>56</v>
      </c>
      <c r="B101" s="1" t="str">
        <f ca="1">IFERROR(__xludf.DUMMYFUNCTION("GOOGLETRANSLATE(B151,""es"",""en"")"),"@El_penado14 @jtowsendc @padelriol We thank you for publishing this XD And now where are the pulpins that I thank Patricia so much for his article D Bambas? Everything is due to an agenda, bad RPP 👎👎")</f>
        <v>@El_penado14 @jtowsendc @padelriol We thank you for publishing this XD And now where are the pulpins that I thank Patricia so much for his article D Bambas? Everything is due to an agenda, bad RPP 👎👎</v>
      </c>
      <c r="C101" s="1" t="s">
        <v>432</v>
      </c>
      <c r="D101" s="1" t="s">
        <v>107</v>
      </c>
    </row>
    <row r="102" spans="1:4" ht="15.75" customHeight="1" x14ac:dyDescent="0.3">
      <c r="A102" s="1" t="s">
        <v>433</v>
      </c>
      <c r="B102" s="1" t="str">
        <f ca="1">IFERROR(__xludf.DUMMYFUNCTION("GOOGLETRANSLATE(B152,""es"",""en"")"),"Rt @ojo_publica: #lasbambas Raúl Huamaní Huachaca (37) denounced that it was assaulted around 6:00 am today by a group of police officers who protect the entrance to the Las Bambas mine, in the 'Manantiales' sector. https://t.co/pngxmuifip https://t.co/uz"&amp;"tvsgqfno")</f>
        <v>Rt @ojo_publica: #lasbambas Raúl Huamaní Huachaca (37) denounced that it was assaulted around 6:00 am today by a group of police officers who protect the entrance to the Las Bambas mine, in the 'Manantiales' sector. https://t.co/pngxmuifip https://t.co/uztvsgqfno</v>
      </c>
      <c r="C102" s="1" t="s">
        <v>434</v>
      </c>
      <c r="D102" s="1" t="s">
        <v>435</v>
      </c>
    </row>
    <row r="103" spans="1:4" ht="15.75" customHeight="1" x14ac:dyDescent="0.3">
      <c r="A103" s="1" t="s">
        <v>436</v>
      </c>
      <c r="B103" s="1" t="str">
        <f ca="1">IFERROR(__xludf.DUMMYFUNCTION("GOOGLETRANSLATE(B153,""es"",""en"")"),"Rt @politica_lr: Las Bambas: Alan García accuses the government and users remind him of his investigations
►http: // chttp: //cort.as/-ghmz https://t.co/ktxpxxpe")</f>
        <v>Rt @politica_lr: Las Bambas: Alan García accuses the government and users remind him of his investigations
►http: // chttp: //cort.as/-ghmz https://t.co/ktxpxxpe</v>
      </c>
      <c r="C103" s="1" t="s">
        <v>437</v>
      </c>
      <c r="D103" s="1" t="s">
        <v>438</v>
      </c>
    </row>
    <row r="104" spans="1:4" ht="15.75" customHeight="1" x14ac:dyDescent="0.3">
      <c r="A104" s="1" t="s">
        <v>439</v>
      </c>
      <c r="B104" s="1" t="str">
        <f ca="1">IFERROR(__xludf.DUMMYFUNCTION("GOOGLETRANSLATE(B154,""es"",""en"")"),"Las Bambas: Challhuahuacho District is declared in emergency - https://t.co/gioj2mxekm")</f>
        <v>Las Bambas: Challhuahuacho District is declared in emergency - https://t.co/gioj2mxekm</v>
      </c>
      <c r="C104" s="1" t="s">
        <v>440</v>
      </c>
      <c r="D104" s="1" t="s">
        <v>441</v>
      </c>
    </row>
    <row r="105" spans="1:4" ht="15.75" customHeight="1" x14ac:dyDescent="0.3">
      <c r="A105" s="1" t="s">
        <v>442</v>
      </c>
      <c r="B105" s="1" t="str">
        <f ca="1">IFERROR(__xludf.DUMMYFUNCTION("GOOGLETRANSLATE(B155,""es"",""en"")"),"Rt @agildemeisterrh: last minute! The Solar Premier is not just an actor. It is also mimo !! It acts and ""negotiates"" in the mute bambas !! ... ""This is not a conflict, it is only a difference of opinions. I solve everything ..."" he said.")</f>
        <v>Rt @agildemeisterrh: last minute! The Solar Premier is not just an actor. It is also mimo !! It acts and "negotiates" in the mute bambas !! ... "This is not a conflict, it is only a difference of opinions. I solve everything ..." he said.</v>
      </c>
      <c r="C105" s="1" t="s">
        <v>443</v>
      </c>
      <c r="D105" s="1" t="s">
        <v>295</v>
      </c>
    </row>
    <row r="106" spans="1:4" ht="15.75" customHeight="1" x14ac:dyDescent="0.3">
      <c r="A106" s="1" t="s">
        <v>444</v>
      </c>
      <c r="B106" s="1" t="str">
        <f ca="1">IFERROR(__xludf.DUMMYFUNCTION("GOOGLETRANSLATE(B156,""es"",""en"")"),"Or sweater, as Marquinhas Na Bochacha, you cachinhos cracking pela testa e esse sorriso that faz minhas pernas ficarem bambas e meu Coração shoot. Garoto você é to light that eu found no final tunnel, or meu potinho of Ouro not final do arc íris eu I love"&amp;" you mais do what tudo 💕💖💕 https://t.co/pg3Gu6zuim")</f>
        <v>Or sweater, as Marquinhas Na Bochacha, you cachinhos cracking pela testa e esse sorriso that faz minhas pernas ficarem bambas e meu Coração shoot. Garoto você é to light that eu found no final tunnel, or meu potinho of Ouro not final do arc íris eu I love you mais do what tudo 💕💖💕 https://t.co/pg3Gu6zuim</v>
      </c>
      <c r="C106" s="1" t="s">
        <v>445</v>
      </c>
      <c r="D106" s="1" t="s">
        <v>446</v>
      </c>
    </row>
    <row r="107" spans="1:4" ht="15.75" customHeight="1" x14ac:dyDescent="0.3">
      <c r="A107" s="1" t="s">
        <v>447</v>
      </c>
      <c r="B107" s="1" t="str">
        <f ca="1">IFERROR(__xludf.DUMMYFUNCTION("GOOGLETRANSLATE(B157,""es"",""en"")"),"Rt @riciclodelperu: This was Vizcarra in 2008, when he wanted to be governor, he headed the moqueguazo where 63 police officers were kidnapped and all the ways were taken. There if the road taking, the burning of the police station, the blockade of the br"&amp;"idges.
Now go solve the bambas.
INEPT! https://t.co/onjdeq9wpu")</f>
        <v>Rt @riciclodelperu: This was Vizcarra in 2008, when he wanted to be governor, he headed the moqueguazo where 63 police officers were kidnapped and all the ways were taken. There if the road taking, the burning of the police station, the blockade of the bridges.
Now go solve the bambas.
INEPT! https://t.co/onjdeq9wpu</v>
      </c>
      <c r="C107" s="1" t="s">
        <v>448</v>
      </c>
      <c r="D107" s="1" t="s">
        <v>266</v>
      </c>
    </row>
    <row r="108" spans="1:4" ht="15.75" customHeight="1" x14ac:dyDescent="0.3">
      <c r="A108" s="1" t="s">
        <v>449</v>
      </c>
      <c r="B108" s="1" t="str">
        <f ca="1">IFERROR(__xludf.DUMMYFUNCTION("GOOGLETRANSLATE(B158,""es"",""en"")"),"Rt @agencia_andina: Las Bambas: Executive and Chumbilcas authorities will meet on April 9 https://t.co/lq30at6zhm https://t.co/xko4wpgcex")</f>
        <v>Rt @agencia_andina: Las Bambas: Executive and Chumbilcas authorities will meet on April 9 https://t.co/lq30at6zhm https://t.co/xko4wpgcex</v>
      </c>
      <c r="C108" s="1" t="s">
        <v>450</v>
      </c>
      <c r="D108" s="1" t="s">
        <v>398</v>
      </c>
    </row>
    <row r="109" spans="1:4" ht="15.75" customHeight="1" x14ac:dyDescent="0.3">
      <c r="A109" s="1" t="s">
        <v>451</v>
      </c>
      <c r="B109" s="1" t="str">
        <f ca="1">IFERROR(__xludf.DUMMYFUNCTION("GOOGLETRANSLATE(B159,""es"",""en"")"),"Rt @cesarpeirano: #lasbambas prosecution liberates leader accused of extorting Minera Las Bambas. Regrettable. https://t.co/ggrexpueyl")</f>
        <v>Rt @cesarpeirano: #lasbambas prosecution liberates leader accused of extorting Minera Las Bambas. Regrettable. https://t.co/ggrexpueyl</v>
      </c>
      <c r="C109" s="1" t="s">
        <v>452</v>
      </c>
      <c r="D109" s="1" t="s">
        <v>453</v>
      </c>
    </row>
    <row r="110" spans="1:4" ht="15.75" customHeight="1" x14ac:dyDescent="0.3">
      <c r="A110" s="1" t="s">
        <v>454</v>
      </c>
      <c r="B110" s="1" t="str">
        <f ca="1">IFERROR(__xludf.DUMMYFUNCTION("GOOGLETRANSLATE(B160,""es"",""en"")"),"@Flowers1vict @canaln_ had to open a negotiation path. The main objective is to reopen the road and avoid violence. We will see what happens, will they ask for liberation from the Chávez brothers? Will they end the blockade? Will bambas let out more money"&amp;"? How will other communities react?")</f>
        <v>@Flowers1vict @canaln_ had to open a negotiation path. The main objective is to reopen the road and avoid violence. We will see what happens, will they ask for liberation from the Chávez brothers? Will they end the blockade? Will bambas let out more money? How will other communities react?</v>
      </c>
      <c r="C110" s="1" t="s">
        <v>455</v>
      </c>
      <c r="D110" s="1" t="s">
        <v>456</v>
      </c>
    </row>
    <row r="111" spans="1:4" ht="15.75" customHeight="1" x14ac:dyDescent="0.3">
      <c r="A111" s="1" t="s">
        <v>457</v>
      </c>
      <c r="B111" s="1" t="str">
        <f ca="1">IFERROR(__xludf.DUMMYFUNCTION("GOOGLETRANSLATE(B161,""es"",""en"")"),"RT @RMAPALACIOS: HERE @ALANGARCIAPERU Developing the argument of ""Persecuted politician"" that failed in his attempt to asylum.
Using in case of bambas is of such an obvious political awkwardness that it saves me more comment. https://t.co/kx8ucmxn6f")</f>
        <v>RT @RMAPALACIOS: HERE @ALANGARCIAPERU Developing the argument of "Persecuted politician" that failed in his attempt to asylum.
Using in case of bambas is of such an obvious political awkwardness that it saves me more comment. https://t.co/kx8ucmxn6f</v>
      </c>
      <c r="C111" s="1" t="s">
        <v>458</v>
      </c>
      <c r="D111" s="1" t="s">
        <v>459</v>
      </c>
    </row>
    <row r="112" spans="1:4" ht="15.75" customHeight="1" x14ac:dyDescent="0.3">
      <c r="A112" s="1" t="s">
        <v>460</v>
      </c>
      <c r="B112" s="1" t="str">
        <f ca="1">IFERROR(__xludf.DUMMYFUNCTION("GOOGLETRANSLATE(B162,""es"",""en"")"),"Rt @peru21noticias: Romulo much, former vice minister of mines, on the bambas: ""The government has to go down to the plain to negotiate.""
Look at the full interview in #Peru21TV ➤ https://t.co/snuwpebbqb https://t.co/wkucg3amts")</f>
        <v>Rt @peru21noticias: Romulo much, former vice minister of mines, on the bambas: "The government has to go down to the plain to negotiate."
Look at the full interview in #Peru21TV ➤ https://t.co/snuwpebbqb https://t.co/wkucg3amts</v>
      </c>
      <c r="C112" s="1" t="s">
        <v>461</v>
      </c>
      <c r="D112" s="1" t="s">
        <v>462</v>
      </c>
    </row>
    <row r="113" spans="1:4" ht="15.75" customHeight="1" x14ac:dyDescent="0.3">
      <c r="A113" s="1" t="s">
        <v>463</v>
      </c>
      <c r="B113" s="1" t="str">
        <f ca="1">IFERROR(__xludf.DUMMYFUNCTION("GOOGLETRANSLATE(B163,""es"",""en"")"),"Rt @Joveneskmiraflo: Jorge Paredes: Las Bambas | Vizcarra and Salvador del Solar are taking care of Pedro Pablo Kuczynski. The owner of the servant company. @Defensoria_peru
@congresoperu
Please, is this true? .. https://t.co/iw4sggetpa")</f>
        <v>Rt @Joveneskmiraflo: Jorge Paredes: Las Bambas | Vizcarra and Salvador del Solar are taking care of Pedro Pablo Kuczynski. The owner of the servant company. @Defensoria_peru
@congresoperu
Please, is this true? .. https://t.co/iw4sggetpa</v>
      </c>
      <c r="C113" s="1" t="s">
        <v>464</v>
      </c>
      <c r="D113" s="1" t="s">
        <v>465</v>
      </c>
    </row>
    <row r="114" spans="1:4" ht="15.75" customHeight="1" x14ac:dyDescent="0.3">
      <c r="A114" s="1" t="s">
        <v>466</v>
      </c>
      <c r="B114" s="1" t="str">
        <f ca="1">IFERROR(__xludf.DUMMYFUNCTION("GOOGLETRANSLATE(B164,""es"",""en"")"),"Las Bambas case
On the left, the rural community of Fuerabamba in 2014. A community in extreme poverty, which lived from agriculture and livestock at 4000 m.s.n.m.
This community lived on a mine ... https://t.co/hbvsyenski")</f>
        <v>Las Bambas case
On the left, the rural community of Fuerabamba in 2014. A community in extreme poverty, which lived from agriculture and livestock at 4000 m.s.n.m.
This community lived on a mine ... https://t.co/hbvsyenski</v>
      </c>
      <c r="C114" s="1" t="s">
        <v>467</v>
      </c>
      <c r="D114" s="1" t="s">
        <v>468</v>
      </c>
    </row>
    <row r="115" spans="1:4" ht="15.75" customHeight="1" x14ac:dyDescent="0.3">
      <c r="A115" s="1" t="s">
        <v>469</v>
      </c>
      <c r="B115" s="1" t="str">
        <f ca="1">IFERROR(__xludf.DUMMYFUNCTION("GOOGLETRANSLATE(B165,""es"",""en"")"),"RT @Exitosape: Verónika Mendoza argues that the conflict in the bambas ""will not be resolved to criminalize the leaders."" Https://t.co/dtzd32e8kr")</f>
        <v>RT @Exitosape: Verónika Mendoza argues that the conflict in the bambas "will not be resolved to criminalize the leaders." Https://t.co/dtzd32e8kr</v>
      </c>
      <c r="C115" s="1" t="s">
        <v>470</v>
      </c>
      <c r="D115" s="1" t="s">
        <v>471</v>
      </c>
    </row>
    <row r="116" spans="1:4" ht="15.75" customHeight="1" x14ac:dyDescent="0.3">
      <c r="A116" s="1" t="s">
        <v>472</v>
      </c>
      <c r="B116" s="1" t="str">
        <f ca="1">IFERROR(__xludf.DUMMYFUNCTION("GOOGLETRANSLATE(B166,""es"",""en"")"),"Rt @vladimir_cerron: repressive expressions of Daniel @dsalaverryv do not help peaceful solution in the bambas. Communities come to transnational as private, but the most serious thing is that they also see the State as such. They are rightly located in a"&amp;" third current.")</f>
        <v>Rt @vladimir_cerron: repressive expressions of Daniel @dsalaverryv do not help peaceful solution in the bambas. Communities come to transnational as private, but the most serious thing is that they also see the State as such. They are rightly located in a third current.</v>
      </c>
      <c r="C116" s="1" t="s">
        <v>473</v>
      </c>
      <c r="D116" s="1" t="s">
        <v>143</v>
      </c>
    </row>
    <row r="117" spans="1:4" ht="15.75" customHeight="1" x14ac:dyDescent="0.3">
      <c r="A117" s="1" t="s">
        <v>474</v>
      </c>
      <c r="B117" s="1" t="str">
        <f ca="1">IFERROR(__xludf.DUMMYFUNCTION("GOOGLETRANSLATE(B167,""es"",""en"")"),"RT @miguelhiliarioe: The bambas community members have already received money and were given land! They don't deserve anymore! They come as in Switzerland in Fuerabamba!
Have entrepreneurs who have already won for years profiting with state benefits, shou"&amp;"ld they no longer win? Total already won a lot -what else?
#the Bambas")</f>
        <v>RT @miguelhiliarioe: The bambas community members have already received money and were given land! They don't deserve anymore! They come as in Switzerland in Fuerabamba!
Have entrepreneurs who have already won for years profiting with state benefits, should they no longer win? Total already won a lot -what else?
#the Bambas</v>
      </c>
      <c r="C117" s="1" t="s">
        <v>475</v>
      </c>
      <c r="D117" s="1" t="s">
        <v>55</v>
      </c>
    </row>
    <row r="118" spans="1:4" ht="15.75" customHeight="1" x14ac:dyDescent="0.3">
      <c r="A118" s="1" t="s">
        <v>370</v>
      </c>
      <c r="B118" s="1" t="str">
        <f ca="1">IFERROR(__xludf.DUMMYFUNCTION("GOOGLETRANSLATE(B168,""es"",""en"")"),"Rt @el_Observante_: Red corrupt complicate of OH and the Mrs. of the 4 agendas talks about the bambas https://t.co/juf2b2bhk this reveals that the red and caviars are the extortionists always and suck the peasants for violence, FOR MONEY")</f>
        <v>Rt @el_Observante_: Red corrupt complicate of OH and the Mrs. of the 4 agendas talks about the bambas https://t.co/juf2b2bhk this reveals that the red and caviars are the extortionists always and suck the peasants for violence, FOR MONEY</v>
      </c>
      <c r="C118" s="1" t="s">
        <v>476</v>
      </c>
      <c r="D118" s="1" t="s">
        <v>372</v>
      </c>
    </row>
    <row r="119" spans="1:4" ht="15.75" customHeight="1" x14ac:dyDescent="0.3">
      <c r="A119" s="1" t="s">
        <v>477</v>
      </c>
      <c r="B119" s="1" t="str">
        <f ca="1">IFERROR(__xludf.DUMMYFUNCTION("GOOGLETRANSLATE(B169,""es"",""en"")"),"Rt @lamula: #lasbambas #ministry
Prosecutor Jafet Velásquez claimed that he did not find elements of conviction that he is part of an organization dedicated to extortion and that he would have been manipulated by the Chávez Sotelo brothers. [Photo: Trome]"&amp;" ►https: //t.co/cbp4j1eq7p")</f>
        <v>Rt @lamula: #lasbambas #ministry
Prosecutor Jafet Velásquez claimed that he did not find elements of conviction that he is part of an organization dedicated to extortion and that he would have been manipulated by the Chávez Sotelo brothers. [Photo: Trome] ►https: //t.co/cbp4j1eq7p</v>
      </c>
      <c r="C119" s="1" t="s">
        <v>478</v>
      </c>
      <c r="D119" s="1" t="s">
        <v>479</v>
      </c>
    </row>
    <row r="120" spans="1:4" ht="15.75" customHeight="1" x14ac:dyDescent="0.3">
      <c r="A120" s="1" t="s">
        <v>480</v>
      </c>
      <c r="B120" s="1" t="str">
        <f ca="1">IFERROR(__xludf.DUMMYFUNCTION("GOOGLETRANSLATE(B170,""es"",""en"")"),"Rt @aaronsalomong: As expected: community members are not content with the freedom of Gregorio Rojas and demand liberation from all detainees. And all communities, located in areas of influence of the bambas, now want them to be paid equally. To all or no"&amp;" one, they claim.")</f>
        <v>Rt @aaronsalomong: As expected: community members are not content with the freedom of Gregorio Rojas and demand liberation from all detainees. And all communities, located in areas of influence of the bambas, now want them to be paid equally. To all or no one, they claim.</v>
      </c>
      <c r="C120" s="1" t="s">
        <v>481</v>
      </c>
      <c r="D120" s="1" t="s">
        <v>482</v>
      </c>
    </row>
    <row r="121" spans="1:4" ht="15.75" customHeight="1" x14ac:dyDescent="0.3">
      <c r="A121" s="1" t="s">
        <v>483</v>
      </c>
      <c r="B121" s="1" t="str">
        <f ca="1">IFERROR(__xludf.DUMMYFUNCTION("GOOGLETRANSLATE(B171,""es"",""en"")"),"Rt @24Horastv: [Video] #lasbambas: They would have identified alleged author of attack on helicopter https://t.co/zjmnlelaouo")</f>
        <v>Rt @24Horastv: [Video] #lasbambas: They would have identified alleged author of attack on helicopter https://t.co/zjmnlelaouo</v>
      </c>
      <c r="C121" s="1" t="s">
        <v>484</v>
      </c>
      <c r="D121" s="1" t="s">
        <v>2</v>
      </c>
    </row>
    <row r="122" spans="1:4" ht="15.75" customHeight="1" x14ac:dyDescent="0.3">
      <c r="A122" s="1" t="s">
        <v>485</v>
      </c>
      <c r="B122" s="1" t="str">
        <f ca="1">IFERROR(__xludf.DUMMYFUNCTION("GOOGLETRANSLATE(B172,""es"",""en"")"),"Martín Vizcarra and PPK fire the bambas https://t.co/wdf2ukq8n7")</f>
        <v>Martín Vizcarra and PPK fire the bambas https://t.co/wdf2ukq8n7</v>
      </c>
      <c r="C122" s="1" t="s">
        <v>486</v>
      </c>
      <c r="D122" s="1" t="s">
        <v>487</v>
      </c>
    </row>
    <row r="123" spans="1:4" ht="15.75" customHeight="1" x14ac:dyDescent="0.3">
      <c r="A123" s="1" t="s">
        <v>488</v>
      </c>
      <c r="B123" s="1" t="str">
        <f ca="1">IFERROR(__xludf.DUMMYFUNCTION("GOOGLETRANSLATE(B173,""es"",""en"")"),"Rt @Sergiosanabria4: Monsignor Cabrejos revealed that from the Executive they communicated with him so that the Church intervenes in the conflict of the Bambas. ""We are willing to collaborate for a dialogue between the government, the community members a"&amp;"nd the mine."" My interview via @larepublica_pe @conf_episcopal https://t.co/eh1js7loxf")</f>
        <v>Rt @Sergiosanabria4: Monsignor Cabrejos revealed that from the Executive they communicated with him so that the Church intervenes in the conflict of the Bambas. "We are willing to collaborate for a dialogue between the government, the community members and the mine." My interview via @larepublica_pe @conf_episcopal https://t.co/eh1js7loxf</v>
      </c>
      <c r="C123" s="1" t="s">
        <v>489</v>
      </c>
      <c r="D123" s="1" t="s">
        <v>490</v>
      </c>
    </row>
    <row r="124" spans="1:4" ht="15.75" customHeight="1" x14ac:dyDescent="0.3">
      <c r="A124" s="1" t="s">
        <v>491</v>
      </c>
      <c r="B124" s="1" t="str">
        <f ca="1">IFERROR(__xludf.DUMMYFUNCTION("GOOGLETRANSLATE(B174,""es"",""en"")"),"Rt @jdealthaus: The Government has to clearly explain that the blockade is a crime and that the community must leave the blockade to dialogue: the bambas: conversations between the government and community members are still without progress | Peru | Apuri"&amp;"mac | Peru trade https://t.co/ybnq11rzxt")</f>
        <v>Rt @jdealthaus: The Government has to clearly explain that the blockade is a crime and that the community must leave the blockade to dialogue: the bambas: conversations between the government and community members are still without progress | Peru | Apurimac | Peru trade https://t.co/ybnq11rzxt</v>
      </c>
      <c r="C124" s="1" t="s">
        <v>492</v>
      </c>
      <c r="D124" s="1" t="s">
        <v>493</v>
      </c>
    </row>
    <row r="125" spans="1:4" ht="15.75" customHeight="1" x14ac:dyDescent="0.3">
      <c r="A125" s="1" t="s">
        <v>494</v>
      </c>
      <c r="B125" s="1" t="str">
        <f ca="1">IFERROR(__xludf.DUMMYFUNCTION("GOOGLETRANSLATE(B175,""es"",""en"")"),"Rt @willaxtv: #laHoracaviar
@Jbcperu: “@Saldelsol says there is no conflict in‘ Las Bambas ’and if there were, they would appeal to dialogue. And Vice Minister clarifies that the Premier will not go to negotiate. Of course, how will you go if you don't kn"&amp;"ow anything about what a social conflict is ""
https://t.co/8lnl95gjyj")</f>
        <v>Rt @willaxtv: #laHoracaviar
@Jbcperu: “@Saldelsol says there is no conflict in‘ Las Bambas ’and if there were, they would appeal to dialogue. And Vice Minister clarifies that the Premier will not go to negotiate. Of course, how will you go if you don't know anything about what a social conflict is "
https://t.co/8lnl95gjyj</v>
      </c>
      <c r="C125" s="1" t="s">
        <v>495</v>
      </c>
      <c r="D125" s="1" t="s">
        <v>131</v>
      </c>
    </row>
    <row r="126" spans="1:4" ht="15.75" customHeight="1" x14ac:dyDescent="0.3">
      <c r="A126" s="1" t="s">
        <v>496</v>
      </c>
      <c r="B126" s="1" t="str">
        <f ca="1">IFERROR(__xludf.DUMMYFUNCTION("GOOGLETRANSLATE(B176,""es"",""en"")"),"Rt @canaln_: [The latest] Minera Las Bambas maintains their disposition to dialog ► https://t.co/wagcnzyd1g https://t.co/7qledqufSC")</f>
        <v>Rt @canaln_: [The latest] Minera Las Bambas maintains their disposition to dialog ► https://t.co/wagcnzyd1g https://t.co/7qledqufSC</v>
      </c>
      <c r="C126" s="1" t="s">
        <v>497</v>
      </c>
      <c r="D126" s="1" t="s">
        <v>498</v>
      </c>
    </row>
    <row r="127" spans="1:4" ht="15.75" customHeight="1" x14ac:dyDescent="0.3">
      <c r="A127" s="1" t="s">
        <v>499</v>
      </c>
      <c r="B127" s="1" t="str">
        <f ca="1">IFERROR(__xludf.DUMMYFUNCTION("GOOGLETRANSLATE(B177,""es"",""en"")"),"Las Bambas Case: The act that ordered the liberation of Fuerabamba leader https://t.co/cefujegczf https://t.co/ljvkqys48t")</f>
        <v>Las Bambas Case: The act that ordered the liberation of Fuerabamba leader https://t.co/cefujegczf https://t.co/ljvkqys48t</v>
      </c>
      <c r="C127" s="1" t="s">
        <v>500</v>
      </c>
      <c r="D127" s="1" t="s">
        <v>298</v>
      </c>
    </row>
    <row r="128" spans="1:4" ht="15.75" customHeight="1" x14ac:dyDescent="0.3">
      <c r="A128" s="1" t="s">
        <v>501</v>
      </c>
      <c r="B128" s="1" t="str">
        <f ca="1">IFERROR(__xludf.DUMMYFUNCTION("GOOGLETRANSLATE(B178,""es"",""en"")"),"Peru: The bambas: they show interior of the helicopter attacked in full flight [VIDEO].
https://t.co/9fqz0yoizo")</f>
        <v>Peru: The bambas: they show interior of the helicopter attacked in full flight [VIDEO].
https://t.co/9fqz0yoizo</v>
      </c>
      <c r="C128" s="1" t="s">
        <v>502</v>
      </c>
      <c r="D128" s="1" t="s">
        <v>503</v>
      </c>
    </row>
    <row r="129" spans="1:4" ht="15.75" customHeight="1" x14ac:dyDescent="0.3">
      <c r="A129" s="1" t="s">
        <v>504</v>
      </c>
      <c r="B129" s="1" t="str">
        <f ca="1">IFERROR(__xludf.DUMMYFUNCTION("GOOGLETRANSLATE(B179,""es"",""en"")"),"RT @eljorobado: The Republicans already resolved the conflict of the bambas?")</f>
        <v>RT @eljorobado: The Republicans already resolved the conflict of the bambas?</v>
      </c>
      <c r="C129" s="1" t="s">
        <v>505</v>
      </c>
      <c r="D129" s="1" t="s">
        <v>506</v>
      </c>
    </row>
    <row r="130" spans="1:4" ht="15.75" customHeight="1" x14ac:dyDescent="0.3">
      <c r="A130" s="1" t="s">
        <v>311</v>
      </c>
      <c r="B130" s="1" t="str">
        <f ca="1">IFERROR(__xludf.DUMMYFUNCTION("GOOGLETRANSLATE(B180,""es"",""en"")"),"Although the Premier is confident that he will obtain the vote of trust, we estimate that the result can be adjusted if the problem of the bambas is not solved until that date.
https://t.co/wttaoxewle")</f>
        <v>Although the Premier is confident that he will obtain the vote of trust, we estimate that the result can be adjusted if the problem of the bambas is not solved until that date.
https://t.co/wttaoxewle</v>
      </c>
      <c r="C130" s="1" t="s">
        <v>507</v>
      </c>
      <c r="D130" s="1" t="s">
        <v>508</v>
      </c>
    </row>
    <row r="131" spans="1:4" ht="15.75" customHeight="1" x14ac:dyDescent="0.3">
      <c r="A131" s="1" t="s">
        <v>205</v>
      </c>
      <c r="B131" s="1" t="str">
        <f ca="1">IFERROR(__xludf.DUMMYFUNCTION("GOOGLETRANSLATE(B181,""es"",""en"")"),"Rt @heinzroque: El Norte, abandoned
Las Bambas, abandoned
Security, abandoned
Investments, abandoned
Now, there is no pass to Oxapampa - Chanchamayo, Paucartambo River swept the road to the height of Puente Capelo.
@Pbodigital @kikebravoprado @Judyro94 @"&amp;"Panoramaptv @karinanoal https://t.co/25g2lltpgx")</f>
        <v>Rt @heinzroque: El Norte, abandoned
Las Bambas, abandoned
Security, abandoned
Investments, abandoned
Now, there is no pass to Oxapampa - Chanchamayo, Paucartambo River swept the road to the height of Puente Capelo.
@Pbodigital @kikebravoprado @Judyro94 @Panoramaptv @karinanoal https://t.co/25g2lltpgx</v>
      </c>
      <c r="C131" s="1" t="s">
        <v>509</v>
      </c>
      <c r="D131" s="1" t="s">
        <v>510</v>
      </c>
    </row>
    <row r="132" spans="1:4" ht="15.75" customHeight="1" x14ac:dyDescent="0.3">
      <c r="A132" s="1" t="s">
        <v>256</v>
      </c>
      <c r="B132" s="1" t="str">
        <f ca="1">IFERROR(__xludf.DUMMYFUNCTION("GOOGLETRANSLATE(B182,""es"",""en"")"),"As it is possible that a newspaper like the Republic lends itself to such a lie. https://t.co/jopo4ybuic")</f>
        <v>As it is possible that a newspaper like the Republic lends itself to such a lie. https://t.co/jopo4ybuic</v>
      </c>
      <c r="C132" s="1" t="s">
        <v>511</v>
      </c>
      <c r="D132" s="1" t="s">
        <v>512</v>
      </c>
    </row>
    <row r="133" spans="1:4" ht="15.75" customHeight="1" x14ac:dyDescent="0.3">
      <c r="A133" s="1" t="s">
        <v>513</v>
      </c>
      <c r="B133" s="1" t="str">
        <f ca="1">IFERROR(__xludf.DUMMYFUNCTION("GOOGLETRANSLATE(B183,""es"",""en"")"),"premiering its new bambas https://t.co/kn2bakqw4p")</f>
        <v>premiering its new bambas https://t.co/kn2bakqw4p</v>
      </c>
      <c r="C133" s="1" t="s">
        <v>514</v>
      </c>
      <c r="D133" s="1" t="s">
        <v>515</v>
      </c>
    </row>
    <row r="134" spans="1:4" ht="15.75" customHeight="1" x14ac:dyDescent="0.3">
      <c r="A134" s="1" t="s">
        <v>516</v>
      </c>
      <c r="B134" s="1" t="str">
        <f ca="1">IFERROR(__xludf.DUMMYFUNCTION("GOOGLETRANSLATE(B184,""es"",""en"")"),"What good answers give @alangarciaperu in the networks .... They are for competition ✔✔🤣😂ss://t.co/abboggflty")</f>
        <v>What good answers give @alangarciaperu in the networks .... They are for competition ✔✔🤣😂ss://t.co/abboggflty</v>
      </c>
      <c r="C134" s="1" t="s">
        <v>517</v>
      </c>
      <c r="D134" s="1" t="s">
        <v>518</v>
      </c>
    </row>
    <row r="135" spans="1:4" ht="15.75" customHeight="1" x14ac:dyDescent="0.3">
      <c r="A135" s="1" t="s">
        <v>519</v>
      </c>
      <c r="B135" s="1" t="str">
        <f ca="1">IFERROR(__xludf.DUMMYFUNCTION("GOOGLETRANSLATE(B185,""es"",""en"")"),"RT @anamavidalc: Since October 2017, the PNP and the company MMG Las Bambas have a #convenio for which the police provide private services. In Cotabambas, PNP does not take care of citizens to take care of the company. How much does the mine pay the polic"&amp;"e? Who does the police receive orders? https://t.co/bspg0glof")</f>
        <v>RT @anamavidalc: Since October 2017, the PNP and the company MMG Las Bambas have a #convenio for which the police provide private services. In Cotabambas, PNP does not take care of citizens to take care of the company. How much does the mine pay the police? Who does the police receive orders? https://t.co/bspg0glof</v>
      </c>
      <c r="C135" s="1" t="s">
        <v>520</v>
      </c>
      <c r="D135" s="1" t="s">
        <v>521</v>
      </c>
    </row>
    <row r="136" spans="1:4" ht="15.75" customHeight="1" x14ac:dyDescent="0.3">
      <c r="A136" s="1" t="s">
        <v>522</v>
      </c>
      <c r="B136" s="1" t="str">
        <f ca="1">IFERROR(__xludf.DUMMYFUNCTION("GOOGLETRANSLATE(B186,""es"",""en"")"),"RT @mininterperu: tonight in the spring sector, Challhuahuacho, Edison Vargas Huamanga was arrested for having hit his truck, in apparent drunken state, to a police officer from the Dirres at the height of the entrance to the Las Bambas mine. https://t.co"&amp;"/fvribd74lw")</f>
        <v>RT @mininterperu: tonight in the spring sector, Challhuahuacho, Edison Vargas Huamanga was arrested for having hit his truck, in apparent drunken state, to a police officer from the Dirres at the height of the entrance to the Las Bambas mine. https://t.co/fvribd74lw</v>
      </c>
      <c r="C136" s="1" t="s">
        <v>523</v>
      </c>
      <c r="D136" s="1" t="s">
        <v>285</v>
      </c>
    </row>
    <row r="137" spans="1:4" ht="15.75" customHeight="1" x14ac:dyDescent="0.3">
      <c r="A137" s="1" t="s">
        <v>524</v>
      </c>
      <c r="B137" s="1" t="str">
        <f ca="1">IFERROR(__xludf.DUMMYFUNCTION("GOOGLETRANSLATE(B187,""es"",""en"")"),"RT @msalazarCongers: What actions is taking @Martinvizcarrac and @pcmperu about it. Members of the political arm of the Shining Path marched in support of community members | Journal Mail https://t.co/p3hpsapmtu")</f>
        <v>RT @msalazarCongers: What actions is taking @Martinvizcarrac and @pcmperu about it. Members of the political arm of the Shining Path marched in support of community members | Journal Mail https://t.co/p3hpsapmtu</v>
      </c>
      <c r="C137" s="1" t="s">
        <v>525</v>
      </c>
      <c r="D137" s="1" t="s">
        <v>526</v>
      </c>
    </row>
    <row r="138" spans="1:4" ht="15.75" customHeight="1" x14ac:dyDescent="0.3">
      <c r="A138" s="1" t="s">
        <v>527</v>
      </c>
      <c r="B138" s="1" t="str">
        <f ca="1">IFERROR(__xludf.DUMMYFUNCTION("GOOGLETRANSLATE(B188,""es"",""en"")"),"THE BAMBAS
That miners pollute despite cutting -edge technology is undeniable. But that issue of mining leader is interested in a cucumber. The important thing for these leaders is: ""How is the nut?""
An ancestral custom in Peru.")</f>
        <v>THE BAMBAS
That miners pollute despite cutting -edge technology is undeniable. But that issue of mining leader is interested in a cucumber. The important thing for these leaders is: "How is the nut?"
An ancestral custom in Peru.</v>
      </c>
      <c r="C138" s="1" t="s">
        <v>528</v>
      </c>
      <c r="D138" s="1" t="s">
        <v>266</v>
      </c>
    </row>
    <row r="139" spans="1:4" ht="15.75" customHeight="1" x14ac:dyDescent="0.3">
      <c r="A139" s="1" t="s">
        <v>205</v>
      </c>
      <c r="B139" s="1" t="str">
        <f ca="1">IFERROR(__xludf.DUMMYFUNCTION("GOOGLETRANSLATE(B189,""es"",""en"")"),"RT @Plinio2009: @elhigadodmarita the participation of PPK, with its seriously That area will be treated tomorrow, in express.")</f>
        <v>RT @Plinio2009: @elhigadodmarita the participation of PPK, with its seriously That area will be treated tomorrow, in express.</v>
      </c>
      <c r="C139" s="1" t="s">
        <v>529</v>
      </c>
      <c r="D139" s="1" t="s">
        <v>530</v>
      </c>
    </row>
    <row r="140" spans="1:4" ht="15.75" customHeight="1" x14ac:dyDescent="0.3">
      <c r="A140" s="1" t="s">
        <v>531</v>
      </c>
      <c r="B140" s="1" t="str">
        <f ca="1">IFERROR(__xludf.DUMMYFUNCTION("GOOGLETRANSLATE(B190,""es"",""en"")"),"RT @Laconchacaviar: Congressman @Rosamariabartra, on representation of Peruvian D Millions tells him inept (the truth) to #vizcarra and all the ""rackets"" jump on him.
➡️ Pantaleón says that in the #bambas there is no conflict (he lies blatantly) and ap"&amp;"plaud it?
These Peruanites are death.")</f>
        <v>RT @Laconchacaviar: Congressman @Rosamariabartra, on representation of Peruvian D Millions tells him inept (the truth) to #vizcarra and all the "rackets" jump on him.
➡️ Pantaleón says that in the #bambas there is no conflict (he lies blatantly) and applaud it?
These Peruanites are death.</v>
      </c>
      <c r="C140" s="1" t="s">
        <v>532</v>
      </c>
      <c r="D140" s="1" t="s">
        <v>321</v>
      </c>
    </row>
    <row r="141" spans="1:4" ht="15.75" customHeight="1" x14ac:dyDescent="0.3">
      <c r="A141" s="1" t="s">
        <v>533</v>
      </c>
      <c r="B141" s="1" t="str">
        <f ca="1">IFERROR(__xludf.DUMMYFUNCTION("GOOGLETRANSLATE(B191,""es"",""en"")"),"#Advance21
The State convened a meeting on April 9 in Lima to try to resolve the conflict in the bambas. In addition, Nicolás Maduro has taken a new retaliation against Juan Guaidó. And do not miss the interview with Ziggy Marley, musician and son of the "&amp;"legend Bob Marley. https://t.co/adwqm4rgzz")</f>
        <v>#Advance21
The State convened a meeting on April 9 in Lima to try to resolve the conflict in the bambas. In addition, Nicolás Maduro has taken a new retaliation against Juan Guaidó. And do not miss the interview with Ziggy Marley, musician and son of the legend Bob Marley. https://t.co/adwqm4rgzz</v>
      </c>
      <c r="C141" s="1" t="s">
        <v>534</v>
      </c>
      <c r="D141" s="1" t="s">
        <v>535</v>
      </c>
    </row>
    <row r="142" spans="1:4" ht="15.75" customHeight="1" x14ac:dyDescent="0.3">
      <c r="A142" s="1" t="s">
        <v>536</v>
      </c>
      <c r="B142" s="1" t="str">
        <f ca="1">IFERROR(__xludf.DUMMYFUNCTION("GOOGLETRANSLATE(B192,""es"",""en"")"),"RT @alfonsobaella: Fuerabamba: houses with light, water, drainage, internet, medical post, school, tracks and paths. Almost 2 million S/. X family. They were initially 150, 500 appeared, but the same. Now they want more or block the road. The mine complie"&amp;"d, they didn't!")</f>
        <v>RT @alfonsobaella: Fuerabamba: houses with light, water, drainage, internet, medical post, school, tracks and paths. Almost 2 million S/. X family. They were initially 150, 500 appeared, but the same. Now they want more or block the road. The mine complied, they didn't!</v>
      </c>
      <c r="C142" s="1" t="s">
        <v>537</v>
      </c>
      <c r="D142" s="1" t="s">
        <v>538</v>
      </c>
    </row>
    <row r="143" spans="1:4" ht="15.75" customHeight="1" x14ac:dyDescent="0.3">
      <c r="A143" s="1" t="s">
        <v>539</v>
      </c>
      <c r="B143" s="1" t="str">
        <f ca="1">IFERROR(__xludf.DUMMYFUNCTION("GOOGLETRANSLATE(B193,""es"",""en"")"),"Las Bambas: They declare in a state of emergency chalhuahuacho in Apurímac https://t.co/ar7oih88gm https://t.co/0zrgaiyqvqvqvqv")</f>
        <v>Las Bambas: They declare in a state of emergency chalhuahuacho in Apurímac https://t.co/ar7oih88gm https://t.co/0zrgaiyqvqvqvqv</v>
      </c>
      <c r="C143" s="1" t="s">
        <v>540</v>
      </c>
      <c r="D143" s="1" t="s">
        <v>541</v>
      </c>
    </row>
    <row r="144" spans="1:4" ht="15.75" customHeight="1" x14ac:dyDescent="0.3">
      <c r="A144" s="1" t="s">
        <v>250</v>
      </c>
      <c r="B144" s="1" t="str">
        <f ca="1">IFERROR(__xludf.DUMMYFUNCTION("GOOGLETRANSLATE(B194,""es"",""en"")"),"Rt @ojo_publica: #The last #lasbambas Gregorio Rojas, president of the community of Fuerabamba, will be released this afternoon confirmed Franz Velarde, lawyer's lawyer, at https://t.co/ncvhvcwisu. At the moment in #CHALLHUAHUACHO they evaluate lift the b"&amp;"lockade for 15 days. https://t.co/uch9ljxxuz https://t.co/g8g4uikbgc")</f>
        <v>Rt @ojo_publica: #The last #lasbambas Gregorio Rojas, president of the community of Fuerabamba, will be released this afternoon confirmed Franz Velarde, lawyer's lawyer, at https://t.co/ncvhvcwisu. At the moment in #CHALLHUAHUACHO they evaluate lift the blockade for 15 days. https://t.co/uch9ljxxuz https://t.co/g8g4uikbgc</v>
      </c>
      <c r="C144" s="1" t="s">
        <v>542</v>
      </c>
      <c r="D144" s="1" t="s">
        <v>431</v>
      </c>
    </row>
    <row r="145" spans="1:4" ht="15.75" customHeight="1" x14ac:dyDescent="0.3">
      <c r="A145" s="1" t="s">
        <v>543</v>
      </c>
      <c r="B145" s="1" t="str">
        <f ca="1">IFERROR(__xludf.DUMMYFUNCTION("GOOGLETRANSLATE(B195,""es"",""en"")"),"Rt @tamyarimborgog: Three ministers go to Cusco to waste time and make believe that ""they are negotiating"" the topic the bambas !! Channel N journalists ask them questions about it and Minister Bustamante does not know what to say !! And the great commu"&amp;"nicator (of the plot) continues silent !!")</f>
        <v>Rt @tamyarimborgog: Three ministers go to Cusco to waste time and make believe that "they are negotiating" the topic the bambas !! Channel N journalists ask them questions about it and Minister Bustamante does not know what to say !! And the great communicator (of the plot) continues silent !!</v>
      </c>
      <c r="C145" s="1" t="s">
        <v>544</v>
      </c>
      <c r="D145" s="1" t="s">
        <v>545</v>
      </c>
    </row>
    <row r="146" spans="1:4" ht="15.75" customHeight="1" x14ac:dyDescent="0.3">
      <c r="A146" s="1" t="s">
        <v>546</v>
      </c>
      <c r="B146" s="1" t="str">
        <f ca="1">IFERROR(__xludf.DUMMYFUNCTION("GOOGLETRANSLATE(B196,""es"",""en"")"),"RT @Plinio2009: Martín Vizcarra and PPK burned the bambas. Of course, the first promising more than S/ 2,000 million, and the second putting its trucks serrated by mineral transport. This does not exempt mafia community leaders or ""chavelos"" extortion. "&amp;"https://t.co/l6bf7hne22")</f>
        <v>RT @Plinio2009: Martín Vizcarra and PPK burned the bambas. Of course, the first promising more than S/ 2,000 million, and the second putting its trucks serrated by mineral transport. This does not exempt mafia community leaders or "chavelos" extortion. https://t.co/l6bf7hne22</v>
      </c>
      <c r="C146" s="1" t="s">
        <v>547</v>
      </c>
      <c r="D146" s="1" t="s">
        <v>548</v>
      </c>
    </row>
    <row r="147" spans="1:4" ht="15.75" customHeight="1" x14ac:dyDescent="0.3">
      <c r="A147" s="1" t="s">
        <v>488</v>
      </c>
      <c r="B147" s="1" t="str">
        <f ca="1">IFERROR(__xludf.DUMMYFUNCTION("GOOGLETRANSLATE(B197,""es"",""en"")"),"RT @larepublica_pe: #Forolr | The Church accepted mediating in the conflict of the bambas. The Executive, the Chinese mining company MMG and the community members greet the announcement of Monsignor Miguel Cabrejos. What do you think?")</f>
        <v>RT @larepublica_pe: #Forolr | The Church accepted mediating in the conflict of the bambas. The Executive, the Chinese mining company MMG and the community members greet the announcement of Monsignor Miguel Cabrejos. What do you think?</v>
      </c>
      <c r="C147" s="1" t="s">
        <v>549</v>
      </c>
      <c r="D147" s="1" t="s">
        <v>550</v>
      </c>
    </row>
    <row r="148" spans="1:4" ht="15.75" customHeight="1" x14ac:dyDescent="0.3">
      <c r="A148" s="1" t="s">
        <v>551</v>
      </c>
      <c r="B148" s="1" t="str">
        <f ca="1">IFERROR(__xludf.DUMMYFUNCTION("GOOGLETRANSLATE(B198,""es"",""en"")"),"Rt @cenvall: leftist, hikers and herzbollah
The bambas and red unemployment
All plotted by congressmen and terrorists. They are anti patriots. They do not seek justice but lentils.
It is coordinated with PPKAUSAS by economic ties and the Palace inept mak"&amp;"es the game https://t.co/jxv4hdurcw")</f>
        <v>Rt @cenvall: leftist, hikers and herzbollah
The bambas and red unemployment
All plotted by congressmen and terrorists. They are anti patriots. They do not seek justice but lentils.
It is coordinated with PPKAUSAS by economic ties and the Palace inept makes the game https://t.co/jxv4hdurcw</v>
      </c>
      <c r="C148" s="1" t="s">
        <v>552</v>
      </c>
      <c r="D148" s="1" t="s">
        <v>553</v>
      </c>
    </row>
    <row r="149" spans="1:4" ht="15.75" customHeight="1" x14ac:dyDescent="0.3">
      <c r="A149" s="1" t="s">
        <v>370</v>
      </c>
      <c r="B149" s="1" t="str">
        <f ca="1">IFERROR(__xludf.DUMMYFUNCTION("GOOGLETRANSLATE(B199,""es"",""en"")"),"Rt @delurens: Nós went to shit, the members of the FUDEPP, political arm of the Shining Path, marched through the streets of the center of Lima in support of the community members of Cotabambas who maintain a strike against the Minera de las Bambas. https"&amp;"://t.co/9fcbmqbyyu")</f>
        <v>Rt @delurens: Nós went to shit, the members of the FUDEPP, political arm of the Shining Path, marched through the streets of the center of Lima in support of the community members of Cotabambas who maintain a strike against the Minera de las Bambas. https://t.co/9fcbmqbyyu</v>
      </c>
      <c r="C149" s="1" t="s">
        <v>554</v>
      </c>
      <c r="D149" s="1" t="s">
        <v>555</v>
      </c>
    </row>
    <row r="150" spans="1:4" ht="15.75" customHeight="1" x14ac:dyDescent="0.3">
      <c r="A150" s="1" t="s">
        <v>556</v>
      </c>
      <c r="B150" s="1" t="str">
        <f ca="1">IFERROR(__xludf.DUMMYFUNCTION("GOOGLETRANSLATE(B200,""es"",""en"")"),"RT @indirahuilca: If you are a Quechua -speaking commoner living in a housing a whole, it is a luxury, even if they have displaced you to make an open pit mine in your lands. Some headlines about the bambas situation are fright. Mentality anchored in 1500"&amp;". https://t.co/tcpqfqvv4u")</f>
        <v>RT @indirahuilca: If you are a Quechua -speaking commoner living in a housing a whole, it is a luxury, even if they have displaced you to make an open pit mine in your lands. Some headlines about the bambas situation are fright. Mentality anchored in 1500. https://t.co/tcpqfqvv4u</v>
      </c>
      <c r="C150" s="1" t="s">
        <v>557</v>
      </c>
      <c r="D150" s="1" t="s">
        <v>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topLeftCell="A37" workbookViewId="0">
      <selection activeCell="G53" sqref="G53"/>
    </sheetView>
  </sheetViews>
  <sheetFormatPr baseColWidth="10" defaultColWidth="14.44140625" defaultRowHeight="15" customHeight="1" x14ac:dyDescent="0.3"/>
  <cols>
    <col min="1" max="6" width="8.77734375" customWidth="1"/>
    <col min="8" max="26" width="8.77734375" customWidth="1"/>
  </cols>
  <sheetData>
    <row r="1" spans="1:4" ht="14.4" x14ac:dyDescent="0.3">
      <c r="A1" s="1" t="s">
        <v>0</v>
      </c>
      <c r="B1" s="1" t="str">
        <f ca="1">IFERROR(__xludf.DUMMYFUNCTION("GOOGLETRANSLATE(B1,""es"",""en"")"),"RT @Jdealthaus: Julio Velarde BCRP: Bambas paralysis would affect the economy https://t.co/wvc24DWJQF")</f>
        <v>RT @Jdealthaus: Julio Velarde BCRP: Bambas paralysis would affect the economy https://t.co/wvc24DWJQF</v>
      </c>
      <c r="C1" s="1" t="s">
        <v>1</v>
      </c>
      <c r="D1" s="1" t="s">
        <v>2</v>
      </c>
    </row>
    <row r="2" spans="1:4" ht="14.4" x14ac:dyDescent="0.3">
      <c r="A2" s="1" t="s">
        <v>3</v>
      </c>
      <c r="B2" s="1" t="str">
        <f ca="1">IFERROR(__xludf.DUMMYFUNCTION("GOOGLETRANSLATE(B2,""es"",""en"")"),"Rt @politica_lr: #Lo.The Gregorio Rojas: ""We agree with mining, but respect our rights""
Now")</f>
        <v>Rt @politica_lr: #Lo.The Gregorio Rojas: "We agree with mining, but respect our rights"
Now</v>
      </c>
      <c r="C2" s="1" t="s">
        <v>4</v>
      </c>
      <c r="D2" s="1" t="s">
        <v>5</v>
      </c>
    </row>
    <row r="3" spans="1:4" ht="14.4" x14ac:dyDescent="0.3">
      <c r="A3" s="1" t="s">
        <v>6</v>
      </c>
      <c r="B3" s="1" t="str">
        <f ca="1">IFERROR(__xludf.DUMMYFUNCTION("GOOGLETRANSLATE(B3,""es"",""en"")"),"Rt @abelgilvonio: Verónika Mendoza on the bambas: ""The crisis will not be resolved to criminalize the leaders"" | RP News https://t.co/bfy9ytjqbs")</f>
        <v>Rt @abelgilvonio: Verónika Mendoza on the bambas: "The crisis will not be resolved to criminalize the leaders" | RP News https://t.co/bfy9ytjqbs</v>
      </c>
      <c r="C3" s="1" t="s">
        <v>7</v>
      </c>
      <c r="D3" s="1" t="s">
        <v>8</v>
      </c>
    </row>
    <row r="4" spans="1:4" ht="14.4" x14ac:dyDescent="0.3">
      <c r="A4" s="1" t="s">
        <v>9</v>
      </c>
      <c r="B4" s="1" t="str">
        <f ca="1">IFERROR(__xludf.DUMMYFUNCTION("GOOGLETRANSLATE(B4,""es"",""en"")"),"Rt @vponce64: revealed curtain: @ideele comes out in defense of antimineros openly. What does @actransparencia say about it? Confused liberal friends, without definitions, the caviar world is a light version of anti -capitalism. Today they come together w"&amp;"ith the extremism against the bambas!")</f>
        <v>Rt @vponce64: revealed curtain: @ideele comes out in defense of antimineros openly. What does @actransparencia say about it? Confused liberal friends, without definitions, the caviar world is a light version of anti -capitalism. Today they come together with the extremism against the bambas!</v>
      </c>
      <c r="C4" s="1" t="s">
        <v>10</v>
      </c>
      <c r="D4" s="1" t="s">
        <v>11</v>
      </c>
    </row>
    <row r="5" spans="1:4" ht="14.4" x14ac:dyDescent="0.3">
      <c r="A5" s="1" t="s">
        <v>12</v>
      </c>
      <c r="B5" s="1" t="str">
        <f ca="1">IFERROR(__xludf.DUMMYFUNCTION("GOOGLETRANSLATE(B5,""es"",""en"")"),"RT @miguelhiliarioe: The bambas community members have already received money and were given land! They don't deserve anymore! They come as in Switzerland in Fuerabamba!
Have entrepreneurs who have already won for years profiting with state benefits, shou"&amp;"ld they no longer win? Total already won a lot -what else?
#the Bambas")</f>
        <v>RT @miguelhiliarioe: The bambas community members have already received money and were given land! They don't deserve anymore! They come as in Switzerland in Fuerabamba!
Have entrepreneurs who have already won for years profiting with state benefits, should they no longer win? Total already won a lot -what else?
#the Bambas</v>
      </c>
      <c r="C5" s="1" t="s">
        <v>13</v>
      </c>
      <c r="D5" s="1" t="s">
        <v>14</v>
      </c>
    </row>
    <row r="6" spans="1:4" ht="14.4" x14ac:dyDescent="0.3">
      <c r="A6" s="1" t="s">
        <v>15</v>
      </c>
      <c r="B6" s="1" t="str">
        <f ca="1">IFERROR(__xludf.DUMMYFUNCTION("GOOGLETRANSLATE(B6,""es"",""en"")"),"Rt @Tamyarimborgog: Thus ""negotiate"" the government! One by one they will be released, which according to extorted audios")</f>
        <v>Rt @Tamyarimborgog: Thus "negotiate" the government! One by one they will be released, which according to extorted audios</v>
      </c>
      <c r="C6" s="1" t="s">
        <v>16</v>
      </c>
      <c r="D6" s="1" t="s">
        <v>17</v>
      </c>
    </row>
    <row r="7" spans="1:4" ht="14.4" x14ac:dyDescent="0.3">
      <c r="A7" s="1" t="s">
        <v>18</v>
      </c>
      <c r="B7" s="1" t="str">
        <f ca="1">IFERROR(__xludf.DUMMYFUNCTION("GOOGLETRANSLATE(B7,""es"",""en"")"),"RT @canaln_: Carlos Oliva, head of the Ministry of Economy and Finance, also indicated that the Executive Commission will solve the conflict in the bambas https://t.co/ulbs6ipfbv")</f>
        <v>RT @canaln_: Carlos Oliva, head of the Ministry of Economy and Finance, also indicated that the Executive Commission will solve the conflict in the bambas https://t.co/ulbs6ipfbv</v>
      </c>
      <c r="C7" s="1" t="s">
        <v>19</v>
      </c>
      <c r="D7" s="1" t="s">
        <v>20</v>
      </c>
    </row>
    <row r="8" spans="1:4" ht="14.4" x14ac:dyDescent="0.3">
      <c r="A8" s="1" t="s">
        <v>21</v>
      </c>
      <c r="B8" s="1" t="str">
        <f ca="1">IFERROR(__xludf.DUMMYFUNCTION("GOOGLETRANSLATE(B8,""es"",""en"")"),"Rt @lokaldammert: RMP blocked me again. I do not know why, he had tried not to interact with her given her tendency to block. What would be, a like? My mockery to whom they ningunean peasants of the bambas? Anyway. Share blockers list with Martha Chávez, "&amp;"Rafael Rey and Carlos Meléndez")</f>
        <v>Rt @lokaldammert: RMP blocked me again. I do not know why, he had tried not to interact with her given her tendency to block. What would be, a like? My mockery to whom they ningunean peasants of the bambas? Anyway. Share blockers list with Martha Chávez, Rafael Rey and Carlos Meléndez</v>
      </c>
      <c r="C8" s="1" t="s">
        <v>22</v>
      </c>
      <c r="D8" s="1" t="s">
        <v>23</v>
      </c>
    </row>
    <row r="9" spans="1:4" ht="14.4" x14ac:dyDescent="0.3">
      <c r="A9" s="1" t="s">
        <v>24</v>
      </c>
      <c r="B9" s="1" t="str">
        <f ca="1">IFERROR(__xludf.DUMMYFUNCTION("GOOGLETRANSLATE(B9,""es"",""en"")"),"Rt @tamyarimborgog: Three ministers go to Cusco to waste time and make believe that ""they are negotiating"" the topic the bambas !! Channel N journalists ask them questions about it and Minister Bustamante does not know what to say !! And the great commu"&amp;"nicator (of the plot) continues silent !!")</f>
        <v>Rt @tamyarimborgog: Three ministers go to Cusco to waste time and make believe that "they are negotiating" the topic the bambas !! Channel N journalists ask them questions about it and Minister Bustamante does not know what to say !! And the great communicator (of the plot) continues silent !!</v>
      </c>
      <c r="C9" s="1" t="s">
        <v>25</v>
      </c>
      <c r="D9" s="1" t="s">
        <v>26</v>
      </c>
    </row>
    <row r="10" spans="1:4" ht="14.4" x14ac:dyDescent="0.3">
      <c r="A10" s="1" t="s">
        <v>27</v>
      </c>
      <c r="B10" s="1" t="str">
        <f ca="1">IFERROR(__xludf.DUMMYFUNCTION("GOOGLETRANSLATE(B10,""es"",""en"")"),"Las Bambas: Alan García accuses the government and users remind him of his investigations https://t.co/2hv09kudm5")</f>
        <v>Las Bambas: Alan García accuses the government and users remind him of his investigations https://t.co/2hv09kudm5</v>
      </c>
      <c r="C10" s="1" t="s">
        <v>28</v>
      </c>
      <c r="D10" s="1" t="s">
        <v>29</v>
      </c>
    </row>
    <row r="11" spans="1:4" ht="14.4" x14ac:dyDescent="0.3">
      <c r="A11" s="1" t="s">
        <v>30</v>
      </c>
      <c r="B11" s="1" t="str">
        <f ca="1">IFERROR(__xludf.DUMMYFUNCTION("GOOGLETRANSLATE(B11,""es"",""en"")"),"RT @J_Julcaortega: In China: the mining company MMG q exploits the bambas is from the Chinese state.
In Chile: The largest copper company is Codelco of the Chilean State.
In Peru: no mine is from the Peruvian state, all the mines of Peru are in the hands "&amp;"of private or foreign companies !!! https://t.co/a5Syigj6xs")</f>
        <v>RT @J_Julcaortega: In China: the mining company MMG q exploits the bambas is from the Chinese state.
In Chile: The largest copper company is Codelco of the Chilean State.
In Peru: no mine is from the Peruvian state, all the mines of Peru are in the hands of private or foreign companies !!! https://t.co/a5Syigj6xs</v>
      </c>
      <c r="C11" s="1" t="s">
        <v>31</v>
      </c>
      <c r="D11" s="1" t="s">
        <v>32</v>
      </c>
    </row>
    <row r="12" spans="1:4" ht="14.4" x14ac:dyDescent="0.3">
      <c r="A12" s="1" t="s">
        <v>33</v>
      </c>
      <c r="B12" s="1" t="str">
        <f ca="1">IFERROR(__xludf.DUMMYFUNCTION("GOOGLETRANSLATE(B12,""es"",""en"")"),"Rt @tamyarimborgog: Three ministers go to Cusco to waste time and make believe that ""they are negotiating"" the topic the bambas !! Channel N journalists ask them questions about it and Minister Bustamante does not know what to say !! And the great commu"&amp;"nicator (of the plot) continues silent !!")</f>
        <v>Rt @tamyarimborgog: Three ministers go to Cusco to waste time and make believe that "they are negotiating" the topic the bambas !! Channel N journalists ask them questions about it and Minister Bustamante does not know what to say !! And the great communicator (of the plot) continues silent !!</v>
      </c>
      <c r="C12" s="1" t="s">
        <v>34</v>
      </c>
      <c r="D12" s="1" t="s">
        <v>35</v>
      </c>
    </row>
    <row r="13" spans="1:4" ht="14.4" x14ac:dyDescent="0.3">
      <c r="A13" s="1" t="s">
        <v>36</v>
      </c>
      <c r="B13" s="1" t="str">
        <f ca="1">IFERROR(__xludf.DUMMYFUNCTION("GOOGLETRANSLATE(B13,""es"",""en"")"),"Rt @aaronsalomong: As expected: community members are not content with the freedom of Gregorio Rojas and demand liberation from all detainees. And all communities, located in areas of influence of the bambas, now want them to be paid equally. To all or no"&amp;" one, they claim.")</f>
        <v>Rt @aaronsalomong: As expected: community members are not content with the freedom of Gregorio Rojas and demand liberation from all detainees. And all communities, located in areas of influence of the bambas, now want them to be paid equally. To all or no one, they claim.</v>
      </c>
      <c r="C13" s="1" t="s">
        <v>37</v>
      </c>
      <c r="D13" s="1" t="s">
        <v>38</v>
      </c>
    </row>
    <row r="14" spans="1:4" ht="14.4" x14ac:dyDescent="0.3">
      <c r="A14" s="1" t="s">
        <v>39</v>
      </c>
      <c r="B14" s="1" t="str">
        <f ca="1">IFERROR(__xludf.DUMMYFUNCTION("GOOGLETRANSLATE(B14,""es"",""en"")"),"RT @vero_mendoza_f: #lasbambas or the institutionality made dust
What authority can exercise a State that abandoned its responsibility to order the territory, mediate in the dialogue, consult, do environmental evaluations to take care of people's quality"&amp;" of life?
 https://t.co/CBTZZMXN1W")</f>
        <v>RT @vero_mendoza_f: #lasbambas or the institutionality made dust
What authority can exercise a State that abandoned its responsibility to order the territory, mediate in the dialogue, consult, do environmental evaluations to take care of people's quality of life?
 https://t.co/CBTZZMXN1W</v>
      </c>
      <c r="C14" s="1" t="s">
        <v>40</v>
      </c>
      <c r="D14" s="1" t="s">
        <v>41</v>
      </c>
    </row>
    <row r="15" spans="1:4" ht="14.4" x14ac:dyDescent="0.3">
      <c r="A15" s="1" t="s">
        <v>42</v>
      </c>
      <c r="B15" s="1" t="str">
        <f ca="1">IFERROR(__xludf.DUMMYFUNCTION("GOOGLETRANSLATE(B15,""es"",""en"")"),"The bad thing about having a small foot (a 38) is that I have kicked half a city and no store had bambas that I liked with my size")</f>
        <v>The bad thing about having a small foot (a 38) is that I have kicked half a city and no store had bambas that I liked with my size</v>
      </c>
      <c r="C15" s="1" t="s">
        <v>43</v>
      </c>
      <c r="D15" s="1" t="s">
        <v>44</v>
      </c>
    </row>
    <row r="16" spans="1:4" ht="14.4" x14ac:dyDescent="0.3">
      <c r="A16" s="1" t="s">
        <v>0</v>
      </c>
      <c r="B16" s="1" t="str">
        <f ca="1">IFERROR(__xludf.DUMMYFUNCTION("GOOGLETRANSLATE(B16,""es"",""en"")"),"Rt @richardrossimo1: @pipohuerta Can't solve the problem of bambas, and do you want a vote of trust?")</f>
        <v>Rt @richardrossimo1: @pipohuerta Can't solve the problem of bambas, and do you want a vote of trust?</v>
      </c>
      <c r="C16" s="1" t="s">
        <v>45</v>
      </c>
      <c r="D16" s="1" t="s">
        <v>46</v>
      </c>
    </row>
    <row r="17" spans="1:4" ht="14.4" x14ac:dyDescent="0.3">
      <c r="A17" s="1" t="s">
        <v>47</v>
      </c>
      <c r="B17" s="1" t="str">
        <f ca="1">IFERROR(__xludf.DUMMYFUNCTION("GOOGLETRANSLATE(B17,""es"",""en"")"),"Rt @padelriol: from beggars to millionaires, by Patricia del Río https://t.co/kmhmglaqnw via @elcomercio_peru")</f>
        <v>Rt @padelriol: from beggars to millionaires, by Patricia del Río https://t.co/kmhmglaqnw via @elcomercio_peru</v>
      </c>
      <c r="C17" s="1" t="s">
        <v>48</v>
      </c>
      <c r="D17" s="1" t="s">
        <v>49</v>
      </c>
    </row>
    <row r="18" spans="1:4" ht="14.4" x14ac:dyDescent="0.3">
      <c r="A18" s="1" t="s">
        <v>50</v>
      </c>
      <c r="B18" s="1" t="str">
        <f ca="1">IFERROR(__xludf.DUMMYFUNCTION("GOOGLETRANSLATE(B18,""es"",""en"")"),"GOVERNMENT OFFER MONEY TO COMUNNEROS TO STOP PROTEST IN THE BAMBAS - NEWS OF PERU | Peru Congress | Construction Club | Martín Vizcarra | García Belaúnde | Government of Peru | Yeni Vilcatoma | TV Peru | Daniel Salaverry | Mari https://t.co/2gvmmuzwje")</f>
        <v>GOVERNMENT OFFER MONEY TO COMUNNEROS TO STOP PROTEST IN THE BAMBAS - NEWS OF PERU | Peru Congress | Construction Club | Martín Vizcarra | García Belaúnde | Government of Peru | Yeni Vilcatoma | TV Peru | Daniel Salaverry | Mari https://t.co/2gvmmuzwje</v>
      </c>
      <c r="C18" s="1" t="s">
        <v>51</v>
      </c>
      <c r="D18" s="1" t="s">
        <v>52</v>
      </c>
    </row>
    <row r="19" spans="1:4" ht="14.4" x14ac:dyDescent="0.3">
      <c r="A19" s="1" t="s">
        <v>53</v>
      </c>
      <c r="B19" s="1" t="str">
        <f ca="1">IFERROR(__xludf.DUMMYFUNCTION("GOOGLETRANSLATE(B19,""es"",""en"")"),"RT @indirahuilca: If you are a Quechua -speaking commoner living in a housing a whole, it is a luxury, even if they have displaced you to make an open pit mine in your lands. Some headlines about the bambas situation are fright. Mentality anchored in 1500"&amp;". https://t.co/tcpqfqvv4u")</f>
        <v>RT @indirahuilca: If you are a Quechua -speaking commoner living in a housing a whole, it is a luxury, even if they have displaced you to make an open pit mine in your lands. Some headlines about the bambas situation are fright. Mentality anchored in 1500. https://t.co/tcpqfqvv4u</v>
      </c>
      <c r="C19" s="1" t="s">
        <v>54</v>
      </c>
      <c r="D19" s="1" t="s">
        <v>55</v>
      </c>
    </row>
    <row r="20" spans="1:4" ht="14.4" x14ac:dyDescent="0.3">
      <c r="A20" s="1" t="s">
        <v>56</v>
      </c>
      <c r="B20" s="1" t="str">
        <f ca="1">IFERROR(__xludf.DUMMYFUNCTION("GOOGLETRANSLATE(B20,""es"",""en"")"),"Rt @aaronsalomong: As expected: community members are not content with the freedom of Gregorio Rojas and demand liberation from all detainees. And all communities, located in areas of influence of the bambas, now want them to be paid equally. To all or no"&amp;" one, they claim.")</f>
        <v>Rt @aaronsalomong: As expected: community members are not content with the freedom of Gregorio Rojas and demand liberation from all detainees. And all communities, located in areas of influence of the bambas, now want them to be paid equally. To all or no one, they claim.</v>
      </c>
      <c r="C20" s="1" t="s">
        <v>57</v>
      </c>
      <c r="D20" s="1" t="s">
        <v>58</v>
      </c>
    </row>
    <row r="21" spans="1:4" ht="15.75" customHeight="1" x14ac:dyDescent="0.3">
      <c r="A21" s="1" t="s">
        <v>59</v>
      </c>
      <c r="B21" s="1" t="str">
        <f ca="1">IFERROR(__xludf.DUMMYFUNCTION("GOOGLETRANSLATE(B21,""es"",""en"")"),"RT @alfonsobaella: Fuerabamba: houses with light, water, drainage, internet, medical post, school, tracks and paths. Almost 2 million S/. X family. They were initially 150, 500 appeared, but the same. Now they want more or block the road. The mine complie"&amp;"d, they didn't!")</f>
        <v>RT @alfonsobaella: Fuerabamba: houses with light, water, drainage, internet, medical post, school, tracks and paths. Almost 2 million S/. X family. They were initially 150, 500 appeared, but the same. Now they want more or block the road. The mine complied, they didn't!</v>
      </c>
      <c r="C21" s="1" t="s">
        <v>60</v>
      </c>
      <c r="D21" s="1" t="s">
        <v>61</v>
      </c>
    </row>
    <row r="22" spans="1:4" ht="15.75" customHeight="1" x14ac:dyDescent="0.3">
      <c r="A22" s="1" t="s">
        <v>62</v>
      </c>
      <c r="B22" s="1" t="str">
        <f ca="1">IFERROR(__xludf.DUMMYFUNCTION("GOOGLETRANSLATE(B22,""es"",""en"")"),"RT @Plinio2009: Martín Vizcarra and PPK burned the bambas. Of course, the first promising more than S/ 2,000 million, and the second putting its trucks serrated by mineral transport. This does not exempt mafia community leaders or ""chavelos"" extortion. "&amp;"https://t.co/l6bf7hne22")</f>
        <v>RT @Plinio2009: Martín Vizcarra and PPK burned the bambas. Of course, the first promising more than S/ 2,000 million, and the second putting its trucks serrated by mineral transport. This does not exempt mafia community leaders or "chavelos" extortion. https://t.co/l6bf7hne22</v>
      </c>
      <c r="C22" s="1" t="s">
        <v>63</v>
      </c>
      <c r="D22" s="1" t="s">
        <v>64</v>
      </c>
    </row>
    <row r="23" spans="1:4" ht="15.75" customHeight="1" x14ac:dyDescent="0.3">
      <c r="A23" s="1" t="s">
        <v>65</v>
      </c>
      <c r="B23" s="1" t="str">
        <f ca="1">IFERROR(__xludf.DUMMYFUNCTION("GOOGLETRANSLATE(B23,""es"",""en"")"),"RT @indirahuilca: If you are a Quechua -speaking commoner living in a housing a whole, it is a luxury, even if they have displaced you to make an open pit mine in your lands. Some headlines about the bambas situation are fright. Mentality anchored in 1500"&amp;". https://t.co/tcpqfqvv4u")</f>
        <v>RT @indirahuilca: If you are a Quechua -speaking commoner living in a housing a whole, it is a luxury, even if they have displaced you to make an open pit mine in your lands. Some headlines about the bambas situation are fright. Mentality anchored in 1500. https://t.co/tcpqfqvv4u</v>
      </c>
      <c r="C23" s="1" t="s">
        <v>66</v>
      </c>
      <c r="D23" s="1" t="s">
        <v>67</v>
      </c>
    </row>
    <row r="24" spans="1:4" ht="15.75" customHeight="1" x14ac:dyDescent="0.3">
      <c r="A24" s="1" t="s">
        <v>68</v>
      </c>
      <c r="B24" s="1" t="str">
        <f ca="1">IFERROR(__xludf.DUMMYFUNCTION("GOOGLETRANSLATE(B24,""es"",""en"")"),"Rt @daler02279354: The problem is not the bambas. They are the communists who want to scrub so that Peru does not progress. They are bad people. They do a lot of damage to Peru. https://t.co/mmbfy3adst")</f>
        <v>Rt @daler02279354: The problem is not the bambas. They are the communists who want to scrub so that Peru does not progress. They are bad people. They do a lot of damage to Peru. https://t.co/mmbfy3adst</v>
      </c>
      <c r="C24" s="1" t="s">
        <v>69</v>
      </c>
      <c r="D24" s="1" t="s">
        <v>70</v>
      </c>
    </row>
    <row r="25" spans="1:4" ht="15.75" customHeight="1" x14ac:dyDescent="0.3">
      <c r="A25" s="1" t="s">
        <v>71</v>
      </c>
      <c r="B25" s="1" t="str">
        <f ca="1">IFERROR(__xludf.DUMMYFUNCTION("GOOGLETRANSLATE(B25,""es"",""en"")"),"Rt @aaronsalomong: As expected: community members are not content with the freedom of Gregorio Rojas and demand liberation from all detainees. And all communities, located in areas of influence of the bambas, now want them to be paid equally. To all or no"&amp;" one, they claim.")</f>
        <v>Rt @aaronsalomong: As expected: community members are not content with the freedom of Gregorio Rojas and demand liberation from all detainees. And all communities, located in areas of influence of the bambas, now want them to be paid equally. To all or no one, they claim.</v>
      </c>
      <c r="C25" s="1" t="s">
        <v>72</v>
      </c>
      <c r="D25" s="1" t="s">
        <v>73</v>
      </c>
    </row>
    <row r="26" spans="1:4" ht="15.75" customHeight="1" x14ac:dyDescent="0.3">
      <c r="A26" s="1" t="s">
        <v>74</v>
      </c>
      <c r="B26" s="1" t="str">
        <f ca="1">IFERROR(__xludf.DUMMYFUNCTION("GOOGLETRANSLATE(B26,""es"",""en"")"),"Rt @jfowks: #lasbambas | Leader arrested collaborated with the Prosecutor's Office and is evaluated today https://t.co/iwrpftgb98 via @rppnoticias")</f>
        <v>Rt @jfowks: #lasbambas | Leader arrested collaborated with the Prosecutor's Office and is evaluated today https://t.co/iwrpftgb98 via @rppnoticias</v>
      </c>
      <c r="C26" s="1" t="s">
        <v>75</v>
      </c>
      <c r="D26" s="1" t="s">
        <v>14</v>
      </c>
    </row>
    <row r="27" spans="1:4" ht="15.75" customHeight="1" x14ac:dyDescent="0.3">
      <c r="A27" s="1" t="s">
        <v>76</v>
      </c>
      <c r="B27" s="1" t="str">
        <f ca="1">IFERROR(__xludf.DUMMYFUNCTION("GOOGLETRANSLATE(B27,""es"",""en"")"),"The bambas, foundations of the conflict
250 trucks of great tonnage pass daily along a path that crosses communities transporting the material, in 2017 it was declared as national route part of the mining corridor to the port of Matarani where the mineral"&amp;" embarks.")</f>
        <v>The bambas, foundations of the conflict
250 trucks of great tonnage pass daily along a path that crosses communities transporting the material, in 2017 it was declared as national route part of the mining corridor to the port of Matarani where the mineral embarks.</v>
      </c>
      <c r="C27" s="1" t="s">
        <v>77</v>
      </c>
      <c r="D27" s="1" t="s">
        <v>78</v>
      </c>
    </row>
    <row r="28" spans="1:4" ht="15.75" customHeight="1" x14ac:dyDescent="0.3">
      <c r="A28" s="1" t="s">
        <v>79</v>
      </c>
      <c r="B28" s="1" t="str">
        <f ca="1">IFERROR(__xludf.DUMMYFUNCTION("GOOGLETRANSLATE(B28,""es"",""en"")"),"Rt @agildemeisterrh: last minute! The Solar Premier is not just an actor. It is also mimo !! It acts and ""negotiates"" in the mute bambas !! ... ""This is not a conflict, it is only a difference of opinions. I solve everything ..."" he said.")</f>
        <v>Rt @agildemeisterrh: last minute! The Solar Premier is not just an actor. It is also mimo !! It acts and "negotiates" in the mute bambas !! ... "This is not a conflict, it is only a difference of opinions. I solve everything ..." he said.</v>
      </c>
      <c r="C28" s="1" t="s">
        <v>80</v>
      </c>
      <c r="D28" s="1" t="s">
        <v>81</v>
      </c>
    </row>
    <row r="29" spans="1:4" ht="15.75" customHeight="1" x14ac:dyDescent="0.3">
      <c r="A29" s="1" t="s">
        <v>82</v>
      </c>
      <c r="B29" s="1" t="str">
        <f ca="1">IFERROR(__xludf.DUMMYFUNCTION("GOOGLETRANSLATE(B29,""es"",""en"")"),"@Elyce59257717 @itxtae Ace As Pernas Ficarem Bambas Kakaka")</f>
        <v>@Elyce59257717 @itxtae Ace As Pernas Ficarem Bambas Kakaka</v>
      </c>
      <c r="C29" s="1" t="s">
        <v>83</v>
      </c>
      <c r="D29" s="1" t="s">
        <v>84</v>
      </c>
    </row>
    <row r="30" spans="1:4" ht="15.75" customHeight="1" x14ac:dyDescent="0.3">
      <c r="A30" s="1" t="s">
        <v>85</v>
      </c>
      <c r="B30" s="1" t="str">
        <f ca="1">IFERROR(__xludf.DUMMYFUNCTION("GOOGLETRANSLATE(B30,""es"",""en"")"),"Rt @Heli21270798: As always, police bestality in the bambas: they throw a woman with their son on the ground. No more armed institutions as a protective shield to transaccione companies. https://t.co/9w7goj8quq")</f>
        <v>Rt @Heli21270798: As always, police bestality in the bambas: they throw a woman with their son on the ground. No more armed institutions as a protective shield to transaccione companies. https://t.co/9w7goj8quq</v>
      </c>
      <c r="C30" s="1" t="s">
        <v>86</v>
      </c>
      <c r="D30" s="1" t="s">
        <v>87</v>
      </c>
    </row>
    <row r="31" spans="1:4" ht="15.75" customHeight="1" x14ac:dyDescent="0.3">
      <c r="A31" s="1" t="s">
        <v>88</v>
      </c>
      <c r="B31" s="1" t="str">
        <f ca="1">IFERROR(__xludf.DUMMYFUNCTION("GOOGLETRANSLATE(B31,""es"",""en"")"),"PERU GOVT DECLARES EMERGENCY OVER LAS BAMBAS BLOCKADE - BUSINESS NEWS AMERICAS: https://t.co/FBDJLYAO6L")</f>
        <v>PERU GOVT DECLARES EMERGENCY OVER LAS BAMBAS BLOCKADE - BUSINESS NEWS AMERICAS: https://t.co/FBDJLYAO6L</v>
      </c>
      <c r="C31" s="1" t="s">
        <v>89</v>
      </c>
      <c r="D31" s="1" t="s">
        <v>90</v>
      </c>
    </row>
    <row r="32" spans="1:4" ht="15.75" customHeight="1" x14ac:dyDescent="0.3">
      <c r="A32" s="1" t="s">
        <v>18</v>
      </c>
      <c r="B32" s="1" t="str">
        <f ca="1">IFERROR(__xludf.DUMMYFUNCTION("GOOGLETRANSLATE(B32,""es"",""en"")"),"RT @peru21Noticias: Executive declares the state of emergency in Challhuahuacho for 15 days
https://t.co/4bfk60ydzy https://t.co/we4b6hjty4")</f>
        <v>RT @peru21Noticias: Executive declares the state of emergency in Challhuahuacho for 15 days
https://t.co/4bfk60ydzy https://t.co/we4b6hjty4</v>
      </c>
      <c r="C32" s="1" t="s">
        <v>91</v>
      </c>
      <c r="D32" s="1" t="s">
        <v>92</v>
      </c>
    </row>
    <row r="33" spans="1:4" ht="15.75" customHeight="1" x14ac:dyDescent="0.3">
      <c r="A33" s="1" t="s">
        <v>93</v>
      </c>
      <c r="B33" s="1" t="str">
        <f ca="1">IFERROR(__xludf.DUMMYFUNCTION("GOOGLETRANSLATE(B33,""es"",""en"")"),"Rt @canaln_: The latest | The leader of Fuerabamba, Gregorio Rojas, was released and left the Dirincri jailer ► https://t.co/5CBF6G4HSF https://t.co/venofpo08x")</f>
        <v>Rt @canaln_: The latest | The leader of Fuerabamba, Gregorio Rojas, was released and left the Dirincri jailer ► https://t.co/5CBF6G4HSF https://t.co/venofpo08x</v>
      </c>
      <c r="C33" s="1" t="s">
        <v>94</v>
      </c>
      <c r="D33" s="1" t="s">
        <v>95</v>
      </c>
    </row>
    <row r="34" spans="1:4" ht="15.75" customHeight="1" x14ac:dyDescent="0.3">
      <c r="A34" s="1" t="s">
        <v>96</v>
      </c>
      <c r="B34" s="1" t="str">
        <f ca="1">IFERROR(__xludf.DUMMYFUNCTION("GOOGLETRANSLATE(B34,""es"",""en"")"),"Mr. President releases everyone from the case the bambas because there are wolves who want to input conditions against the society of the place that gave their story for that reason they are already working")</f>
        <v>Mr. President releases everyone from the case the bambas because there are wolves who want to input conditions against the society of the place that gave their story for that reason they are already working</v>
      </c>
      <c r="C34" s="1" t="s">
        <v>97</v>
      </c>
      <c r="D34" s="1" t="s">
        <v>98</v>
      </c>
    </row>
    <row r="35" spans="1:4" ht="15.75" customHeight="1" x14ac:dyDescent="0.3">
      <c r="A35" s="1" t="s">
        <v>99</v>
      </c>
      <c r="B35" s="1" t="str">
        <f ca="1">IFERROR(__xludf.DUMMYFUNCTION("GOOGLETRANSLATE(B35,""es"",""en"")"),"Rt @riciclodelperu: This was Vizcarra in 2008, when he wanted to be governor, he headed the moqueguazo where 63 police officers were kidnapped and all the ways were taken. There if the road taking, the burning of the police station, the blockade of the br"&amp;"idges.
Now go solve the bambas.
INEPT! https://t.co/onjdeq9wpu")</f>
        <v>Rt @riciclodelperu: This was Vizcarra in 2008, when he wanted to be governor, he headed the moqueguazo where 63 police officers were kidnapped and all the ways were taken. There if the road taking, the burning of the police station, the blockade of the bridges.
Now go solve the bambas.
INEPT! https://t.co/onjdeq9wpu</v>
      </c>
      <c r="C35" s="1" t="s">
        <v>100</v>
      </c>
      <c r="D35" s="1" t="s">
        <v>101</v>
      </c>
    </row>
    <row r="36" spans="1:4" ht="15.75" customHeight="1" x14ac:dyDescent="0.3">
      <c r="A36" s="1" t="s">
        <v>102</v>
      </c>
      <c r="B36" s="1" t="str">
        <f ca="1">IFERROR(__xludf.DUMMYFUNCTION("GOOGLETRANSLATE(B36,""es"",""en"")"),"Dr. Bamba sold the bambas
In this way, the Perù. Undervalued the richness of the bambas deposits by Alan García in no less than 58 times its real value (it sold it by $ 121 million to the Xstrata-Glencores consortium and this consortium to the Chinese ht"&amp;"tps://t.co/yr4qe8zprJ")</f>
        <v>Dr. Bamba sold the bambas
In this way, the Perù. Undervalued the richness of the bambas deposits by Alan García in no less than 58 times its real value (it sold it by $ 121 million to the Xstrata-Glencores consortium and this consortium to the Chinese https://t.co/yr4qe8zprJ</v>
      </c>
      <c r="C36" s="1" t="s">
        <v>103</v>
      </c>
      <c r="D36" s="1" t="s">
        <v>104</v>
      </c>
    </row>
    <row r="37" spans="1:4" ht="15.75" customHeight="1" x14ac:dyDescent="0.3">
      <c r="A37" s="1" t="s">
        <v>105</v>
      </c>
      <c r="B37" s="1" t="str">
        <f ca="1">IFERROR(__xludf.DUMMYFUNCTION("GOOGLETRANSLATE(B37,""es"",""en"")"),"@patriciagamarra @alangarciaperu is now going to tweet about the reconstruction of Pisco and Bagua ... Ups - Sorry, North and Bambas.")</f>
        <v>@patriciagamarra @alangarciaperu is now going to tweet about the reconstruction of Pisco and Bagua ... Ups - Sorry, North and Bambas.</v>
      </c>
      <c r="C37" s="1" t="s">
        <v>106</v>
      </c>
      <c r="D37" s="1" t="s">
        <v>107</v>
      </c>
    </row>
    <row r="38" spans="1:4" ht="15.75" customHeight="1" x14ac:dyDescent="0.3">
      <c r="A38" s="1" t="s">
        <v>108</v>
      </c>
      <c r="B38" s="1" t="str">
        <f ca="1">IFERROR(__xludf.DUMMYFUNCTION("GOOGLETRANSLATE(B38,""es"",""en"")"),"Rt @vozdelatierra: Archbishop of Lima in the opening of the academic year of the @unmsm_ with a clear prophetic voice amid the conflict of the bambas: “(there is) to relocate the place of mining at its right point. Because if not, so it is not illegal, mi"&amp;"ning eats us alive ...
 https://t.co/sl2yyxofyw")</f>
        <v>Rt @vozdelatierra: Archbishop of Lima in the opening of the academic year of the @unmsm_ with a clear prophetic voice amid the conflict of the bambas: “(there is) to relocate the place of mining at its right point. Because if not, so it is not illegal, mining eats us alive ...
 https://t.co/sl2yyxofyw</v>
      </c>
      <c r="C38" s="1" t="s">
        <v>109</v>
      </c>
      <c r="D38" s="1" t="s">
        <v>110</v>
      </c>
    </row>
    <row r="39" spans="1:4" ht="15.75" customHeight="1" x14ac:dyDescent="0.3">
      <c r="A39" s="1" t="s">
        <v>111</v>
      </c>
      <c r="B39" s="1" t="str">
        <f ca="1">IFERROR(__xludf.DUMMYFUNCTION("GOOGLETRANSLATE(B39,""es"",""en"")"),"@jorzehu Social conflict in the bambas children aspire metal. The strike and the rights of children and families are the most important axis")</f>
        <v>@jorzehu Social conflict in the bambas children aspire metal. The strike and the rights of children and families are the most important axis</v>
      </c>
      <c r="C39" s="1" t="s">
        <v>112</v>
      </c>
      <c r="D39" s="1" t="s">
        <v>113</v>
      </c>
    </row>
    <row r="40" spans="1:4" ht="15.75" customHeight="1" x14ac:dyDescent="0.3">
      <c r="A40" s="1" t="s">
        <v>114</v>
      </c>
      <c r="B40" s="1" t="str">
        <f ca="1">IFERROR(__xludf.DUMMYFUNCTION("GOOGLETRANSLATE(B40,""es"",""en"")"),"Rt @lokaldammert: With the info that is the case the bambas can conclude several things. For example (a) that there is a serious problem in the EIA system that allows you to present a study with minelor")</f>
        <v>Rt @lokaldammert: With the info that is the case the bambas can conclude several things. For example (a) that there is a serious problem in the EIA system that allows you to present a study with minelor</v>
      </c>
      <c r="C40" s="1" t="s">
        <v>115</v>
      </c>
      <c r="D40" s="1" t="s">
        <v>116</v>
      </c>
    </row>
    <row r="41" spans="1:4" ht="15.75" customHeight="1" x14ac:dyDescent="0.3">
      <c r="A41" s="1" t="s">
        <v>117</v>
      </c>
      <c r="B41" s="1" t="str">
        <f ca="1">IFERROR(__xludf.DUMMYFUNCTION("GOOGLETRANSLATE(B41,""es"",""en"")"),"Las Bambas: Dialogue with Chumbivilcas will facilitate approach, think congressman @eddelaguila
►https: //t.co/dkjc7m7pic #tvperúinforma #caraacara https://t.co/uvuzhtb6dj")</f>
        <v>Las Bambas: Dialogue with Chumbivilcas will facilitate approach, think congressman @eddelaguila
►https: //t.co/dkjc7m7pic #tvperúinforma #caraacara https://t.co/uvuzhtb6dj</v>
      </c>
      <c r="C41" s="1" t="s">
        <v>118</v>
      </c>
      <c r="D41" s="1" t="s">
        <v>119</v>
      </c>
    </row>
    <row r="42" spans="1:4" ht="15.75" customHeight="1" x14ac:dyDescent="0.3">
      <c r="A42" s="1" t="s">
        <v>120</v>
      </c>
      <c r="B42" s="1" t="str">
        <f ca="1">IFERROR(__xludf.DUMMYFUNCTION("GOOGLETRANSLATE(B42,""es"",""en"")"),"Rt @mariomantilla7: publicly transparent who owns trucks and/or dump trucks that move the mineral in the bambas will be known if there was conflict of interest among those who negotiated from before to date, there may be surprises.")</f>
        <v>Rt @mariomantilla7: publicly transparent who owns trucks and/or dump trucks that move the mineral in the bambas will be known if there was conflict of interest among those who negotiated from before to date, there may be surprises.</v>
      </c>
      <c r="C42" s="1" t="s">
        <v>121</v>
      </c>
      <c r="D42" s="1" t="s">
        <v>122</v>
      </c>
    </row>
    <row r="43" spans="1:4" ht="15.75" customHeight="1" x14ac:dyDescent="0.3">
      <c r="A43" s="1" t="s">
        <v>123</v>
      </c>
      <c r="B43" s="1" t="str">
        <f ca="1">IFERROR(__xludf.DUMMYFUNCTION("GOOGLETRANSLATE(B43,""es"",""en"")"),"The bambas was heard .. https://t.co/Obxfvouow1")</f>
        <v>The bambas was heard .. https://t.co/Obxfvouow1</v>
      </c>
      <c r="C43" s="1" t="s">
        <v>124</v>
      </c>
      <c r="D43" s="1" t="s">
        <v>125</v>
      </c>
    </row>
    <row r="44" spans="1:4" ht="15.75" customHeight="1" x14ac:dyDescent="0.3">
      <c r="A44" s="1" t="s">
        <v>126</v>
      </c>
      <c r="B44" s="1" t="str">
        <f ca="1">IFERROR(__xludf.DUMMYFUNCTION("GOOGLETRANSLATE(B44,""es"",""en"")"),"RT @julianaoxenford: Three ministers attacked in Cusco. The community members do not want to know anything with the government. The bambas is complicated. The details in 5 minutes by @latina_pe")</f>
        <v>RT @julianaoxenford: Three ministers attacked in Cusco. The community members do not want to know anything with the government. The bambas is complicated. The details in 5 minutes by @latina_pe</v>
      </c>
      <c r="C44" s="1" t="s">
        <v>127</v>
      </c>
      <c r="D44" s="1" t="s">
        <v>128</v>
      </c>
    </row>
    <row r="45" spans="1:4" ht="15.75" customHeight="1" x14ac:dyDescent="0.3">
      <c r="A45" s="1" t="s">
        <v>129</v>
      </c>
      <c r="B45" s="1" t="str">
        <f ca="1">IFERROR(__xludf.DUMMYFUNCTION("GOOGLETRANSLATE(B45,""es"",""en"")"),"Tonight at #Spaciolibre by @ucinoticias with @franco_alsur
* Three governments and no one solves the bambas.
* @dsalaverryv and ""The Reliable old woman"": the death penalty.
* Poor Judge Jáuregui and his 27 thousand soles that do not reach him.
At 9 p"&amp;"m by @vivatv19
📺 38 Movistar https://t.co/dtvz6lkyfx")</f>
        <v>Tonight at #Spaciolibre by @ucinoticias with @franco_alsur
* Three governments and no one solves the bambas.
* @dsalaverryv and "The Reliable old woman": the death penalty.
* Poor Judge Jáuregui and his 27 thousand soles that do not reach him.
At 9 pm by @vivatv19
📺 38 Movistar https://t.co/dtvz6lkyfx</v>
      </c>
      <c r="C45" s="1" t="s">
        <v>130</v>
      </c>
      <c r="D45" s="1" t="s">
        <v>131</v>
      </c>
    </row>
    <row r="46" spans="1:4" ht="15.75" customHeight="1" x14ac:dyDescent="0.3">
      <c r="A46" s="1" t="s">
        <v>132</v>
      </c>
      <c r="B46" s="1" t="str">
        <f ca="1">IFERROR(__xludf.DUMMYFUNCTION("GOOGLETRANSLATE(B46,""es"",""en"")"),"RT @atvmasnoticias: conflict in the bambas: they prevent us from entering Fuerabamba and Yavi Yavi. Community members demand liberation from their leaders and advisors. In #Atvnoticiasmatinal, we continue with the coverage of the conflict and protests tha"&amp;"t total 54 days of blocking.
Full video ➡️ https://t.co/srei8gd8u9 https://t.co/jtt46frata")</f>
        <v>RT @atvmasnoticias: conflict in the bambas: they prevent us from entering Fuerabamba and Yavi Yavi. Community members demand liberation from their leaders and advisors. In #Atvnoticiasmatinal, we continue with the coverage of the conflict and protests that total 54 days of blocking.
Full video ➡️ https://t.co/srei8gd8u9 https://t.co/jtt46frata</v>
      </c>
      <c r="C46" s="1" t="s">
        <v>133</v>
      </c>
      <c r="D46" s="1" t="s">
        <v>134</v>
      </c>
    </row>
    <row r="47" spans="1:4" ht="15.75" customHeight="1" x14ac:dyDescent="0.3">
      <c r="A47" s="1" t="s">
        <v>135</v>
      </c>
      <c r="B47" s="1" t="str">
        <f ca="1">IFERROR(__xludf.DUMMYFUNCTION("GOOGLETRANSLATE(B47,""es"",""en"")"),"Rt @gilmerdiaz: from beggars to millionaires, by Patricia del Río https://t.co/m2gi2vzch4")</f>
        <v>Rt @gilmerdiaz: from beggars to millionaires, by Patricia del Río https://t.co/m2gi2vzch4</v>
      </c>
      <c r="C47" s="1" t="s">
        <v>136</v>
      </c>
      <c r="D47" s="1" t="s">
        <v>137</v>
      </c>
    </row>
    <row r="48" spans="1:4" ht="15.75" customHeight="1" x14ac:dyDescent="0.3">
      <c r="A48" s="1" t="s">
        <v>138</v>
      </c>
      <c r="B48" s="1" t="str">
        <f ca="1">IFERROR(__xludf.DUMMYFUNCTION("GOOGLETRANSLATE(B48,""es"",""en"")"),"@abelgilvonio @julioguzmanperu I already talk about the subject https://t.co/32gzzujqyq")</f>
        <v>@abelgilvonio @julioguzmanperu I already talk about the subject https://t.co/32gzzujqyq</v>
      </c>
      <c r="C48" s="1" t="s">
        <v>139</v>
      </c>
      <c r="D48" s="1" t="s">
        <v>140</v>
      </c>
    </row>
    <row r="49" spans="1:4" ht="15.75" customHeight="1" x14ac:dyDescent="0.3">
      <c r="A49" s="1" t="s">
        <v>141</v>
      </c>
      <c r="B49" s="1" t="str">
        <f ca="1">IFERROR(__xludf.DUMMYFUNCTION("GOOGLETRANSLATE(B49,""es"",""en"")"),"Rt @jdealthaus: The Government has to clearly explain that the blockade is a crime and that the community must leave the blockade to dialogue: the bambas: conversations between the government and community members are still without progress | Peru | Apuri"&amp;"mac | Peru trade https://t.co/ybnq11rzxt")</f>
        <v>Rt @jdealthaus: The Government has to clearly explain that the blockade is a crime and that the community must leave the blockade to dialogue: the bambas: conversations between the government and community members are still without progress | Peru | Apurimac | Peru trade https://t.co/ybnq11rzxt</v>
      </c>
      <c r="C49" s="1" t="s">
        <v>142</v>
      </c>
      <c r="D49" s="1" t="s">
        <v>143</v>
      </c>
    </row>
    <row r="50" spans="1:4" ht="15.75" customHeight="1" x14ac:dyDescent="0.3">
      <c r="A50" s="1" t="s">
        <v>144</v>
      </c>
      <c r="B50" s="1" t="str">
        <f ca="1">IFERROR(__xludf.DUMMYFUNCTION("GOOGLETRANSLATE(B50,""es"",""en"")"),"Peruvian Executive will meet with Andean communities in conflict due to route construction https://t.co/yvqxomu0ko")</f>
        <v>Peruvian Executive will meet with Andean communities in conflict due to route construction https://t.co/yvqxomu0ko</v>
      </c>
      <c r="C50" s="1" t="s">
        <v>145</v>
      </c>
      <c r="D50" s="1" t="s">
        <v>146</v>
      </c>
    </row>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2023-10-27T06:54:14Z</dcterms:created>
  <dcterms:modified xsi:type="dcterms:W3CDTF">2024-06-29T19:37:17Z</dcterms:modified>
</cp:coreProperties>
</file>