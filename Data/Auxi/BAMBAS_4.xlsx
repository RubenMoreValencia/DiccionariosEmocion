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rubenmorevalencia/Desktop/SYJ/Data/Auxi/"/>
    </mc:Choice>
  </mc:AlternateContent>
  <xr:revisionPtr revIDLastSave="0" documentId="13_ncr:1_{E407519F-CB6C-BA48-8A67-9E0D3A1C1D09}" xr6:coauthVersionLast="47" xr6:coauthVersionMax="47" xr10:uidLastSave="{00000000-0000-0000-0000-000000000000}"/>
  <bookViews>
    <workbookView xWindow="1600" yWindow="500" windowWidth="25600" windowHeight="14040" activeTab="1" xr2:uid="{00000000-000D-0000-FFFF-FFFF00000000}"/>
  </bookViews>
  <sheets>
    <sheet name="Hoja 1" sheetId="1" r:id="rId1"/>
    <sheet name="Todo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5" roundtripDataChecksum="1Nms5CheFUgRGBJoJ766hG4/KUMtE8+P3vlXVyESeC0="/>
    </ext>
  </extLst>
</workbook>
</file>

<file path=xl/calcChain.xml><?xml version="1.0" encoding="utf-8"?>
<calcChain xmlns="http://schemas.openxmlformats.org/spreadsheetml/2006/main">
  <c r="B500" i="1" l="1"/>
  <c r="B492" i="1"/>
  <c r="B484" i="1"/>
  <c r="B476" i="1"/>
  <c r="B468" i="1"/>
  <c r="B460" i="1"/>
  <c r="B452" i="1"/>
  <c r="B444" i="1"/>
  <c r="B436" i="1"/>
  <c r="B428" i="1"/>
  <c r="B420" i="1"/>
  <c r="B412" i="1"/>
  <c r="B404" i="1"/>
  <c r="B396" i="1"/>
  <c r="B388" i="1"/>
  <c r="B380" i="1"/>
  <c r="B372" i="1"/>
  <c r="B364" i="1"/>
  <c r="B356" i="1"/>
  <c r="B348" i="1"/>
  <c r="B340" i="1"/>
  <c r="B332" i="1"/>
  <c r="B324" i="1"/>
  <c r="B316" i="1"/>
  <c r="B308" i="1"/>
  <c r="B300" i="1"/>
  <c r="B292" i="1"/>
  <c r="B284" i="1"/>
  <c r="B276" i="1"/>
  <c r="B268" i="1"/>
  <c r="B260" i="1"/>
  <c r="B252" i="1"/>
  <c r="B244" i="1"/>
  <c r="B236" i="1"/>
  <c r="B228" i="1"/>
  <c r="B220" i="1"/>
  <c r="B212" i="1"/>
  <c r="B204" i="1"/>
  <c r="B196" i="1"/>
  <c r="B188" i="1"/>
  <c r="B180" i="1"/>
  <c r="B172" i="1"/>
  <c r="B164" i="1"/>
  <c r="B156" i="1"/>
  <c r="B148" i="1"/>
  <c r="B140" i="1"/>
  <c r="B132" i="1"/>
  <c r="B124" i="1"/>
  <c r="B116" i="1"/>
  <c r="B499" i="1"/>
  <c r="B491" i="1"/>
  <c r="B483" i="1"/>
  <c r="B475" i="1"/>
  <c r="B467" i="1"/>
  <c r="B459" i="1"/>
  <c r="B451" i="1"/>
  <c r="B443" i="1"/>
  <c r="B435" i="1"/>
  <c r="B427" i="1"/>
  <c r="B419" i="1"/>
  <c r="B411" i="1"/>
  <c r="B403" i="1"/>
  <c r="B395" i="1"/>
  <c r="B387" i="1"/>
  <c r="B379" i="1"/>
  <c r="B371" i="1"/>
  <c r="B363" i="1"/>
  <c r="B355" i="1"/>
  <c r="B347" i="1"/>
  <c r="B339" i="1"/>
  <c r="B331" i="1"/>
  <c r="B323" i="1"/>
  <c r="B315" i="1"/>
  <c r="B307" i="1"/>
  <c r="B299" i="1"/>
  <c r="B291" i="1"/>
  <c r="B283" i="1"/>
  <c r="B275" i="1"/>
  <c r="B267" i="1"/>
  <c r="B259" i="1"/>
  <c r="B251" i="1"/>
  <c r="B243" i="1"/>
  <c r="B235" i="1"/>
  <c r="B227" i="1"/>
  <c r="B219" i="1"/>
  <c r="B211" i="1"/>
  <c r="B203" i="1"/>
  <c r="B195" i="1"/>
  <c r="B187" i="1"/>
  <c r="B179" i="1"/>
  <c r="B171" i="1"/>
  <c r="B163" i="1"/>
  <c r="B155" i="1"/>
  <c r="B147" i="1"/>
  <c r="B498" i="1"/>
  <c r="B490" i="1"/>
  <c r="B482" i="1"/>
  <c r="B474" i="1"/>
  <c r="B466" i="1"/>
  <c r="B458" i="1"/>
  <c r="B450" i="1"/>
  <c r="B442" i="1"/>
  <c r="B434" i="1"/>
  <c r="B426" i="1"/>
  <c r="B418" i="1"/>
  <c r="B410" i="1"/>
  <c r="B402" i="1"/>
  <c r="B394" i="1"/>
  <c r="B386" i="1"/>
  <c r="B378" i="1"/>
  <c r="B370" i="1"/>
  <c r="B362" i="1"/>
  <c r="B354" i="1"/>
  <c r="B346" i="1"/>
  <c r="B338" i="1"/>
  <c r="B330" i="1"/>
  <c r="B322" i="1"/>
  <c r="B314" i="1"/>
  <c r="B306" i="1"/>
  <c r="B298" i="1"/>
  <c r="B290" i="1"/>
  <c r="B282" i="1"/>
  <c r="B274" i="1"/>
  <c r="B266" i="1"/>
  <c r="B258" i="1"/>
  <c r="B250" i="1"/>
  <c r="B242" i="1"/>
  <c r="B234" i="1"/>
  <c r="B226" i="1"/>
  <c r="B218" i="1"/>
  <c r="B210" i="1"/>
  <c r="B202" i="1"/>
  <c r="B194" i="1"/>
  <c r="B186" i="1"/>
  <c r="B178" i="1"/>
  <c r="B170" i="1"/>
  <c r="B162" i="1"/>
  <c r="B154" i="1"/>
  <c r="B146" i="1"/>
  <c r="B138" i="1"/>
  <c r="B130" i="1"/>
  <c r="B122" i="1"/>
  <c r="B114" i="1"/>
  <c r="B106" i="1"/>
  <c r="B497" i="1"/>
  <c r="B489" i="1"/>
  <c r="B481" i="1"/>
  <c r="B473" i="1"/>
  <c r="B465" i="1"/>
  <c r="B457" i="1"/>
  <c r="B449" i="1"/>
  <c r="B441" i="1"/>
  <c r="B433" i="1"/>
  <c r="B425" i="1"/>
  <c r="B417" i="1"/>
  <c r="B409" i="1"/>
  <c r="B401" i="1"/>
  <c r="B393" i="1"/>
  <c r="B385" i="1"/>
  <c r="B377" i="1"/>
  <c r="B369" i="1"/>
  <c r="B361" i="1"/>
  <c r="B353" i="1"/>
  <c r="B345" i="1"/>
  <c r="B337" i="1"/>
  <c r="B329" i="1"/>
  <c r="B321" i="1"/>
  <c r="B313" i="1"/>
  <c r="B305" i="1"/>
  <c r="B297" i="1"/>
  <c r="B289" i="1"/>
  <c r="B281" i="1"/>
  <c r="B273" i="1"/>
  <c r="B265" i="1"/>
  <c r="B257" i="1"/>
  <c r="B249" i="1"/>
  <c r="B241" i="1"/>
  <c r="B233" i="1"/>
  <c r="B225" i="1"/>
  <c r="B217" i="1"/>
  <c r="B209" i="1"/>
  <c r="B201" i="1"/>
  <c r="B193" i="1"/>
  <c r="B185" i="1"/>
  <c r="B177" i="1"/>
  <c r="B169" i="1"/>
  <c r="B161" i="1"/>
  <c r="B153" i="1"/>
  <c r="B145" i="1"/>
  <c r="B137" i="1"/>
  <c r="B496" i="1"/>
  <c r="B488" i="1"/>
  <c r="B480" i="1"/>
  <c r="B472" i="1"/>
  <c r="B464" i="1"/>
  <c r="B456" i="1"/>
  <c r="B448" i="1"/>
  <c r="B440" i="1"/>
  <c r="B432" i="1"/>
  <c r="B424" i="1"/>
  <c r="B416" i="1"/>
  <c r="B408" i="1"/>
  <c r="B400" i="1"/>
  <c r="B392" i="1"/>
  <c r="B384" i="1"/>
  <c r="B376" i="1"/>
  <c r="B368" i="1"/>
  <c r="B360" i="1"/>
  <c r="B352" i="1"/>
  <c r="B344" i="1"/>
  <c r="B336" i="1"/>
  <c r="B328" i="1"/>
  <c r="B320" i="1"/>
  <c r="B312" i="1"/>
  <c r="B304" i="1"/>
  <c r="B296" i="1"/>
  <c r="B288" i="1"/>
  <c r="B280" i="1"/>
  <c r="B272" i="1"/>
  <c r="B264" i="1"/>
  <c r="B256" i="1"/>
  <c r="B248" i="1"/>
  <c r="B240" i="1"/>
  <c r="B232" i="1"/>
  <c r="B224" i="1"/>
  <c r="B216" i="1"/>
  <c r="B208" i="1"/>
  <c r="B200" i="1"/>
  <c r="B192" i="1"/>
  <c r="B184" i="1"/>
  <c r="B176" i="1"/>
  <c r="B168" i="1"/>
  <c r="B160" i="1"/>
  <c r="B152" i="1"/>
  <c r="B144" i="1"/>
  <c r="B136" i="1"/>
  <c r="B128" i="1"/>
  <c r="B120" i="1"/>
  <c r="B495" i="1"/>
  <c r="B487" i="1"/>
  <c r="B479" i="1"/>
  <c r="B471" i="1"/>
  <c r="B463" i="1"/>
  <c r="B455" i="1"/>
  <c r="B447" i="1"/>
  <c r="B439" i="1"/>
  <c r="B431" i="1"/>
  <c r="B423" i="1"/>
  <c r="B415" i="1"/>
  <c r="B407" i="1"/>
  <c r="B399" i="1"/>
  <c r="B391" i="1"/>
  <c r="B383" i="1"/>
  <c r="B375" i="1"/>
  <c r="B367" i="1"/>
  <c r="B359" i="1"/>
  <c r="B351" i="1"/>
  <c r="B343" i="1"/>
  <c r="B335" i="1"/>
  <c r="B327" i="1"/>
  <c r="B319" i="1"/>
  <c r="B311" i="1"/>
  <c r="B303" i="1"/>
  <c r="B295" i="1"/>
  <c r="B287" i="1"/>
  <c r="B279" i="1"/>
  <c r="B271" i="1"/>
  <c r="B263" i="1"/>
  <c r="B255" i="1"/>
  <c r="B247" i="1"/>
  <c r="B239" i="1"/>
  <c r="B231" i="1"/>
  <c r="B223" i="1"/>
  <c r="B215" i="1"/>
  <c r="B207" i="1"/>
  <c r="B199" i="1"/>
  <c r="B191" i="1"/>
  <c r="B183" i="1"/>
  <c r="B175" i="1"/>
  <c r="B167" i="1"/>
  <c r="B159" i="1"/>
  <c r="B151" i="1"/>
  <c r="B143" i="1"/>
  <c r="B135" i="1"/>
  <c r="B127" i="1"/>
  <c r="B478" i="1"/>
  <c r="B446" i="1"/>
  <c r="B414" i="1"/>
  <c r="B382" i="1"/>
  <c r="B350" i="1"/>
  <c r="B318" i="1"/>
  <c r="B286" i="1"/>
  <c r="B254" i="1"/>
  <c r="B222" i="1"/>
  <c r="B190" i="1"/>
  <c r="B158" i="1"/>
  <c r="B133" i="1"/>
  <c r="B118" i="1"/>
  <c r="B108" i="1"/>
  <c r="B99" i="1"/>
  <c r="B91" i="1"/>
  <c r="B83" i="1"/>
  <c r="B75" i="1"/>
  <c r="B67" i="1"/>
  <c r="B59" i="1"/>
  <c r="B51" i="1"/>
  <c r="B43" i="1"/>
  <c r="B35" i="1"/>
  <c r="B27" i="1"/>
  <c r="B19" i="1"/>
  <c r="B11" i="1"/>
  <c r="B3" i="1"/>
  <c r="B18" i="1"/>
  <c r="B2" i="1"/>
  <c r="B8" i="1"/>
  <c r="B301" i="1"/>
  <c r="B173" i="1"/>
  <c r="B123" i="1"/>
  <c r="B86" i="1"/>
  <c r="B54" i="1"/>
  <c r="B14" i="1"/>
  <c r="B485" i="1"/>
  <c r="B421" i="1"/>
  <c r="B261" i="1"/>
  <c r="B109" i="1"/>
  <c r="B68" i="1"/>
  <c r="B36" i="1"/>
  <c r="B12" i="1"/>
  <c r="B477" i="1"/>
  <c r="B445" i="1"/>
  <c r="B413" i="1"/>
  <c r="B381" i="1"/>
  <c r="B349" i="1"/>
  <c r="B317" i="1"/>
  <c r="B285" i="1"/>
  <c r="B253" i="1"/>
  <c r="B221" i="1"/>
  <c r="B189" i="1"/>
  <c r="B157" i="1"/>
  <c r="B131" i="1"/>
  <c r="B117" i="1"/>
  <c r="B107" i="1"/>
  <c r="B98" i="1"/>
  <c r="B90" i="1"/>
  <c r="B82" i="1"/>
  <c r="B74" i="1"/>
  <c r="B66" i="1"/>
  <c r="B58" i="1"/>
  <c r="B50" i="1"/>
  <c r="B42" i="1"/>
  <c r="B34" i="1"/>
  <c r="B26" i="1"/>
  <c r="B10" i="1"/>
  <c r="B397" i="1"/>
  <c r="B141" i="1"/>
  <c r="B78" i="1"/>
  <c r="B30" i="1"/>
  <c r="B325" i="1"/>
  <c r="B197" i="1"/>
  <c r="B100" i="1"/>
  <c r="B44" i="1"/>
  <c r="B470" i="1"/>
  <c r="B438" i="1"/>
  <c r="B406" i="1"/>
  <c r="B374" i="1"/>
  <c r="B342" i="1"/>
  <c r="B310" i="1"/>
  <c r="B278" i="1"/>
  <c r="B246" i="1"/>
  <c r="B214" i="1"/>
  <c r="B182" i="1"/>
  <c r="B150" i="1"/>
  <c r="B129" i="1"/>
  <c r="B115" i="1"/>
  <c r="B105" i="1"/>
  <c r="B97" i="1"/>
  <c r="B89" i="1"/>
  <c r="B81" i="1"/>
  <c r="B73" i="1"/>
  <c r="B65" i="1"/>
  <c r="B57" i="1"/>
  <c r="B49" i="1"/>
  <c r="B41" i="1"/>
  <c r="B33" i="1"/>
  <c r="B25" i="1"/>
  <c r="B17" i="1"/>
  <c r="B9" i="1"/>
  <c r="B1" i="1"/>
  <c r="B429" i="1"/>
  <c r="B269" i="1"/>
  <c r="B111" i="1"/>
  <c r="B62" i="1"/>
  <c r="B22" i="1"/>
  <c r="B389" i="1"/>
  <c r="B229" i="1"/>
  <c r="B119" i="1"/>
  <c r="B84" i="1"/>
  <c r="B52" i="1"/>
  <c r="B4" i="1"/>
  <c r="B469" i="1"/>
  <c r="B437" i="1"/>
  <c r="B405" i="1"/>
  <c r="B373" i="1"/>
  <c r="B341" i="1"/>
  <c r="B309" i="1"/>
  <c r="B277" i="1"/>
  <c r="B245" i="1"/>
  <c r="B213" i="1"/>
  <c r="B181" i="1"/>
  <c r="B149" i="1"/>
  <c r="B126" i="1"/>
  <c r="B113" i="1"/>
  <c r="B104" i="1"/>
  <c r="B96" i="1"/>
  <c r="B88" i="1"/>
  <c r="B80" i="1"/>
  <c r="B72" i="1"/>
  <c r="B64" i="1"/>
  <c r="B56" i="1"/>
  <c r="B48" i="1"/>
  <c r="B40" i="1"/>
  <c r="B32" i="1"/>
  <c r="B24" i="1"/>
  <c r="B16" i="1"/>
  <c r="B461" i="1"/>
  <c r="B333" i="1"/>
  <c r="B205" i="1"/>
  <c r="B94" i="1"/>
  <c r="B46" i="1"/>
  <c r="B6" i="1"/>
  <c r="B357" i="1"/>
  <c r="B165" i="1"/>
  <c r="B76" i="1"/>
  <c r="B20" i="1"/>
  <c r="B494" i="1"/>
  <c r="B462" i="1"/>
  <c r="B430" i="1"/>
  <c r="B398" i="1"/>
  <c r="B366" i="1"/>
  <c r="B334" i="1"/>
  <c r="B302" i="1"/>
  <c r="B270" i="1"/>
  <c r="B238" i="1"/>
  <c r="B206" i="1"/>
  <c r="B174" i="1"/>
  <c r="B142" i="1"/>
  <c r="B125" i="1"/>
  <c r="B112" i="1"/>
  <c r="B103" i="1"/>
  <c r="B95" i="1"/>
  <c r="B87" i="1"/>
  <c r="B79" i="1"/>
  <c r="B71" i="1"/>
  <c r="B63" i="1"/>
  <c r="B55" i="1"/>
  <c r="B47" i="1"/>
  <c r="B39" i="1"/>
  <c r="B31" i="1"/>
  <c r="B23" i="1"/>
  <c r="B15" i="1"/>
  <c r="B7" i="1"/>
  <c r="B493" i="1"/>
  <c r="B365" i="1"/>
  <c r="B237" i="1"/>
  <c r="B102" i="1"/>
  <c r="B70" i="1"/>
  <c r="B38" i="1"/>
  <c r="B453" i="1"/>
  <c r="B293" i="1"/>
  <c r="B134" i="1"/>
  <c r="B92" i="1"/>
  <c r="B60" i="1"/>
  <c r="B28" i="1"/>
  <c r="B486" i="1"/>
  <c r="B454" i="1"/>
  <c r="B422" i="1"/>
  <c r="B390" i="1"/>
  <c r="B358" i="1"/>
  <c r="B326" i="1"/>
  <c r="B294" i="1"/>
  <c r="B262" i="1"/>
  <c r="B230" i="1"/>
  <c r="B198" i="1"/>
  <c r="B166" i="1"/>
  <c r="B139" i="1"/>
  <c r="B121" i="1"/>
  <c r="B110" i="1"/>
  <c r="B101" i="1"/>
  <c r="B93" i="1"/>
  <c r="B85" i="1"/>
  <c r="B77" i="1"/>
  <c r="B69" i="1"/>
  <c r="B61" i="1"/>
  <c r="B53" i="1"/>
  <c r="B45" i="1"/>
  <c r="B37" i="1"/>
  <c r="B29" i="1"/>
  <c r="B21" i="1"/>
  <c r="B13" i="1"/>
  <c r="B5" i="1"/>
  <c r="B1"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alcChain>
</file>

<file path=xl/sharedStrings.xml><?xml version="1.0" encoding="utf-8"?>
<sst xmlns="http://schemas.openxmlformats.org/spreadsheetml/2006/main" count="7500" uniqueCount="4693">
  <si>
    <t>@MaquinasEmpac</t>
  </si>
  <si>
    <t>http://twitter.com/MaquinasEmpac/status/1112676535083778048</t>
  </si>
  <si>
    <t>April 01, 2019 at 06:22AM</t>
  </si>
  <si>
    <t>http://twitter.com/MaquinasEmpac/status/1112676916123697152</t>
  </si>
  <si>
    <t>April 01, 2019 at 06:23AM</t>
  </si>
  <si>
    <t>@djjmils</t>
  </si>
  <si>
    <t>http://twitter.com/djjmils/status/1112676957513240577</t>
  </si>
  <si>
    <t>@ArdidDeLaRazon</t>
  </si>
  <si>
    <t>http://twitter.com/ArdidDeLaRazon/status/1112676979910823936</t>
  </si>
  <si>
    <t>@KingserAyala</t>
  </si>
  <si>
    <t>http://twitter.com/KingserAyala/status/1112677051172093952</t>
  </si>
  <si>
    <t>April 01, 2019 at 06:24AM</t>
  </si>
  <si>
    <t>@a_sc62</t>
  </si>
  <si>
    <t>http://twitter.com/a_sc62/status/1112677106553679873</t>
  </si>
  <si>
    <t>@jorgejhms</t>
  </si>
  <si>
    <t>http://twitter.com/jorgejhms/status/1112677193933561859</t>
  </si>
  <si>
    <t>@cesarpeirano</t>
  </si>
  <si>
    <t>http://twitter.com/cesarpeirano/status/1112677345104707585</t>
  </si>
  <si>
    <t>April 01, 2019 at 06:25AM</t>
  </si>
  <si>
    <t>@Augusto2412</t>
  </si>
  <si>
    <t>http://twitter.com/Augusto2412/status/1112677869900177409</t>
  </si>
  <si>
    <t>April 01, 2019 at 06:27AM</t>
  </si>
  <si>
    <t>@ApacheDHC</t>
  </si>
  <si>
    <t>http://twitter.com/ApacheDHC/status/1112678298524504065</t>
  </si>
  <si>
    <t>April 01, 2019 at 06:29AM</t>
  </si>
  <si>
    <t>@elmontonero_pe</t>
  </si>
  <si>
    <t>http://twitter.com/elmontonero_pe/status/1112678496336310274</t>
  </si>
  <si>
    <t>April 01, 2019 at 06:30AM</t>
  </si>
  <si>
    <t>@RConSentido</t>
  </si>
  <si>
    <t>http://twitter.com/RConSentido/status/1112678517949513729</t>
  </si>
  <si>
    <t>@yanaurpi1</t>
  </si>
  <si>
    <t>http://twitter.com/yanaurpi1/status/1112678571619876864</t>
  </si>
  <si>
    <t>@vrpt7</t>
  </si>
  <si>
    <t>http://twitter.com/vrpt7/status/1112678715878789121</t>
  </si>
  <si>
    <t>@pelusa054</t>
  </si>
  <si>
    <t>http://twitter.com/pelusa054/status/1112678973522264065</t>
  </si>
  <si>
    <t>April 01, 2019 at 06:31AM</t>
  </si>
  <si>
    <t>@Antonio50714420</t>
  </si>
  <si>
    <t>http://twitter.com/Antonio50714420/status/1112678990274134021</t>
  </si>
  <si>
    <t>@ShucuyJb</t>
  </si>
  <si>
    <t>http://twitter.com/ShucuyJb/status/1112679981585448962</t>
  </si>
  <si>
    <t>April 01, 2019 at 06:35AM</t>
  </si>
  <si>
    <t>http://twitter.com/MaquinasEmpac/status/1112680321235877888</t>
  </si>
  <si>
    <t>April 01, 2019 at 06:37AM</t>
  </si>
  <si>
    <t>http://twitter.com/MaquinasEmpac/status/1112680423316811776</t>
  </si>
  <si>
    <t>@hablamibarrunto</t>
  </si>
  <si>
    <t>http://twitter.com/hablamibarrunto/status/1112680600224350210</t>
  </si>
  <si>
    <t>April 01, 2019 at 06:38AM</t>
  </si>
  <si>
    <t>@tailisesantoos</t>
  </si>
  <si>
    <t>http://twitter.com/tailisesantoos/status/1112680653198381058</t>
  </si>
  <si>
    <t>@pagina_11</t>
  </si>
  <si>
    <t>http://twitter.com/pagina_11/status/1112680999106809856</t>
  </si>
  <si>
    <t>April 01, 2019 at 06:39AM</t>
  </si>
  <si>
    <t>@CaudiaAngelica</t>
  </si>
  <si>
    <t>http://twitter.com/CaudiaAngelica/status/1112681168548364288</t>
  </si>
  <si>
    <t>April 01, 2019 at 06:40AM</t>
  </si>
  <si>
    <t>@TENERIFEFELIZ</t>
  </si>
  <si>
    <t>http://twitter.com/TENERIFEFELIZ/status/1112681305303584768</t>
  </si>
  <si>
    <t>April 01, 2019 at 06:41AM</t>
  </si>
  <si>
    <t>@mariapiaev</t>
  </si>
  <si>
    <t>http://twitter.com/mariapiaev/status/1112681520005697536</t>
  </si>
  <si>
    <t>April 01, 2019 at 06:42AM</t>
  </si>
  <si>
    <t>http://twitter.com/yanaurpi1/status/1112681541765947392</t>
  </si>
  <si>
    <t>http://twitter.com/CaudiaAngelica/status/1112681906418659328</t>
  </si>
  <si>
    <t>April 01, 2019 at 06:43AM</t>
  </si>
  <si>
    <t>@MarioS759</t>
  </si>
  <si>
    <t>http://twitter.com/MarioS759/status/1112681912198447104</t>
  </si>
  <si>
    <t>@marlebenavid</t>
  </si>
  <si>
    <t>http://twitter.com/marlebenavid/status/1112682011569934337</t>
  </si>
  <si>
    <t>@JuanCar49682973</t>
  </si>
  <si>
    <t>http://twitter.com/JuanCar49682973/status/1112682047183691777</t>
  </si>
  <si>
    <t>April 01, 2019 at 06:44AM</t>
  </si>
  <si>
    <t>@pedrofrancke</t>
  </si>
  <si>
    <t>http://twitter.com/pedrofrancke/status/1112682399467331584</t>
  </si>
  <si>
    <t>April 01, 2019 at 06:45AM</t>
  </si>
  <si>
    <t>@JrgrupoService</t>
  </si>
  <si>
    <t>http://twitter.com/JrgrupoService/status/1112682571366846465</t>
  </si>
  <si>
    <t>April 01, 2019 at 06:46AM</t>
  </si>
  <si>
    <t>@rrvillagomez</t>
  </si>
  <si>
    <t>http://twitter.com/rrvillagomez/status/1112684361755910144</t>
  </si>
  <si>
    <t>April 01, 2019 at 06:53AM</t>
  </si>
  <si>
    <t>@ReynosoRaf</t>
  </si>
  <si>
    <t>http://twitter.com/ReynosoRaf/status/1112684511907610624</t>
  </si>
  <si>
    <t>@mepz100</t>
  </si>
  <si>
    <t>http://twitter.com/mepz100/status/1112684792712257537</t>
  </si>
  <si>
    <t>April 01, 2019 at 06:55AM</t>
  </si>
  <si>
    <t>@guapocanela</t>
  </si>
  <si>
    <t>http://twitter.com/guapocanela/status/1112684852380385281</t>
  </si>
  <si>
    <t>@aqcuadipazzo</t>
  </si>
  <si>
    <t>http://twitter.com/aqcuadipazzo/status/1112684981485273094</t>
  </si>
  <si>
    <t>@josop55</t>
  </si>
  <si>
    <t>http://twitter.com/josop55/status/1112685117082869760</t>
  </si>
  <si>
    <t>April 01, 2019 at 06:56AM</t>
  </si>
  <si>
    <t>@Frospigliosi</t>
  </si>
  <si>
    <t>http://twitter.com/Frospigliosi/status/1112685477365252096</t>
  </si>
  <si>
    <t>April 01, 2019 at 06:57AM</t>
  </si>
  <si>
    <t>@DBR74</t>
  </si>
  <si>
    <t>http://twitter.com/DBR74/status/1112685600241577987</t>
  </si>
  <si>
    <t>April 01, 2019 at 06:58AM</t>
  </si>
  <si>
    <t>@Samanamu</t>
  </si>
  <si>
    <t>http://twitter.com/Samanamu/status/1112685623100559361</t>
  </si>
  <si>
    <t>@Peru_Noticias</t>
  </si>
  <si>
    <t>http://twitter.com/Peru_Noticias/status/1112685630142713857</t>
  </si>
  <si>
    <t>@alexkaddir</t>
  </si>
  <si>
    <t>http://twitter.com/alexkaddir/status/1112685915942633472</t>
  </si>
  <si>
    <t>April 01, 2019 at 06:59AM</t>
  </si>
  <si>
    <t>@RancasScorza</t>
  </si>
  <si>
    <t>http://twitter.com/RancasScorza/status/1112685939443355648</t>
  </si>
  <si>
    <t>@sdamazom</t>
  </si>
  <si>
    <t>http://twitter.com/sdamazom/status/1112685997727330304</t>
  </si>
  <si>
    <t>@Robert_latino</t>
  </si>
  <si>
    <t>http://twitter.com/Robert_latino/status/1112689696059129856</t>
  </si>
  <si>
    <t>April 01, 2019 at 07:14AM</t>
  </si>
  <si>
    <t>@EquidadMd</t>
  </si>
  <si>
    <t>http://twitter.com/EquidadMd/status/1112689701977292800</t>
  </si>
  <si>
    <t>@pintora67</t>
  </si>
  <si>
    <t>http://twitter.com/pintora67/status/1112689741827321856</t>
  </si>
  <si>
    <t>@Suzzanita</t>
  </si>
  <si>
    <t>http://twitter.com/Suzzanita/status/1112689848031166464</t>
  </si>
  <si>
    <t>April 01, 2019 at 07:15AM</t>
  </si>
  <si>
    <t>@SILVYTA27</t>
  </si>
  <si>
    <t>http://twitter.com/SILVYTA27/status/1112689874698670081</t>
  </si>
  <si>
    <t>@guajiro1942</t>
  </si>
  <si>
    <t>http://twitter.com/guajiro1942/status/1112690044203139073</t>
  </si>
  <si>
    <t>@ucinoticias_pe</t>
  </si>
  <si>
    <t>http://twitter.com/ucinoticias_pe/status/1112690230132461568</t>
  </si>
  <si>
    <t>April 01, 2019 at 07:16AM</t>
  </si>
  <si>
    <t>@gonzalonunez98</t>
  </si>
  <si>
    <t>http://twitter.com/gonzalonunez98/status/1112690362261344256</t>
  </si>
  <si>
    <t>April 01, 2019 at 07:17AM</t>
  </si>
  <si>
    <t>@agjimenezm</t>
  </si>
  <si>
    <t>http://twitter.com/agjimenezm/status/1112690569661345792</t>
  </si>
  <si>
    <t>@MERYDELPILAR1</t>
  </si>
  <si>
    <t>http://twitter.com/MERYDELPILAR1/status/1112690625525231616</t>
  </si>
  <si>
    <t>April 01, 2019 at 07:18AM</t>
  </si>
  <si>
    <t>@LuluChaD2</t>
  </si>
  <si>
    <t>http://twitter.com/LuluChaD2/status/1112691014370643968</t>
  </si>
  <si>
    <t>April 01, 2019 at 07:19AM</t>
  </si>
  <si>
    <t>@lmariasmart</t>
  </si>
  <si>
    <t>http://twitter.com/lmariasmart/status/1112691049883975680</t>
  </si>
  <si>
    <t>@goomez</t>
  </si>
  <si>
    <t>http://twitter.com/goomez/status/1112691211259789314</t>
  </si>
  <si>
    <t>April 01, 2019 at 07:20AM</t>
  </si>
  <si>
    <t>@Ubillus10</t>
  </si>
  <si>
    <t>http://twitter.com/Ubillus10/status/1112691260584849408</t>
  </si>
  <si>
    <t>@jcpuertas</t>
  </si>
  <si>
    <t>http://twitter.com/jcpuertas/status/1112691364544892929</t>
  </si>
  <si>
    <t>April 01, 2019 at 07:21AM</t>
  </si>
  <si>
    <t>@bostonews</t>
  </si>
  <si>
    <t>http://twitter.com/bostonews/status/1112693344226824192</t>
  </si>
  <si>
    <t>April 01, 2019 at 07:29AM</t>
  </si>
  <si>
    <t>@cenvall</t>
  </si>
  <si>
    <t>http://twitter.com/cenvall/status/1112693427379023873</t>
  </si>
  <si>
    <t>@MinervaSRM</t>
  </si>
  <si>
    <t>http://twitter.com/MinervaSRM/status/1112693551761104896</t>
  </si>
  <si>
    <t>@pfe_eduardo</t>
  </si>
  <si>
    <t>http://twitter.com/pfe_eduardo/status/1112693556408434690</t>
  </si>
  <si>
    <t>@kausachumperu</t>
  </si>
  <si>
    <t>http://twitter.com/kausachumperu/status/1112693820590821377</t>
  </si>
  <si>
    <t>April 01, 2019 at 07:30AM</t>
  </si>
  <si>
    <t>@Leyva8Leyva</t>
  </si>
  <si>
    <t>http://twitter.com/Leyva8Leyva/status/1112694205137276929</t>
  </si>
  <si>
    <t>April 01, 2019 at 07:32AM</t>
  </si>
  <si>
    <t>@VozLiberal</t>
  </si>
  <si>
    <t>http://twitter.com/VozLiberal/status/1112694387358748673</t>
  </si>
  <si>
    <t>April 01, 2019 at 07:33AM</t>
  </si>
  <si>
    <t>@Gyf96Rony</t>
  </si>
  <si>
    <t>http://twitter.com/Gyf96Rony/status/1112694471467114497</t>
  </si>
  <si>
    <t>http://twitter.com/pintora67/status/1112694577452978176</t>
  </si>
  <si>
    <t>@rralbert</t>
  </si>
  <si>
    <t>http://twitter.com/rralbert/status/1112695114827206656</t>
  </si>
  <si>
    <t>April 01, 2019 at 07:36AM</t>
  </si>
  <si>
    <t>@MarthaChavezC</t>
  </si>
  <si>
    <t>http://twitter.com/MarthaChavezC/status/1112695555132669952</t>
  </si>
  <si>
    <t>April 01, 2019 at 07:37AM</t>
  </si>
  <si>
    <t>@Patricia_Neyra</t>
  </si>
  <si>
    <t>http://twitter.com/Patricia_Neyra/status/1112695685219082242</t>
  </si>
  <si>
    <t>April 01, 2019 at 07:38AM</t>
  </si>
  <si>
    <t>@mardewe</t>
  </si>
  <si>
    <t>http://twitter.com/mardewe/status/1112695889947250688</t>
  </si>
  <si>
    <t>April 01, 2019 at 07:39AM</t>
  </si>
  <si>
    <t>@minero_peru</t>
  </si>
  <si>
    <t>http://twitter.com/minero_peru/status/1112699233289859072</t>
  </si>
  <si>
    <t>April 01, 2019 at 07:52AM</t>
  </si>
  <si>
    <t>@ttovarsamanez</t>
  </si>
  <si>
    <t>http://twitter.com/ttovarsamanez/status/1112699272993169413</t>
  </si>
  <si>
    <t>@MilagrosLeivaG</t>
  </si>
  <si>
    <t>http://twitter.com/MilagrosLeivaG/status/1112699421605707776</t>
  </si>
  <si>
    <t>April 01, 2019 at 07:53AM</t>
  </si>
  <si>
    <t>@3333flores1</t>
  </si>
  <si>
    <t>http://twitter.com/3333flores1/status/1112699497832808450</t>
  </si>
  <si>
    <t>@ArequipaLlantas</t>
  </si>
  <si>
    <t>http://twitter.com/ArequipaLlantas/status/1112699639046770688</t>
  </si>
  <si>
    <t>April 01, 2019 at 07:54AM</t>
  </si>
  <si>
    <t>@frank_ludena</t>
  </si>
  <si>
    <t>http://twitter.com/frank_ludena/status/1112699650744741894</t>
  </si>
  <si>
    <t>http://twitter.com/mardewe/status/1112699677454016513</t>
  </si>
  <si>
    <t>@MiKu_CL_15</t>
  </si>
  <si>
    <t>http://twitter.com/MiKu_CL_15/status/1112699940927692800</t>
  </si>
  <si>
    <t>April 01, 2019 at 07:55AM</t>
  </si>
  <si>
    <t>@Rom_mel2</t>
  </si>
  <si>
    <t>http://twitter.com/Rom_mel2/status/1112699944052371456</t>
  </si>
  <si>
    <t>@pajaroazulperu</t>
  </si>
  <si>
    <t>http://twitter.com/pajaroazulperu/status/1112699984850358272</t>
  </si>
  <si>
    <t>http://twitter.com/minero_peru/status/1112700260688760834</t>
  </si>
  <si>
    <t>April 01, 2019 at 07:56AM</t>
  </si>
  <si>
    <t>@esaguz</t>
  </si>
  <si>
    <t>http://twitter.com/esaguz/status/1112700348576210944</t>
  </si>
  <si>
    <t>@NoLobistas</t>
  </si>
  <si>
    <t>http://twitter.com/NoLobistas/status/1112700686590984194</t>
  </si>
  <si>
    <t>April 01, 2019 at 07:58AM</t>
  </si>
  <si>
    <t>@LuisMiguel_GD</t>
  </si>
  <si>
    <t>http://twitter.com/LuisMiguel_GD/status/1112700702365757479</t>
  </si>
  <si>
    <t>@rosamespule</t>
  </si>
  <si>
    <t>http://twitter.com/rosamespule/status/1112702855826366464</t>
  </si>
  <si>
    <t>April 01, 2019 at 08:06AM</t>
  </si>
  <si>
    <t>@dgrados</t>
  </si>
  <si>
    <t>http://twitter.com/dgrados/status/1112703070541148160</t>
  </si>
  <si>
    <t>April 01, 2019 at 08:07AM</t>
  </si>
  <si>
    <t>@Jettersoul</t>
  </si>
  <si>
    <t>http://twitter.com/Jettersoul/status/1112703228582334464</t>
  </si>
  <si>
    <t>April 01, 2019 at 08:08AM</t>
  </si>
  <si>
    <t>@ManuelhuntersS</t>
  </si>
  <si>
    <t>http://twitter.com/ManuelhuntersS/status/1112703248404828160</t>
  </si>
  <si>
    <t>@RenzoMinJim</t>
  </si>
  <si>
    <t>http://twitter.com/RenzoMinJim/status/1112703591402348544</t>
  </si>
  <si>
    <t>April 01, 2019 at 08:09AM</t>
  </si>
  <si>
    <t>@asfacoba</t>
  </si>
  <si>
    <t>http://twitter.com/asfacoba/status/1112703653465505792</t>
  </si>
  <si>
    <t>@patarevalo</t>
  </si>
  <si>
    <t>http://twitter.com/patarevalo/status/1112703658242818048</t>
  </si>
  <si>
    <t>@purocachitos</t>
  </si>
  <si>
    <t>http://twitter.com/purocachitos/status/1112703690102792193</t>
  </si>
  <si>
    <t>April 01, 2019 at 08:10AM</t>
  </si>
  <si>
    <t>http://twitter.com/rosamespule/status/1112703757815607296</t>
  </si>
  <si>
    <t>@jofe189</t>
  </si>
  <si>
    <t>http://twitter.com/jofe189/status/1112703821736747009</t>
  </si>
  <si>
    <t>@pepevilaala</t>
  </si>
  <si>
    <t>http://twitter.com/pepevilaala/status/1112703860303372288</t>
  </si>
  <si>
    <t>@eduardo_recoba</t>
  </si>
  <si>
    <t>http://twitter.com/eduardo_recoba/status/1112703907673845763</t>
  </si>
  <si>
    <t>@peru21noticias</t>
  </si>
  <si>
    <t>http://twitter.com/peru21noticias/status/1112704465575051265</t>
  </si>
  <si>
    <t>April 01, 2019 at 08:13AM</t>
  </si>
  <si>
    <t>@Jess49504626</t>
  </si>
  <si>
    <t>http://twitter.com/Jess49504626/status/1112704549586956290</t>
  </si>
  <si>
    <t>@ipakankure</t>
  </si>
  <si>
    <t>http://twitter.com/ipakankure/status/1112706478429954048</t>
  </si>
  <si>
    <t>April 01, 2019 at 08:21AM</t>
  </si>
  <si>
    <t>@LuisaPalaciosS</t>
  </si>
  <si>
    <t>http://twitter.com/LuisaPalaciosS/status/1112706485308608512</t>
  </si>
  <si>
    <t>@zacapa_marca</t>
  </si>
  <si>
    <t>http://twitter.com/zacapa_marca/status/1112706701432709120</t>
  </si>
  <si>
    <t>April 01, 2019 at 08:22AM</t>
  </si>
  <si>
    <t>@guillecitosan</t>
  </si>
  <si>
    <t>http://twitter.com/guillecitosan/status/1112706785855574016</t>
  </si>
  <si>
    <t>@demy113</t>
  </si>
  <si>
    <t>http://twitter.com/demy113/status/1112706817648410624</t>
  </si>
  <si>
    <t>@garciacontto</t>
  </si>
  <si>
    <t>http://twitter.com/garciacontto/status/1112706943905345536</t>
  </si>
  <si>
    <t>April 01, 2019 at 08:23AM</t>
  </si>
  <si>
    <t>@CarlosL_PERU</t>
  </si>
  <si>
    <t>http://twitter.com/CarlosL_PERU/status/1112707032262549504</t>
  </si>
  <si>
    <t>@YanuaLiseth</t>
  </si>
  <si>
    <t>http://twitter.com/YanuaLiseth/status/1112707123589324800</t>
  </si>
  <si>
    <t>http://twitter.com/Rom_mel2/status/1112707169365962753</t>
  </si>
  <si>
    <t>@RadioNacionalFM</t>
  </si>
  <si>
    <t>http://twitter.com/RadioNacionalFM/status/1112707537609125894</t>
  </si>
  <si>
    <t>April 01, 2019 at 08:25AM</t>
  </si>
  <si>
    <t>@Tito77412965</t>
  </si>
  <si>
    <t>http://twitter.com/Tito77412965/status/1112707769004494849</t>
  </si>
  <si>
    <t>April 01, 2019 at 08:26AM</t>
  </si>
  <si>
    <t>@HuberRamos8</t>
  </si>
  <si>
    <t>http://twitter.com/HuberRamos8/status/1112707925737377797</t>
  </si>
  <si>
    <t>@sheilitaugarte</t>
  </si>
  <si>
    <t>http://twitter.com/sheilitaugarte/status/1112707939566055424</t>
  </si>
  <si>
    <t>April 01, 2019 at 08:27AM</t>
  </si>
  <si>
    <t>@augustoreyh</t>
  </si>
  <si>
    <t>http://twitter.com/augustoreyh/status/1112707966921261056</t>
  </si>
  <si>
    <t>@JudyRo94</t>
  </si>
  <si>
    <t>http://twitter.com/JudyRo94/status/1112712088953196546</t>
  </si>
  <si>
    <t>April 01, 2019 at 08:43AM</t>
  </si>
  <si>
    <t>@grupormperugma1</t>
  </si>
  <si>
    <t>http://twitter.com/grupormperugma1/status/1112712140320894976</t>
  </si>
  <si>
    <t>@dianahidalgoD</t>
  </si>
  <si>
    <t>http://twitter.com/dianahidalgoD/status/1112712282050568196</t>
  </si>
  <si>
    <t>April 01, 2019 at 08:44AM</t>
  </si>
  <si>
    <t>@cocherochero</t>
  </si>
  <si>
    <t>http://twitter.com/cocherochero/status/1112712376875433984</t>
  </si>
  <si>
    <t>@CesarBejarano21</t>
  </si>
  <si>
    <t>http://twitter.com/CesarBejarano21/status/1112712384605491200</t>
  </si>
  <si>
    <t>http://twitter.com/frank_ludena/status/1112712473927475205</t>
  </si>
  <si>
    <t>April 01, 2019 at 08:45AM</t>
  </si>
  <si>
    <t>@Paramount_miss</t>
  </si>
  <si>
    <t>http://twitter.com/Paramount_miss/status/1112712539778048001</t>
  </si>
  <si>
    <t>@QoriKatari</t>
  </si>
  <si>
    <t>http://twitter.com/QoriKatari/status/1112712684972240896</t>
  </si>
  <si>
    <t>@lamula</t>
  </si>
  <si>
    <t>http://twitter.com/lamula/status/1112712752211152896</t>
  </si>
  <si>
    <t>April 01, 2019 at 08:46AM</t>
  </si>
  <si>
    <t>@Politica_LR</t>
  </si>
  <si>
    <t>http://twitter.com/Politica_LR/status/1112712840933228544</t>
  </si>
  <si>
    <t>@LDelacruzv</t>
  </si>
  <si>
    <t>http://twitter.com/LDelacruzv/status/1112712863108554753</t>
  </si>
  <si>
    <t>@lucianolopez27</t>
  </si>
  <si>
    <t>http://twitter.com/lucianolopez27/status/1112712880753950722</t>
  </si>
  <si>
    <t>@cataramonas</t>
  </si>
  <si>
    <t>http://twitter.com/cataramonas/status/1112712972181430272</t>
  </si>
  <si>
    <t>April 01, 2019 at 08:47AM</t>
  </si>
  <si>
    <t>@Jeannettellaja</t>
  </si>
  <si>
    <t>http://twitter.com/Jeannettellaja/status/1112713063306850304</t>
  </si>
  <si>
    <t>@anna__hard</t>
  </si>
  <si>
    <t>http://twitter.com/anna__hard/status/1112716428954779649</t>
  </si>
  <si>
    <t>April 01, 2019 at 09:00AM</t>
  </si>
  <si>
    <t>@carmendeate1</t>
  </si>
  <si>
    <t>http://twitter.com/carmendeate1/status/1112716430741553152</t>
  </si>
  <si>
    <t>http://twitter.com/Paramount_miss/status/1112716487985451010</t>
  </si>
  <si>
    <t>http://twitter.com/carmendeate1/status/1112716541320151040</t>
  </si>
  <si>
    <t>April 01, 2019 at 09:01AM</t>
  </si>
  <si>
    <t>@zicozocialvol2</t>
  </si>
  <si>
    <t>http://twitter.com/zicozocialvol2/status/1112716551692668933</t>
  </si>
  <si>
    <t>@braches1</t>
  </si>
  <si>
    <t>http://twitter.com/braches1/status/1112716584429199360</t>
  </si>
  <si>
    <t>@Jikook02371373</t>
  </si>
  <si>
    <t>http://twitter.com/Jikook02371373/status/1112716652351766528</t>
  </si>
  <si>
    <t>@Wilfred53403757</t>
  </si>
  <si>
    <t>http://twitter.com/Wilfred53403757/status/1112716798913404928</t>
  </si>
  <si>
    <t>April 01, 2019 at 09:02AM</t>
  </si>
  <si>
    <t>@Gonzavi</t>
  </si>
  <si>
    <t>http://twitter.com/Gonzavi/status/1112716807276761088</t>
  </si>
  <si>
    <t>@racsoprimero</t>
  </si>
  <si>
    <t>http://twitter.com/racsoprimero/status/1112716934204870656</t>
  </si>
  <si>
    <t>@ParkerMitcham</t>
  </si>
  <si>
    <t>http://twitter.com/ParkerMitcham/status/1112717056158457857</t>
  </si>
  <si>
    <t>April 01, 2019 at 09:03AM</t>
  </si>
  <si>
    <t>@tonyventur</t>
  </si>
  <si>
    <t>http://twitter.com/tonyventur/status/1112717154229649408</t>
  </si>
  <si>
    <t>@smestanzaa</t>
  </si>
  <si>
    <t>http://twitter.com/smestanzaa/status/1112717200773779458</t>
  </si>
  <si>
    <t>@Wilmr_Damian</t>
  </si>
  <si>
    <t>http://twitter.com/Wilmr_Damian/status/1112722205127966720</t>
  </si>
  <si>
    <t>April 01, 2019 at 09:23AM</t>
  </si>
  <si>
    <t>@DavidPbPrz10</t>
  </si>
  <si>
    <t>http://twitter.com/DavidPbPrz10/status/1112722238229274624</t>
  </si>
  <si>
    <t>@CarlosAranaMant</t>
  </si>
  <si>
    <t>http://twitter.com/CarlosAranaMant/status/1112722361613197312</t>
  </si>
  <si>
    <t>April 01, 2019 at 09:24AM</t>
  </si>
  <si>
    <t>@tucto</t>
  </si>
  <si>
    <t>http://twitter.com/tucto/status/1112722452826722304</t>
  </si>
  <si>
    <t>@mportocarrero</t>
  </si>
  <si>
    <t>http://twitter.com/mportocarrero/status/1112722645554991104</t>
  </si>
  <si>
    <t>April 01, 2019 at 09:25AM</t>
  </si>
  <si>
    <t>@giserrat</t>
  </si>
  <si>
    <t>http://twitter.com/giserrat/status/1112722687967809536</t>
  </si>
  <si>
    <t>@CGarciaRosellB</t>
  </si>
  <si>
    <t>http://twitter.com/CGarciaRosellB/status/1112722841936498691</t>
  </si>
  <si>
    <t>April 01, 2019 at 09:26AM</t>
  </si>
  <si>
    <t>@willmercastillo</t>
  </si>
  <si>
    <t>http://twitter.com/willmercastillo/status/1112722858202013697</t>
  </si>
  <si>
    <t>@iormachea</t>
  </si>
  <si>
    <t>http://twitter.com/iormachea/status/1112723124343181312</t>
  </si>
  <si>
    <t>April 01, 2019 at 09:27AM</t>
  </si>
  <si>
    <t>@3100Rafa</t>
  </si>
  <si>
    <t>http://twitter.com/3100Rafa/status/1112723670382854144</t>
  </si>
  <si>
    <t>April 01, 2019 at 09:29AM</t>
  </si>
  <si>
    <t>@los7rayos</t>
  </si>
  <si>
    <t>http://twitter.com/los7rayos/status/1112723794341306375</t>
  </si>
  <si>
    <t>April 01, 2019 at 09:30AM</t>
  </si>
  <si>
    <t>@psychopatita</t>
  </si>
  <si>
    <t>http://twitter.com/psychopatita/status/1112723990223704066</t>
  </si>
  <si>
    <t>@willyvmr</t>
  </si>
  <si>
    <t>http://twitter.com/willyvmr/status/1112724007508312065</t>
  </si>
  <si>
    <t>@LlaczaGalarza</t>
  </si>
  <si>
    <t>http://twitter.com/LlaczaGalarza/status/1112725736576745472</t>
  </si>
  <si>
    <t>April 01, 2019 at 09:37AM</t>
  </si>
  <si>
    <t>@danielle7591</t>
  </si>
  <si>
    <t>http://twitter.com/danielle7591/status/1112725778796593152</t>
  </si>
  <si>
    <t>@iOLiVrE</t>
  </si>
  <si>
    <t>http://twitter.com/iOLiVrE/status/1112725808144150528</t>
  </si>
  <si>
    <t>April 01, 2019 at 09:38AM</t>
  </si>
  <si>
    <t>@kassey21</t>
  </si>
  <si>
    <t>http://twitter.com/kassey21/status/1112725854411472896</t>
  </si>
  <si>
    <t>@jlmalagachocano</t>
  </si>
  <si>
    <t>http://twitter.com/jlmalagachocano/status/1112726089615462401</t>
  </si>
  <si>
    <t>April 01, 2019 at 09:39AM</t>
  </si>
  <si>
    <t>@VerdadDigitalsv</t>
  </si>
  <si>
    <t>http://twitter.com/VerdadDigitalsv/status/1112726101380468736</t>
  </si>
  <si>
    <t>http://twitter.com/kausachumperu/status/1112726114609303553</t>
  </si>
  <si>
    <t>@PFranciscana</t>
  </si>
  <si>
    <t>http://twitter.com/PFranciscana/status/1112726304527433729</t>
  </si>
  <si>
    <t>@Saruskka1</t>
  </si>
  <si>
    <t>http://twitter.com/Saruskka1/status/1112726328409767936</t>
  </si>
  <si>
    <t>April 01, 2019 at 09:40AM</t>
  </si>
  <si>
    <t>@JennerMycall</t>
  </si>
  <si>
    <t>http://twitter.com/JennerMycall/status/1112726420705460224</t>
  </si>
  <si>
    <t>@soniapovis</t>
  </si>
  <si>
    <t>http://twitter.com/soniapovis/status/1112727011032788992</t>
  </si>
  <si>
    <t>April 01, 2019 at 09:42AM</t>
  </si>
  <si>
    <t>http://twitter.com/peru21noticias/status/1112727023255019520</t>
  </si>
  <si>
    <t>@frankri14641759</t>
  </si>
  <si>
    <t>http://twitter.com/frankri14641759/status/1112727278180593666</t>
  </si>
  <si>
    <t>April 01, 2019 at 09:43AM</t>
  </si>
  <si>
    <t>@agildemeisterrh</t>
  </si>
  <si>
    <t>http://twitter.com/agildemeisterrh/status/1112730239099199488</t>
  </si>
  <si>
    <t>April 01, 2019 at 09:55AM</t>
  </si>
  <si>
    <t>@c3sarmv</t>
  </si>
  <si>
    <t>http://twitter.com/c3sarmv/status/1112730258858479617</t>
  </si>
  <si>
    <t>@Luxinterior80</t>
  </si>
  <si>
    <t>http://twitter.com/Luxinterior80/status/1112730312528838656</t>
  </si>
  <si>
    <t>@LimaesNuestra</t>
  </si>
  <si>
    <t>http://twitter.com/LimaesNuestra/status/1112730322033172480</t>
  </si>
  <si>
    <t>@vanguardiaapra</t>
  </si>
  <si>
    <t>http://twitter.com/vanguardiaapra/status/1112730331344457728</t>
  </si>
  <si>
    <t>@SandritaCcori</t>
  </si>
  <si>
    <t>http://twitter.com/SandritaCcori/status/1112730408985202689</t>
  </si>
  <si>
    <t>April 01, 2019 at 09:56AM</t>
  </si>
  <si>
    <t>@morganeborzee</t>
  </si>
  <si>
    <t>http://twitter.com/morganeborzee/status/1112730447564423170</t>
  </si>
  <si>
    <t>@a_ibk</t>
  </si>
  <si>
    <t>http://twitter.com/a_ibk/status/1112730471505358849</t>
  </si>
  <si>
    <t>@anatari33</t>
  </si>
  <si>
    <t>http://twitter.com/anatari33/status/1112730633619558401</t>
  </si>
  <si>
    <t>April 01, 2019 at 09:57AM</t>
  </si>
  <si>
    <t>http://twitter.com/anatari33/status/1112730705883205633</t>
  </si>
  <si>
    <t>@peruenlanoticia</t>
  </si>
  <si>
    <t>http://twitter.com/peruenlanoticia/status/1112730877417672705</t>
  </si>
  <si>
    <t>April 01, 2019 at 09:58AM</t>
  </si>
  <si>
    <t>@DemetrioEng</t>
  </si>
  <si>
    <t>http://twitter.com/DemetrioEng/status/1112730965615562753</t>
  </si>
  <si>
    <t>@degohm</t>
  </si>
  <si>
    <t>http://twitter.com/degohm/status/1112731026860789761</t>
  </si>
  <si>
    <t>@LSixtomolina</t>
  </si>
  <si>
    <t>http://twitter.com/LSixtomolina/status/1112731420735258624</t>
  </si>
  <si>
    <t>April 01, 2019 at 10:00AM</t>
  </si>
  <si>
    <t>@CarJesus589</t>
  </si>
  <si>
    <t>http://twitter.com/CarJesus589/status/1112731437483130881</t>
  </si>
  <si>
    <t>@milanta</t>
  </si>
  <si>
    <t>http://twitter.com/milanta/status/1112733790441492482</t>
  </si>
  <si>
    <t>April 01, 2019 at 10:09AM</t>
  </si>
  <si>
    <t>@carlosdfghjkl</t>
  </si>
  <si>
    <t>http://twitter.com/carlosdfghjkl/status/1112734160580419585</t>
  </si>
  <si>
    <t>April 01, 2019 at 10:11AM</t>
  </si>
  <si>
    <t>@PasquinDeM</t>
  </si>
  <si>
    <t>http://twitter.com/PasquinDeM/status/1112734163042476033</t>
  </si>
  <si>
    <t>@OmarAliagaLoje</t>
  </si>
  <si>
    <t>http://twitter.com/OmarAliagaLoje/status/1112734463405051909</t>
  </si>
  <si>
    <t>April 01, 2019 at 10:12AM</t>
  </si>
  <si>
    <t>@rubenlima2017</t>
  </si>
  <si>
    <t>http://twitter.com/rubenlima2017/status/1112734480370941952</t>
  </si>
  <si>
    <t>http://twitter.com/rubenlima2017/status/1112734498549043201</t>
  </si>
  <si>
    <t>@leo_valra</t>
  </si>
  <si>
    <t>http://twitter.com/leo_valra/status/1112734508724510720</t>
  </si>
  <si>
    <t>@gansa59</t>
  </si>
  <si>
    <t>http://twitter.com/gansa59/status/1112734616404799488</t>
  </si>
  <si>
    <t>April 01, 2019 at 10:13AM</t>
  </si>
  <si>
    <t>http://twitter.com/LSixtomolina/status/1112734644376662023</t>
  </si>
  <si>
    <t>http://twitter.com/peruenlanoticia/status/1112734719144275969</t>
  </si>
  <si>
    <t>@Agencia_Andina</t>
  </si>
  <si>
    <t>http://twitter.com/Agencia_Andina/status/1112734748261212162</t>
  </si>
  <si>
    <t>@ferdezmen</t>
  </si>
  <si>
    <t>http://twitter.com/ferdezmen/status/1112734920928083968</t>
  </si>
  <si>
    <t>April 01, 2019 at 10:14AM</t>
  </si>
  <si>
    <t>@yoisy01</t>
  </si>
  <si>
    <t>http://twitter.com/yoisy01/status/1112735146032148484</t>
  </si>
  <si>
    <t>April 01, 2019 at 10:15AM</t>
  </si>
  <si>
    <t>@EconomiaECpe</t>
  </si>
  <si>
    <t>http://twitter.com/EconomiaECpe/status/1112738893005115394</t>
  </si>
  <si>
    <t>April 01, 2019 at 10:30AM</t>
  </si>
  <si>
    <t>@CooperAccionPER</t>
  </si>
  <si>
    <t>http://twitter.com/CooperAccionPER/status/1112738893399351296</t>
  </si>
  <si>
    <t>@OCMPeru</t>
  </si>
  <si>
    <t>http://twitter.com/OCMPeru/status/1112738893965811712</t>
  </si>
  <si>
    <t>@40Matos</t>
  </si>
  <si>
    <t>http://twitter.com/40Matos/status/1112738971161907202</t>
  </si>
  <si>
    <t>@FELUCO17</t>
  </si>
  <si>
    <t>http://twitter.com/FELUCO17/status/1112739116020654080</t>
  </si>
  <si>
    <t>http://twitter.com/FELUCO17/status/1112739154910212098</t>
  </si>
  <si>
    <t>April 01, 2019 at 10:31AM</t>
  </si>
  <si>
    <t>@PeruECpe</t>
  </si>
  <si>
    <t>http://twitter.com/PeruECpe/status/1112739190188503046</t>
  </si>
  <si>
    <t>@Enrique_aqp</t>
  </si>
  <si>
    <t>http://twitter.com/Enrique_aqp/status/1112739213747937281</t>
  </si>
  <si>
    <t>@elcomercio_peru</t>
  </si>
  <si>
    <t>http://twitter.com/elcomercio_peru/status/1112739223382179840</t>
  </si>
  <si>
    <t>@Perusupport</t>
  </si>
  <si>
    <t>http://twitter.com/Perusupport/status/1112739230957096960</t>
  </si>
  <si>
    <t>@XavierFiestas</t>
  </si>
  <si>
    <t>http://twitter.com/XavierFiestas/status/1112739292416303110</t>
  </si>
  <si>
    <t>@GuerrilleroDice</t>
  </si>
  <si>
    <t>http://twitter.com/GuerrilleroDice/status/1112739415716040704</t>
  </si>
  <si>
    <t>April 01, 2019 at 10:32AM</t>
  </si>
  <si>
    <t>@CharlesAtauje</t>
  </si>
  <si>
    <t>http://twitter.com/CharlesAtauje/status/1112741579058491392</t>
  </si>
  <si>
    <t>April 01, 2019 at 10:40AM</t>
  </si>
  <si>
    <t>@henry_quispe</t>
  </si>
  <si>
    <t>http://twitter.com/henry_quispe/status/1112741931245817856</t>
  </si>
  <si>
    <t>April 01, 2019 at 10:42AM</t>
  </si>
  <si>
    <t>@FredyDeledesma</t>
  </si>
  <si>
    <t>http://twitter.com/FredyDeledesma/status/1112742024174809090</t>
  </si>
  <si>
    <t>http://twitter.com/rosamespule/status/1112742168110776320</t>
  </si>
  <si>
    <t>April 01, 2019 at 10:43AM</t>
  </si>
  <si>
    <t>@jdeechave</t>
  </si>
  <si>
    <t>http://twitter.com/jdeechave/status/1112742176969146374</t>
  </si>
  <si>
    <t>@ceramosf</t>
  </si>
  <si>
    <t>http://twitter.com/ceramosf/status/1112742178269343744</t>
  </si>
  <si>
    <t>@filhaadomar</t>
  </si>
  <si>
    <t>http://twitter.com/filhaadomar/status/1112742179078918146</t>
  </si>
  <si>
    <t>http://twitter.com/jdeechave/status/1112742212876550144</t>
  </si>
  <si>
    <t>@mercedialo</t>
  </si>
  <si>
    <t>http://twitter.com/mercedialo/status/1112742260590952448</t>
  </si>
  <si>
    <t>@isabeldiceesto</t>
  </si>
  <si>
    <t>http://twitter.com/isabeldiceesto/status/1112742365230522369</t>
  </si>
  <si>
    <t>@JuanCarlosSC</t>
  </si>
  <si>
    <t>http://twitter.com/JuanCarlosSC/status/1112742435992461314</t>
  </si>
  <si>
    <t>April 01, 2019 at 10:44AM</t>
  </si>
  <si>
    <t>@hobinwex</t>
  </si>
  <si>
    <t>http://twitter.com/hobinwex/status/1112742456620130304</t>
  </si>
  <si>
    <t>@pedces</t>
  </si>
  <si>
    <t>http://twitter.com/pedces/status/1112742464622874624</t>
  </si>
  <si>
    <t>@Rollhando</t>
  </si>
  <si>
    <t>http://twitter.com/Rollhando/status/1112746761616084992</t>
  </si>
  <si>
    <t>April 01, 2019 at 11:01AM</t>
  </si>
  <si>
    <t>http://twitter.com/guajiro1942/status/1112746846001209345</t>
  </si>
  <si>
    <t>@BassiTanise</t>
  </si>
  <si>
    <t>http://twitter.com/BassiTanise/status/1112746920798232577</t>
  </si>
  <si>
    <t>@FioMarley</t>
  </si>
  <si>
    <t>http://twitter.com/FioMarley/status/1112746934488498176</t>
  </si>
  <si>
    <t>@Dantuzum</t>
  </si>
  <si>
    <t>http://twitter.com/Dantuzum/status/1112747116143828993</t>
  </si>
  <si>
    <t>April 01, 2019 at 11:02AM</t>
  </si>
  <si>
    <t>@annseamaid</t>
  </si>
  <si>
    <t>http://twitter.com/annseamaid/status/1112747212533043202</t>
  </si>
  <si>
    <t>April 01, 2019 at 11:03AM</t>
  </si>
  <si>
    <t>@jaimedelcastill</t>
  </si>
  <si>
    <t>http://twitter.com/jaimedelcastill/status/1112747334658674688</t>
  </si>
  <si>
    <t>@gmendoza_</t>
  </si>
  <si>
    <t>http://twitter.com/gmendoza_/status/1112747352933220354</t>
  </si>
  <si>
    <t>@alvarosarco</t>
  </si>
  <si>
    <t>http://twitter.com/alvarosarco/status/1112747369035116547</t>
  </si>
  <si>
    <t>@CasarettoAlvaro</t>
  </si>
  <si>
    <t>http://twitter.com/CasarettoAlvaro/status/1112747555979431937</t>
  </si>
  <si>
    <t>April 01, 2019 at 11:04AM</t>
  </si>
  <si>
    <t>@Xhristian19</t>
  </si>
  <si>
    <t>http://twitter.com/Xhristian19/status/1112747566469402624</t>
  </si>
  <si>
    <t>@amesacha</t>
  </si>
  <si>
    <t>http://twitter.com/amesacha/status/1112747578653847552</t>
  </si>
  <si>
    <t>@Roberto455111</t>
  </si>
  <si>
    <t>http://twitter.com/Roberto455111/status/1112747645657858048</t>
  </si>
  <si>
    <t>@Arturo_Orozco</t>
  </si>
  <si>
    <t>http://twitter.com/Arturo_Orozco/status/1112750016001658881</t>
  </si>
  <si>
    <t>April 01, 2019 at 11:14AM</t>
  </si>
  <si>
    <t>@rulostercos</t>
  </si>
  <si>
    <t>http://twitter.com/rulostercos/status/1112750056896151552</t>
  </si>
  <si>
    <t>http://twitter.com/marlebenavid/status/1112750072540876802</t>
  </si>
  <si>
    <t>@CsargutiCesar</t>
  </si>
  <si>
    <t>http://twitter.com/CsargutiCesar/status/1112750293232611328</t>
  </si>
  <si>
    <t>April 01, 2019 at 11:15AM</t>
  </si>
  <si>
    <t>@Stephen0610</t>
  </si>
  <si>
    <t>http://twitter.com/Stephen0610/status/1112750324740046848</t>
  </si>
  <si>
    <t>@StorinoAragon</t>
  </si>
  <si>
    <t>http://twitter.com/StorinoAragon/status/1112750363084578816</t>
  </si>
  <si>
    <t>http://twitter.com/StorinoAragon/status/1112750381132640256</t>
  </si>
  <si>
    <t>@juanaavellaneda</t>
  </si>
  <si>
    <t>http://twitter.com/juanaavellaneda/status/1112750409381236737</t>
  </si>
  <si>
    <t>@ISialer</t>
  </si>
  <si>
    <t>http://twitter.com/ISialer/status/1112750413709631493</t>
  </si>
  <si>
    <t>@RasecTony</t>
  </si>
  <si>
    <t>http://twitter.com/RasecTony/status/1112750472685932544</t>
  </si>
  <si>
    <t>April 01, 2019 at 11:16AM</t>
  </si>
  <si>
    <t>@SEMANAeconomica</t>
  </si>
  <si>
    <t>http://twitter.com/SEMANAeconomica/status/1112750483817541632</t>
  </si>
  <si>
    <t>@Andrelosorio</t>
  </si>
  <si>
    <t>http://twitter.com/Andrelosorio/status/1112750645650640897</t>
  </si>
  <si>
    <t>@jjrodriguezrp</t>
  </si>
  <si>
    <t>http://twitter.com/jjrodriguezrp/status/1112750910055301125</t>
  </si>
  <si>
    <t>April 01, 2019 at 11:17AM</t>
  </si>
  <si>
    <t>@chancos</t>
  </si>
  <si>
    <t>http://twitter.com/chancos/status/1112750951318937600</t>
  </si>
  <si>
    <t>@GuilleNolasco</t>
  </si>
  <si>
    <t>http://twitter.com/GuilleNolasco/status/1112753752933650433</t>
  </si>
  <si>
    <t>April 01, 2019 at 11:29AM</t>
  </si>
  <si>
    <t>@Ore_ZZeta</t>
  </si>
  <si>
    <t>http://twitter.com/Ore_ZZeta/status/1112753939315912704</t>
  </si>
  <si>
    <t>http://twitter.com/peruenlanoticia/status/1112753971700080640</t>
  </si>
  <si>
    <t>@tenta_fjhotmail</t>
  </si>
  <si>
    <t>http://twitter.com/tenta_fjhotmail/status/1112754182912700421</t>
  </si>
  <si>
    <t>April 01, 2019 at 11:30AM</t>
  </si>
  <si>
    <t>@FotografiaPais</t>
  </si>
  <si>
    <t>http://twitter.com/FotografiaPais/status/1112754243427946497</t>
  </si>
  <si>
    <t>April 01, 2019 at 11:31AM</t>
  </si>
  <si>
    <t>@belaessencia</t>
  </si>
  <si>
    <t>http://twitter.com/belaessencia/status/1112754283492052994</t>
  </si>
  <si>
    <t>http://twitter.com/Enrique_aqp/status/1112754365834674177</t>
  </si>
  <si>
    <t>http://twitter.com/peru21noticias/status/1112754519165804544</t>
  </si>
  <si>
    <t>April 01, 2019 at 11:32AM</t>
  </si>
  <si>
    <t>@arzohuancayo</t>
  </si>
  <si>
    <t>http://twitter.com/arzohuancayo/status/1112754698111590401</t>
  </si>
  <si>
    <t>@PatriGarri14</t>
  </si>
  <si>
    <t>http://twitter.com/PatriGarri14/status/1112754698426167296</t>
  </si>
  <si>
    <t>http://twitter.com/peruenlanoticia/status/1112754965746016260</t>
  </si>
  <si>
    <t>April 01, 2019 at 11:33AM</t>
  </si>
  <si>
    <t>http://twitter.com/tonyventur/status/1112755031047106566</t>
  </si>
  <si>
    <t>April 01, 2019 at 11:34AM</t>
  </si>
  <si>
    <t>@chungoybatan</t>
  </si>
  <si>
    <t>http://twitter.com/chungoybatan/status/1112755035610451973</t>
  </si>
  <si>
    <t>@Nicolas4h</t>
  </si>
  <si>
    <t>http://twitter.com/Nicolas4h/status/1112755068221210626</t>
  </si>
  <si>
    <t>@Jhope1611</t>
  </si>
  <si>
    <t>http://twitter.com/Jhope1611/status/1112757270826356737</t>
  </si>
  <si>
    <t>April 01, 2019 at 11:43AM</t>
  </si>
  <si>
    <t>http://twitter.com/tonyventur/status/1112757339340320770</t>
  </si>
  <si>
    <t>@JSachun</t>
  </si>
  <si>
    <t>http://twitter.com/JSachun/status/1112757374706728966</t>
  </si>
  <si>
    <t>@EDWINFLORESVASQ</t>
  </si>
  <si>
    <t>http://twitter.com/EDWINFLORESVASQ/status/1112757646879277056</t>
  </si>
  <si>
    <t>April 01, 2019 at 11:44AM</t>
  </si>
  <si>
    <t>@luivillan</t>
  </si>
  <si>
    <t>http://twitter.com/luivillan/status/1112757808821354496</t>
  </si>
  <si>
    <t>April 01, 2019 at 11:45AM</t>
  </si>
  <si>
    <t>@alansalinas</t>
  </si>
  <si>
    <t>http://twitter.com/alansalinas/status/1112757837061480455</t>
  </si>
  <si>
    <t>http://twitter.com/Politica_LR/status/1112757840085684231</t>
  </si>
  <si>
    <t>http://twitter.com/tonyventur/status/1112757967747719168</t>
  </si>
  <si>
    <t>@juan_pablo_b_g</t>
  </si>
  <si>
    <t>http://twitter.com/juan_pablo_b_g/status/1112758056746696706</t>
  </si>
  <si>
    <t>April 01, 2019 at 11:46AM</t>
  </si>
  <si>
    <t>@ccondorchua</t>
  </si>
  <si>
    <t>http://twitter.com/ccondorchua/status/1112758092737974275</t>
  </si>
  <si>
    <t>@LimaAlDia</t>
  </si>
  <si>
    <t>http://twitter.com/LimaAlDia/status/1112758593550458882</t>
  </si>
  <si>
    <t>April 01, 2019 at 11:48AM</t>
  </si>
  <si>
    <t>@ExpresoPeru</t>
  </si>
  <si>
    <t>http://twitter.com/ExpresoPeru/status/1112758633715167234</t>
  </si>
  <si>
    <t>@giancarlo1413</t>
  </si>
  <si>
    <t>http://twitter.com/giancarlo1413/status/1112758761129676800</t>
  </si>
  <si>
    <t>@gizlaine2</t>
  </si>
  <si>
    <t>http://twitter.com/gizlaine2/status/1112758838669787136</t>
  </si>
  <si>
    <t>April 01, 2019 at 11:49AM</t>
  </si>
  <si>
    <t>@Rramosb1</t>
  </si>
  <si>
    <t>http://twitter.com/Rramosb1/status/1112760326980857862</t>
  </si>
  <si>
    <t>April 01, 2019 at 11:55AM</t>
  </si>
  <si>
    <t>@homerorm7</t>
  </si>
  <si>
    <t>http://twitter.com/homerorm7/status/1112760476570734593</t>
  </si>
  <si>
    <t>http://twitter.com/ExpresoPeru/status/1112760851084312576</t>
  </si>
  <si>
    <t>April 01, 2019 at 11:57AM</t>
  </si>
  <si>
    <t>@trotnavegante</t>
  </si>
  <si>
    <t>http://twitter.com/trotnavegante/status/1112760939168874500</t>
  </si>
  <si>
    <t>@PanamericanaTV</t>
  </si>
  <si>
    <t>http://twitter.com/PanamericanaTV/status/1112760971070709766</t>
  </si>
  <si>
    <t>@oscarenriquevel</t>
  </si>
  <si>
    <t>http://twitter.com/oscarenriquevel/status/1112761052918435845</t>
  </si>
  <si>
    <t>April 01, 2019 at 11:58AM</t>
  </si>
  <si>
    <t>@LezamaJaime</t>
  </si>
  <si>
    <t>http://twitter.com/LezamaJaime/status/1112761446067245057</t>
  </si>
  <si>
    <t>April 01, 2019 at 11:59AM</t>
  </si>
  <si>
    <t>http://twitter.com/elmontonero_pe/status/1112761542905344002</t>
  </si>
  <si>
    <t>April 01, 2019 at 12:00PM</t>
  </si>
  <si>
    <t>@GoFuentes_</t>
  </si>
  <si>
    <t>http://twitter.com/GoFuentes_/status/1112761564715720705</t>
  </si>
  <si>
    <t>@ELSV97</t>
  </si>
  <si>
    <t>http://twitter.com/ELSV97/status/1112761748417888258</t>
  </si>
  <si>
    <t>@proactivoperu</t>
  </si>
  <si>
    <t>http://twitter.com/proactivoperu/status/1112762045462659074</t>
  </si>
  <si>
    <t>April 01, 2019 at 12:02PM</t>
  </si>
  <si>
    <t>@anmarcelapo</t>
  </si>
  <si>
    <t>http://twitter.com/anmarcelapo/status/1112762273834172416</t>
  </si>
  <si>
    <t>@TitoDelPielago</t>
  </si>
  <si>
    <t>http://twitter.com/TitoDelPielago/status/1112762505577807873</t>
  </si>
  <si>
    <t>April 01, 2019 at 12:03PM</t>
  </si>
  <si>
    <t>@noticiAmerica</t>
  </si>
  <si>
    <t>http://twitter.com/noticiAmerica/status/1112762890271027200</t>
  </si>
  <si>
    <t>April 01, 2019 at 12:05PM</t>
  </si>
  <si>
    <t>@galanes55</t>
  </si>
  <si>
    <t>http://twitter.com/galanes55/status/1112765261008900096</t>
  </si>
  <si>
    <t>April 01, 2019 at 12:14PM</t>
  </si>
  <si>
    <t>http://twitter.com/ExpresoPeru/status/1112765269758435328</t>
  </si>
  <si>
    <t>@luislchihuan</t>
  </si>
  <si>
    <t>http://twitter.com/luislchihuan/status/1112765359810113536</t>
  </si>
  <si>
    <t>April 01, 2019 at 12:15PM</t>
  </si>
  <si>
    <t>http://twitter.com/luislchihuan/status/1112765403024052226</t>
  </si>
  <si>
    <t>@rivilla</t>
  </si>
  <si>
    <t>http://twitter.com/rivilla/status/1112765469067497474</t>
  </si>
  <si>
    <t>@Luisito08675936</t>
  </si>
  <si>
    <t>http://twitter.com/Luisito08675936/status/1112765491624452097</t>
  </si>
  <si>
    <t>http://twitter.com/peruenlanoticia/status/1112765516962283521</t>
  </si>
  <si>
    <t>@fabiolataipe99</t>
  </si>
  <si>
    <t>http://twitter.com/fabiolataipe99/status/1112765579662974982</t>
  </si>
  <si>
    <t>April 01, 2019 at 12:16PM</t>
  </si>
  <si>
    <t>@RipoRicardo</t>
  </si>
  <si>
    <t>http://twitter.com/RipoRicardo/status/1112765656464871424</t>
  </si>
  <si>
    <t>@aaronsalomong</t>
  </si>
  <si>
    <t>http://twitter.com/aaronsalomong/status/1112765670163468295</t>
  </si>
  <si>
    <t>@Mavalittos</t>
  </si>
  <si>
    <t>http://twitter.com/Mavalittos/status/1112765674965946370</t>
  </si>
  <si>
    <t>@vigilfran</t>
  </si>
  <si>
    <t>http://twitter.com/vigilfran/status/1112766153217241091</t>
  </si>
  <si>
    <t>April 01, 2019 at 12:18PM</t>
  </si>
  <si>
    <t>@intheauron</t>
  </si>
  <si>
    <t>http://twitter.com/intheauron/status/1112766215347494913</t>
  </si>
  <si>
    <t>@KeithSlack1</t>
  </si>
  <si>
    <t>http://twitter.com/KeithSlack1/status/1112767484212506625</t>
  </si>
  <si>
    <t>April 01, 2019 at 12:23PM</t>
  </si>
  <si>
    <t>@mleondecespedes</t>
  </si>
  <si>
    <t>http://twitter.com/mleondecespedes/status/1112767644715937792</t>
  </si>
  <si>
    <t>April 01, 2019 at 12:24PM</t>
  </si>
  <si>
    <t>@hermes1948</t>
  </si>
  <si>
    <t>http://twitter.com/hermes1948/status/1112767944629673984</t>
  </si>
  <si>
    <t>April 01, 2019 at 12:25PM</t>
  </si>
  <si>
    <t>@SiuseAlva</t>
  </si>
  <si>
    <t>http://twitter.com/SiuseAlva/status/1112767978934845440</t>
  </si>
  <si>
    <t>@InfostellePeru</t>
  </si>
  <si>
    <t>http://twitter.com/InfostellePeru/status/1112768000262852608</t>
  </si>
  <si>
    <t>@GIGICABRERA31</t>
  </si>
  <si>
    <t>http://twitter.com/GIGICABRERA31/status/1112768117640495104</t>
  </si>
  <si>
    <t>April 01, 2019 at 12:26PM</t>
  </si>
  <si>
    <t>@_danielarce</t>
  </si>
  <si>
    <t>http://twitter.com/_danielarce/status/1112768132131799045</t>
  </si>
  <si>
    <t>@YuremaViana</t>
  </si>
  <si>
    <t>http://twitter.com/YuremaViana/status/1112768458717102080</t>
  </si>
  <si>
    <t>April 01, 2019 at 12:27PM</t>
  </si>
  <si>
    <t>@PedroMartinIQT</t>
  </si>
  <si>
    <t>http://twitter.com/PedroMartinIQT/status/1112768580041564167</t>
  </si>
  <si>
    <t>@FUIKAOMAR</t>
  </si>
  <si>
    <t>http://twitter.com/FUIKAOMAR/status/1112769024025399297</t>
  </si>
  <si>
    <t>April 01, 2019 at 12:29PM</t>
  </si>
  <si>
    <t>@ManuelF52591600</t>
  </si>
  <si>
    <t>http://twitter.com/ManuelF52591600/status/1112769291525505024</t>
  </si>
  <si>
    <t>April 01, 2019 at 12:30PM</t>
  </si>
  <si>
    <t>@Miluska_you</t>
  </si>
  <si>
    <t>http://twitter.com/Miluska_you/status/1112769307740651527</t>
  </si>
  <si>
    <t>http://twitter.com/proactivoperu/status/1112769595235094529</t>
  </si>
  <si>
    <t>April 01, 2019 at 12:32PM</t>
  </si>
  <si>
    <t>@martinbelaundem</t>
  </si>
  <si>
    <t>http://twitter.com/martinbelaundem/status/1112774089524088833</t>
  </si>
  <si>
    <t>April 01, 2019 at 12:49PM</t>
  </si>
  <si>
    <t>@AlbetoJess</t>
  </si>
  <si>
    <t>http://twitter.com/AlbetoJess/status/1112774471213940736</t>
  </si>
  <si>
    <t>April 01, 2019 at 12:51PM</t>
  </si>
  <si>
    <t>@jptolentino3</t>
  </si>
  <si>
    <t>http://twitter.com/jptolentino3/status/1112774498414194688</t>
  </si>
  <si>
    <t>@sirgundo</t>
  </si>
  <si>
    <t>http://twitter.com/sirgundo/status/1112774751129264128</t>
  </si>
  <si>
    <t>April 01, 2019 at 12:52PM</t>
  </si>
  <si>
    <t>@Visionhuaraz</t>
  </si>
  <si>
    <t>http://twitter.com/Visionhuaraz/status/1112774837334929409</t>
  </si>
  <si>
    <t>@miracomome</t>
  </si>
  <si>
    <t>http://twitter.com/miracomome/status/1112775186955362304</t>
  </si>
  <si>
    <t>April 01, 2019 at 12:54PM</t>
  </si>
  <si>
    <t>@LiliaMati</t>
  </si>
  <si>
    <t>http://twitter.com/LiliaMati/status/1112775212611899392</t>
  </si>
  <si>
    <t>@Omar_Pinedo</t>
  </si>
  <si>
    <t>http://twitter.com/Omar_Pinedo/status/1112775423220477953</t>
  </si>
  <si>
    <t>April 01, 2019 at 12:55PM</t>
  </si>
  <si>
    <t>http://twitter.com/Peru_Noticias/status/1112775993423532032</t>
  </si>
  <si>
    <t>April 01, 2019 at 12:57PM</t>
  </si>
  <si>
    <t>@marygut33145724</t>
  </si>
  <si>
    <t>http://twitter.com/marygut33145724/status/1112776189318492163</t>
  </si>
  <si>
    <t>April 01, 2019 at 12:58PM</t>
  </si>
  <si>
    <t>@christiansoto77</t>
  </si>
  <si>
    <t>http://twitter.com/christiansoto77/status/1112776269345820672</t>
  </si>
  <si>
    <t>@Patriciapim28</t>
  </si>
  <si>
    <t>http://twitter.com/Patriciapim28/status/1112776349394128896</t>
  </si>
  <si>
    <t>@jctafur</t>
  </si>
  <si>
    <t>http://twitter.com/jctafur/status/1112776353391280128</t>
  </si>
  <si>
    <t>@choquecurat</t>
  </si>
  <si>
    <t>http://twitter.com/choquecurat/status/1112776520198651905</t>
  </si>
  <si>
    <t>April 01, 2019 at 12:59PM</t>
  </si>
  <si>
    <t>@r_sin_tapujos</t>
  </si>
  <si>
    <t>http://twitter.com/r_sin_tapujos/status/1112776635273576448</t>
  </si>
  <si>
    <t>@Politico_pe</t>
  </si>
  <si>
    <t>http://twitter.com/Politico_pe/status/1112776645172031488</t>
  </si>
  <si>
    <t>April 01, 2019 at 01:00PM</t>
  </si>
  <si>
    <t>@Artemito3</t>
  </si>
  <si>
    <t>http://twitter.com/Artemito3/status/1112777179832705031</t>
  </si>
  <si>
    <t>April 01, 2019 at 01:02PM</t>
  </si>
  <si>
    <t>@Steffenbryson</t>
  </si>
  <si>
    <t>http://twitter.com/Steffenbryson/status/1112777362201038848</t>
  </si>
  <si>
    <t>@PeruNews</t>
  </si>
  <si>
    <t>http://twitter.com/PeruNews/status/1112777605193842690</t>
  </si>
  <si>
    <t>April 01, 2019 at 01:03PM</t>
  </si>
  <si>
    <t>@acollantes_1096</t>
  </si>
  <si>
    <t>http://twitter.com/acollantes_1096/status/1112778092576194561</t>
  </si>
  <si>
    <t>April 01, 2019 at 01:05PM</t>
  </si>
  <si>
    <t>@Kalin_gl</t>
  </si>
  <si>
    <t>http://twitter.com/Kalin_gl/status/1112778836440240131</t>
  </si>
  <si>
    <t>April 01, 2019 at 01:08PM</t>
  </si>
  <si>
    <t>@luroel</t>
  </si>
  <si>
    <t>http://twitter.com/luroel/status/1112778878957830149</t>
  </si>
  <si>
    <t>@heey_Tibes</t>
  </si>
  <si>
    <t>http://twitter.com/heey_Tibes/status/1112778984192966656</t>
  </si>
  <si>
    <t>April 01, 2019 at 01:09PM</t>
  </si>
  <si>
    <t>@soniamendozaq</t>
  </si>
  <si>
    <t>http://twitter.com/soniamendozaq/status/1112779015037902848</t>
  </si>
  <si>
    <t>@eddyoe47</t>
  </si>
  <si>
    <t>http://twitter.com/eddyoe47/status/1112779146164363264</t>
  </si>
  <si>
    <t>@Vogue1913</t>
  </si>
  <si>
    <t>http://twitter.com/Vogue1913/status/1112779164627681286</t>
  </si>
  <si>
    <t>April 01, 2019 at 01:10PM</t>
  </si>
  <si>
    <t>@mijailrag</t>
  </si>
  <si>
    <t>http://twitter.com/mijailrag/status/1112779294848290817</t>
  </si>
  <si>
    <t>@rlopezaliaga1</t>
  </si>
  <si>
    <t>http://twitter.com/rlopezaliaga1/status/1112779295913644032</t>
  </si>
  <si>
    <t>@nograbonilla</t>
  </si>
  <si>
    <t>http://twitter.com/nograbonilla/status/1112779444857573383</t>
  </si>
  <si>
    <t>April 01, 2019 at 01:11PM</t>
  </si>
  <si>
    <t>@netoflix3</t>
  </si>
  <si>
    <t>http://twitter.com/netoflix3/status/1112779845036015616</t>
  </si>
  <si>
    <t>April 01, 2019 at 01:12PM</t>
  </si>
  <si>
    <t>http://twitter.com/StorinoAragon/status/1112780016620920832</t>
  </si>
  <si>
    <t>April 01, 2019 at 01:13PM</t>
  </si>
  <si>
    <t>http://twitter.com/Agencia_Andina/status/1112780411292315648</t>
  </si>
  <si>
    <t>April 01, 2019 at 01:14PM</t>
  </si>
  <si>
    <t>@JeanettPetrosi2</t>
  </si>
  <si>
    <t>http://twitter.com/JeanettPetrosi2/status/1112780773017489409</t>
  </si>
  <si>
    <t>April 01, 2019 at 01:16PM</t>
  </si>
  <si>
    <t>@thefourdara</t>
  </si>
  <si>
    <t>http://twitter.com/thefourdara/status/1112780783712862209</t>
  </si>
  <si>
    <t>@Loqueven</t>
  </si>
  <si>
    <t>http://twitter.com/Loqueven/status/1112781386530869248</t>
  </si>
  <si>
    <t>April 01, 2019 at 01:18PM</t>
  </si>
  <si>
    <t>@osalgulama</t>
  </si>
  <si>
    <t>http://twitter.com/osalgulama/status/1112781447839039488</t>
  </si>
  <si>
    <t>April 01, 2019 at 01:19PM</t>
  </si>
  <si>
    <t>@alanocturna10</t>
  </si>
  <si>
    <t>http://twitter.com/alanocturna10/status/1112781609575632906</t>
  </si>
  <si>
    <t>http://twitter.com/christiansoto77/status/1112781979697778688</t>
  </si>
  <si>
    <t>April 01, 2019 at 01:21PM</t>
  </si>
  <si>
    <t>@Orlandojaimeba1</t>
  </si>
  <si>
    <t>http://twitter.com/Orlandojaimeba1/status/1112782041005867011</t>
  </si>
  <si>
    <t>@JMAURICIO846</t>
  </si>
  <si>
    <t>http://twitter.com/JMAURICIO846/status/1112782119900798977</t>
  </si>
  <si>
    <t>@agente1977c</t>
  </si>
  <si>
    <t>http://twitter.com/agente1977c/status/1112782327179079687</t>
  </si>
  <si>
    <t>April 01, 2019 at 01:22PM</t>
  </si>
  <si>
    <t>@tefa392</t>
  </si>
  <si>
    <t>http://twitter.com/tefa392/status/1112783112369594374</t>
  </si>
  <si>
    <t>April 01, 2019 at 01:25PM</t>
  </si>
  <si>
    <t>@newsjsPE</t>
  </si>
  <si>
    <t>http://twitter.com/newsjsPE/status/1112783540448575489</t>
  </si>
  <si>
    <t>April 01, 2019 at 01:27PM</t>
  </si>
  <si>
    <t>@CosmePalpan</t>
  </si>
  <si>
    <t>http://twitter.com/CosmePalpan/status/1112783584975306752</t>
  </si>
  <si>
    <t>@handkettcurlhu1</t>
  </si>
  <si>
    <t>http://twitter.com/handkettcurlhu1/status/1112785393466925056</t>
  </si>
  <si>
    <t>April 01, 2019 at 01:34PM</t>
  </si>
  <si>
    <t>@derveterano</t>
  </si>
  <si>
    <t>http://twitter.com/derveterano/status/1112785422134992896</t>
  </si>
  <si>
    <t>@hugo_eddi</t>
  </si>
  <si>
    <t>http://twitter.com/hugo_eddi/status/1112785652381351937</t>
  </si>
  <si>
    <t>April 01, 2019 at 01:35PM</t>
  </si>
  <si>
    <t>@maedaTinna</t>
  </si>
  <si>
    <t>http://twitter.com/maedaTinna/status/1112785760439226372</t>
  </si>
  <si>
    <t>April 01, 2019 at 01:36PM</t>
  </si>
  <si>
    <t>@yanavico</t>
  </si>
  <si>
    <t>http://twitter.com/yanavico/status/1112785825174089728</t>
  </si>
  <si>
    <t>@brendast2</t>
  </si>
  <si>
    <t>http://twitter.com/brendast2/status/1112785861161246721</t>
  </si>
  <si>
    <t>@luisveratorres1</t>
  </si>
  <si>
    <t>http://twitter.com/luisveratorres1/status/1112786012680437762</t>
  </si>
  <si>
    <t>April 01, 2019 at 01:37PM</t>
  </si>
  <si>
    <t>@ricartealmeida</t>
  </si>
  <si>
    <t>http://twitter.com/ricartealmeida/status/1112786316444532738</t>
  </si>
  <si>
    <t>April 01, 2019 at 01:38PM</t>
  </si>
  <si>
    <t>http://twitter.com/a_ibk/status/1112786407318319104</t>
  </si>
  <si>
    <t>@xiopink89</t>
  </si>
  <si>
    <t>http://twitter.com/xiopink89/status/1112786496669564930</t>
  </si>
  <si>
    <t>April 01, 2019 at 01:39PM</t>
  </si>
  <si>
    <t>@maynorafreyreb</t>
  </si>
  <si>
    <t>http://twitter.com/maynorafreyreb/status/1112786748805996546</t>
  </si>
  <si>
    <t>April 01, 2019 at 01:40PM</t>
  </si>
  <si>
    <t>http://twitter.com/xiopink89/status/1112786825352040448</t>
  </si>
  <si>
    <t>http://twitter.com/ricartealmeida/status/1112787054813962247</t>
  </si>
  <si>
    <t>April 01, 2019 at 01:41PM</t>
  </si>
  <si>
    <t>@LinceAntiTuco</t>
  </si>
  <si>
    <t>http://twitter.com/LinceAntiTuco/status/1112787393298526208</t>
  </si>
  <si>
    <t>April 01, 2019 at 01:42PM</t>
  </si>
  <si>
    <t>@Qzhizha</t>
  </si>
  <si>
    <t>http://twitter.com/Qzhizha/status/1112787424990674947</t>
  </si>
  <si>
    <t>@Sebasco5</t>
  </si>
  <si>
    <t>http://twitter.com/Sebasco5/status/1112788063611248641</t>
  </si>
  <si>
    <t>April 01, 2019 at 01:45PM</t>
  </si>
  <si>
    <t>http://twitter.com/LinceAntiTuco/status/1112788073123930114</t>
  </si>
  <si>
    <t>@CheCarolo</t>
  </si>
  <si>
    <t>http://twitter.com/CheCarolo/status/1112788183975186434</t>
  </si>
  <si>
    <t>@Rodrigonzalezru</t>
  </si>
  <si>
    <t>http://twitter.com/Rodrigonzalezru/status/1112788292334837760</t>
  </si>
  <si>
    <t>April 01, 2019 at 01:46PM</t>
  </si>
  <si>
    <t>@zemaribeiro</t>
  </si>
  <si>
    <t>http://twitter.com/zemaribeiro/status/1112788436795224066</t>
  </si>
  <si>
    <t>@THEWARRON</t>
  </si>
  <si>
    <t>http://twitter.com/THEWARRON/status/1112788492235534337</t>
  </si>
  <si>
    <t>April 01, 2019 at 01:47PM</t>
  </si>
  <si>
    <t>@Santiag99504173</t>
  </si>
  <si>
    <t>http://twitter.com/Santiag99504173/status/1112788509692055552</t>
  </si>
  <si>
    <t>@anama_balaguer</t>
  </si>
  <si>
    <t>http://twitter.com/anama_balaguer/status/1112788608077819904</t>
  </si>
  <si>
    <t>@duckseok</t>
  </si>
  <si>
    <t>http://twitter.com/duckseok/status/1112788656899620865</t>
  </si>
  <si>
    <t>http://twitter.com/LimaAlDia/status/1112788849044983808</t>
  </si>
  <si>
    <t>April 01, 2019 at 01:48PM</t>
  </si>
  <si>
    <t>@veronic03902460</t>
  </si>
  <si>
    <t>http://twitter.com/veronic03902460/status/1112789072253054976</t>
  </si>
  <si>
    <t>April 01, 2019 at 01:49PM</t>
  </si>
  <si>
    <t>@YULYVila1</t>
  </si>
  <si>
    <t>http://twitter.com/YULYVila1/status/1112789116972879875</t>
  </si>
  <si>
    <t>@CarolHidalgoRu2</t>
  </si>
  <si>
    <t>http://twitter.com/CarolHidalgoRu2/status/1112789467297931270</t>
  </si>
  <si>
    <t>April 01, 2019 at 01:50PM</t>
  </si>
  <si>
    <t>@PaulaPizan</t>
  </si>
  <si>
    <t>http://twitter.com/PaulaPizan/status/1112790299909160960</t>
  </si>
  <si>
    <t>April 01, 2019 at 01:54PM</t>
  </si>
  <si>
    <t>@delaselvasu</t>
  </si>
  <si>
    <t>http://twitter.com/delaselvasu/status/1112790901946871811</t>
  </si>
  <si>
    <t>April 01, 2019 at 01:56PM</t>
  </si>
  <si>
    <t>@PPKbancada</t>
  </si>
  <si>
    <t>http://twitter.com/PPKbancada/status/1112790932749901824</t>
  </si>
  <si>
    <t>@JMelendezCelis</t>
  </si>
  <si>
    <t>http://twitter.com/JMelendezCelis/status/1112791157535399936</t>
  </si>
  <si>
    <t>April 01, 2019 at 01:57PM</t>
  </si>
  <si>
    <t>@Medelu2</t>
  </si>
  <si>
    <t>http://twitter.com/Medelu2/status/1112791259473760257</t>
  </si>
  <si>
    <t>April 01, 2019 at 01:58PM</t>
  </si>
  <si>
    <t>@dexmoda_</t>
  </si>
  <si>
    <t>http://twitter.com/dexmoda_/status/1112791486473568261</t>
  </si>
  <si>
    <t>http://twitter.com/ManuelhuntersS/status/1112791617583374336</t>
  </si>
  <si>
    <t>April 01, 2019 at 01:59PM</t>
  </si>
  <si>
    <t>@tecminera</t>
  </si>
  <si>
    <t>http://twitter.com/tecminera/status/1112791774613864455</t>
  </si>
  <si>
    <t>April 01, 2019 at 02:00PM</t>
  </si>
  <si>
    <t>@miguelinomen53</t>
  </si>
  <si>
    <t>http://twitter.com/miguelinomen53/status/1112791886979350528</t>
  </si>
  <si>
    <t>@chaplin2310</t>
  </si>
  <si>
    <t>http://twitter.com/chaplin2310/status/1112792369420820481</t>
  </si>
  <si>
    <t>April 01, 2019 at 02:02PM</t>
  </si>
  <si>
    <t>http://twitter.com/miguelinomen53/status/1112792538610626565</t>
  </si>
  <si>
    <t>April 01, 2019 at 02:03PM</t>
  </si>
  <si>
    <t>@palomatorkasa</t>
  </si>
  <si>
    <t>http://twitter.com/palomatorkasa/status/1112792678431756288</t>
  </si>
  <si>
    <t>@xpotrader</t>
  </si>
  <si>
    <t>http://twitter.com/xpotrader/status/1112792692122157058</t>
  </si>
  <si>
    <t>http://twitter.com/palomatorkasa/status/1112792937664897024</t>
  </si>
  <si>
    <t>April 01, 2019 at 02:04PM</t>
  </si>
  <si>
    <t>http://twitter.com/LinceAntiTuco/status/1112793259963711492</t>
  </si>
  <si>
    <t>April 01, 2019 at 02:06PM</t>
  </si>
  <si>
    <t>@ArtemioPalo</t>
  </si>
  <si>
    <t>http://twitter.com/ArtemioPalo/status/1112798434245922817</t>
  </si>
  <si>
    <t>April 01, 2019 at 02:26PM</t>
  </si>
  <si>
    <t>@carlossoria_p</t>
  </si>
  <si>
    <t>http://twitter.com/carlossoria_p/status/1112798543394291717</t>
  </si>
  <si>
    <t>April 01, 2019 at 02:27PM</t>
  </si>
  <si>
    <t>@crownthelau</t>
  </si>
  <si>
    <t>http://twitter.com/crownthelau/status/1112798730430889989</t>
  </si>
  <si>
    <t>http://twitter.com/LinceAntiTuco/status/1112799184938328067</t>
  </si>
  <si>
    <t>April 01, 2019 at 02:29PM</t>
  </si>
  <si>
    <t>http://twitter.com/elmontonero_pe/status/1112799291871944704</t>
  </si>
  <si>
    <t>April 01, 2019 at 02:30PM</t>
  </si>
  <si>
    <t>@TioCesar45</t>
  </si>
  <si>
    <t>http://twitter.com/TioCesar45/status/1112799388848586753</t>
  </si>
  <si>
    <t>@mandrecox</t>
  </si>
  <si>
    <t>http://twitter.com/mandrecox/status/1112799936926507008</t>
  </si>
  <si>
    <t>April 01, 2019 at 02:32PM</t>
  </si>
  <si>
    <t>@Maynor_lopez_t</t>
  </si>
  <si>
    <t>http://twitter.com/Maynor_lopez_t/status/1112800133740101632</t>
  </si>
  <si>
    <t>April 01, 2019 at 02:33PM</t>
  </si>
  <si>
    <t>@trileniumsac</t>
  </si>
  <si>
    <t>http://twitter.com/trileniumsac/status/1112800356264804358</t>
  </si>
  <si>
    <t>April 01, 2019 at 02:34PM</t>
  </si>
  <si>
    <t>@nipio_es</t>
  </si>
  <si>
    <t>http://twitter.com/nipio_es/status/1112800460073787392</t>
  </si>
  <si>
    <t>@AlonzSilva</t>
  </si>
  <si>
    <t>http://twitter.com/AlonzSilva/status/1112800696334782464</t>
  </si>
  <si>
    <t>April 01, 2019 at 02:35PM</t>
  </si>
  <si>
    <t>@epicyasuni</t>
  </si>
  <si>
    <t>http://twitter.com/epicyasuni/status/1112800869253308418</t>
  </si>
  <si>
    <t>April 01, 2019 at 02:36PM</t>
  </si>
  <si>
    <t>@Debora_Frank</t>
  </si>
  <si>
    <t>http://twitter.com/Debora_Frank/status/1112800928980238336</t>
  </si>
  <si>
    <t>@WayraNoticias</t>
  </si>
  <si>
    <t>http://twitter.com/WayraNoticias/status/1112801074069598209</t>
  </si>
  <si>
    <t>April 01, 2019 at 02:37PM</t>
  </si>
  <si>
    <t>@MaribelToledo</t>
  </si>
  <si>
    <t>http://twitter.com/MaribelToledo/status/1112801555181436928</t>
  </si>
  <si>
    <t>April 01, 2019 at 02:39PM</t>
  </si>
  <si>
    <t>@rawrmerooo</t>
  </si>
  <si>
    <t>http://twitter.com/rawrmerooo/status/1112801970824364039</t>
  </si>
  <si>
    <t>April 01, 2019 at 02:40PM</t>
  </si>
  <si>
    <t>@ClynCampos</t>
  </si>
  <si>
    <t>http://twitter.com/ClynCampos/status/1112802190073192448</t>
  </si>
  <si>
    <t>April 01, 2019 at 02:41PM</t>
  </si>
  <si>
    <t>@lyudmilaox</t>
  </si>
  <si>
    <t>http://twitter.com/lyudmilaox/status/1112802453550841857</t>
  </si>
  <si>
    <t>April 01, 2019 at 02:42PM</t>
  </si>
  <si>
    <t>@RoselySevilla</t>
  </si>
  <si>
    <t>http://twitter.com/RoselySevilla/status/1112802764818694144</t>
  </si>
  <si>
    <t>April 01, 2019 at 02:43PM</t>
  </si>
  <si>
    <t>@Tanya_BamBas</t>
  </si>
  <si>
    <t>http://twitter.com/Tanya_BamBas/status/1112802766521593858</t>
  </si>
  <si>
    <t>@El_Manu11</t>
  </si>
  <si>
    <t>http://twitter.com/El_Manu11/status/1112802893596450816</t>
  </si>
  <si>
    <t>April 01, 2019 at 02:44PM</t>
  </si>
  <si>
    <t>@alci_41</t>
  </si>
  <si>
    <t>http://twitter.com/alci_41/status/1112802957244809216</t>
  </si>
  <si>
    <t>http://twitter.com/MilagrosLeivaG/status/1112803011422834689</t>
  </si>
  <si>
    <t>@agenciacmalatam</t>
  </si>
  <si>
    <t>http://twitter.com/agenciacmalatam/status/1112803069543284737</t>
  </si>
  <si>
    <t>April 01, 2019 at 02:45PM</t>
  </si>
  <si>
    <t>@PepeMoquillaza</t>
  </si>
  <si>
    <t>http://twitter.com/PepeMoquillaza/status/1112803073972424706</t>
  </si>
  <si>
    <t>@MaClau120</t>
  </si>
  <si>
    <t>http://twitter.com/MaClau120/status/1112803075503411200</t>
  </si>
  <si>
    <t>@primerafuente1</t>
  </si>
  <si>
    <t>http://twitter.com/primerafuente1/status/1112803251756433410</t>
  </si>
  <si>
    <t>@G_vigo</t>
  </si>
  <si>
    <t>http://twitter.com/G_vigo/status/1112803552056016898</t>
  </si>
  <si>
    <t>April 01, 2019 at 02:46PM</t>
  </si>
  <si>
    <t>@chbtlv67</t>
  </si>
  <si>
    <t>http://twitter.com/chbtlv67/status/1112803654304587776</t>
  </si>
  <si>
    <t>April 01, 2019 at 02:47PM</t>
  </si>
  <si>
    <t>@fernando_roman1</t>
  </si>
  <si>
    <t>http://twitter.com/fernando_roman1/status/1112803925130870791</t>
  </si>
  <si>
    <t>April 01, 2019 at 02:48PM</t>
  </si>
  <si>
    <t>@lgutierreza2000</t>
  </si>
  <si>
    <t>http://twitter.com/lgutierreza2000/status/1112803935285383169</t>
  </si>
  <si>
    <t>@JuanCarlosLL</t>
  </si>
  <si>
    <t>http://twitter.com/JuanCarlosLL/status/1112804090499588097</t>
  </si>
  <si>
    <t>April 01, 2019 at 02:49PM</t>
  </si>
  <si>
    <t>@fgladys02</t>
  </si>
  <si>
    <t>http://twitter.com/fgladys02/status/1112804451113467904</t>
  </si>
  <si>
    <t>April 01, 2019 at 02:50PM</t>
  </si>
  <si>
    <t>@unlolazo_</t>
  </si>
  <si>
    <t>http://twitter.com/unlolazo_/status/1112804682030833666</t>
  </si>
  <si>
    <t>April 01, 2019 at 02:51PM</t>
  </si>
  <si>
    <t>@contiki12</t>
  </si>
  <si>
    <t>http://twitter.com/contiki12/status/1112804911828361216</t>
  </si>
  <si>
    <t>April 01, 2019 at 02:52PM</t>
  </si>
  <si>
    <t>@Nea_97</t>
  </si>
  <si>
    <t>http://twitter.com/Nea_97/status/1112805511659970560</t>
  </si>
  <si>
    <t>April 01, 2019 at 02:54PM</t>
  </si>
  <si>
    <t>@kathyzegarra</t>
  </si>
  <si>
    <t>http://twitter.com/kathyzegarra/status/1112806066964893696</t>
  </si>
  <si>
    <t>April 01, 2019 at 02:56PM</t>
  </si>
  <si>
    <t>@rochi1529</t>
  </si>
  <si>
    <t>http://twitter.com/rochi1529/status/1112806117095165952</t>
  </si>
  <si>
    <t>April 01, 2019 at 02:57PM</t>
  </si>
  <si>
    <t>@oitosafada</t>
  </si>
  <si>
    <t>http://twitter.com/oitosafada/status/1112806216403767297</t>
  </si>
  <si>
    <t>@maycol318</t>
  </si>
  <si>
    <t>http://twitter.com/maycol318/status/1112806526840967169</t>
  </si>
  <si>
    <t>April 01, 2019 at 02:58PM</t>
  </si>
  <si>
    <t>@AleCd7</t>
  </si>
  <si>
    <t>http://twitter.com/AleCd7/status/1112806695003144198</t>
  </si>
  <si>
    <t>April 01, 2019 at 02:59PM</t>
  </si>
  <si>
    <t>@davidreyesz</t>
  </si>
  <si>
    <t>http://twitter.com/davidreyesz/status/1112808971365179392</t>
  </si>
  <si>
    <t>April 01, 2019 at 03:08PM</t>
  </si>
  <si>
    <t>@ccaroc2011</t>
  </si>
  <si>
    <t>http://twitter.com/ccaroc2011/status/1112809184876167169</t>
  </si>
  <si>
    <t>April 01, 2019 at 03:09PM</t>
  </si>
  <si>
    <t>@dudup</t>
  </si>
  <si>
    <t>http://twitter.com/dudup/status/1112809380276330497</t>
  </si>
  <si>
    <t>April 01, 2019 at 03:10PM</t>
  </si>
  <si>
    <t>@thomaspasivo</t>
  </si>
  <si>
    <t>http://twitter.com/thomaspasivo/status/1112809606743552000</t>
  </si>
  <si>
    <t>http://twitter.com/Rom_mel2/status/1112809647105363970</t>
  </si>
  <si>
    <t>April 01, 2019 at 03:11PM</t>
  </si>
  <si>
    <t>@pezuni5256</t>
  </si>
  <si>
    <t>http://twitter.com/pezuni5256/status/1112809928861868033</t>
  </si>
  <si>
    <t>April 01, 2019 at 03:12PM</t>
  </si>
  <si>
    <t>@energiminas1</t>
  </si>
  <si>
    <t>http://twitter.com/energiminas1/status/1112810023585972224</t>
  </si>
  <si>
    <t>@PabloRiojaCueva</t>
  </si>
  <si>
    <t>http://twitter.com/PabloRiojaCueva/status/1112810062840463361</t>
  </si>
  <si>
    <t>@HellenMesones</t>
  </si>
  <si>
    <t>http://twitter.com/HellenMesones/status/1112810626873810945</t>
  </si>
  <si>
    <t>April 01, 2019 at 03:15PM</t>
  </si>
  <si>
    <t>@apterrones</t>
  </si>
  <si>
    <t>http://twitter.com/apterrones/status/1112811212746702849</t>
  </si>
  <si>
    <t>April 01, 2019 at 03:17PM</t>
  </si>
  <si>
    <t>@max2910wtf</t>
  </si>
  <si>
    <t>http://twitter.com/max2910wtf/status/1112811274369486849</t>
  </si>
  <si>
    <t>@Jimmyortega1709</t>
  </si>
  <si>
    <t>http://twitter.com/Jimmyortega1709/status/1112811421832708096</t>
  </si>
  <si>
    <t>April 01, 2019 at 03:18PM</t>
  </si>
  <si>
    <t>@pruperu</t>
  </si>
  <si>
    <t>http://twitter.com/pruperu/status/1112811430825390080</t>
  </si>
  <si>
    <t>@Insausti_tlSUR</t>
  </si>
  <si>
    <t>http://twitter.com/Insausti_tlSUR/status/1112811488278953984</t>
  </si>
  <si>
    <t>http://twitter.com/pintora67/status/1112813624970633222</t>
  </si>
  <si>
    <t>April 01, 2019 at 03:26PM</t>
  </si>
  <si>
    <t>@angeluz276</t>
  </si>
  <si>
    <t>http://twitter.com/angeluz276/status/1112814006039928832</t>
  </si>
  <si>
    <t>April 01, 2019 at 03:28PM</t>
  </si>
  <si>
    <t>http://twitter.com/LuluChaD2/status/1112814261145755649</t>
  </si>
  <si>
    <t>April 01, 2019 at 03:29PM</t>
  </si>
  <si>
    <t>@medialunaazul</t>
  </si>
  <si>
    <t>http://twitter.com/medialunaazul/status/1112814356171980801</t>
  </si>
  <si>
    <t>@Juliana62077034</t>
  </si>
  <si>
    <t>http://twitter.com/Juliana62077034/status/1112814809752522753</t>
  </si>
  <si>
    <t>April 01, 2019 at 03:31PM</t>
  </si>
  <si>
    <t>@Maritza67335907</t>
  </si>
  <si>
    <t>http://twitter.com/Maritza67335907/status/1112814913980956673</t>
  </si>
  <si>
    <t>April 01, 2019 at 03:32PM</t>
  </si>
  <si>
    <t>@dosdemaino</t>
  </si>
  <si>
    <t>http://twitter.com/dosdemaino/status/1112815066573934593</t>
  </si>
  <si>
    <t>@AccionDeAmparo</t>
  </si>
  <si>
    <t>http://twitter.com/AccionDeAmparo/status/1112815153844838401</t>
  </si>
  <si>
    <t>April 01, 2019 at 03:33PM</t>
  </si>
  <si>
    <t>http://twitter.com/SEMANAeconomica/status/1112815419054751746</t>
  </si>
  <si>
    <t>April 01, 2019 at 03:34PM</t>
  </si>
  <si>
    <t>@JuanJesusFidhel</t>
  </si>
  <si>
    <t>http://twitter.com/JuanJesusFidhel/status/1112815465590607872</t>
  </si>
  <si>
    <t>@BrumasTheBear</t>
  </si>
  <si>
    <t>http://twitter.com/BrumasTheBear/status/1112815472553152512</t>
  </si>
  <si>
    <t>@YsmeldaI</t>
  </si>
  <si>
    <t>http://twitter.com/YsmeldaI/status/1112815492673175552</t>
  </si>
  <si>
    <t>@fernando_got</t>
  </si>
  <si>
    <t>http://twitter.com/fernando_got/status/1112815496389226501</t>
  </si>
  <si>
    <t>@paulaaz__</t>
  </si>
  <si>
    <t>http://twitter.com/paulaaz__/status/1112817493259796480</t>
  </si>
  <si>
    <t>April 01, 2019 at 03:42PM</t>
  </si>
  <si>
    <t>@CalebRojasC</t>
  </si>
  <si>
    <t>http://twitter.com/CalebRojasC/status/1112821526800216064</t>
  </si>
  <si>
    <t>April 01, 2019 at 03:58PM</t>
  </si>
  <si>
    <t>@amalia_saldana</t>
  </si>
  <si>
    <t>http://twitter.com/amalia_saldana/status/1112821778571702272</t>
  </si>
  <si>
    <t>April 01, 2019 at 03:59PM</t>
  </si>
  <si>
    <t>@safra_manuel</t>
  </si>
  <si>
    <t>http://twitter.com/safra_manuel/status/1112821890282815491</t>
  </si>
  <si>
    <t>@Francoatlante</t>
  </si>
  <si>
    <t>http://twitter.com/Francoatlante/status/1112822006045663238</t>
  </si>
  <si>
    <t>April 01, 2019 at 04:00PM</t>
  </si>
  <si>
    <t>@Americo_PC</t>
  </si>
  <si>
    <t>http://twitter.com/Americo_PC/status/1112822264901365760</t>
  </si>
  <si>
    <t>April 01, 2019 at 04:01PM</t>
  </si>
  <si>
    <t>@cisepa_pucp</t>
  </si>
  <si>
    <t>http://twitter.com/cisepa_pucp/status/1112822545852653570</t>
  </si>
  <si>
    <t>April 01, 2019 at 04:02PM</t>
  </si>
  <si>
    <t>@Ojo_Publico</t>
  </si>
  <si>
    <t>http://twitter.com/Ojo_Publico/status/1112822660554260480</t>
  </si>
  <si>
    <t>@abu_abulafia_</t>
  </si>
  <si>
    <t>http://twitter.com/abu_abulafia_/status/1112823103414001666</t>
  </si>
  <si>
    <t>April 01, 2019 at 04:04PM</t>
  </si>
  <si>
    <t>@ultraclaw</t>
  </si>
  <si>
    <t>http://twitter.com/ultraclaw/status/1112823131079622656</t>
  </si>
  <si>
    <t>@PatriRguezD</t>
  </si>
  <si>
    <t>http://twitter.com/PatriRguezD/status/1112823227628376065</t>
  </si>
  <si>
    <t>April 01, 2019 at 04:05PM</t>
  </si>
  <si>
    <t>@cristo_hary</t>
  </si>
  <si>
    <t>http://twitter.com/cristo_hary/status/1112823344699764736</t>
  </si>
  <si>
    <t>@prosperayamada</t>
  </si>
  <si>
    <t>http://twitter.com/prosperayamada/status/1112823789346308097</t>
  </si>
  <si>
    <t>April 01, 2019 at 04:07PM</t>
  </si>
  <si>
    <t>@malcom_x1x</t>
  </si>
  <si>
    <t>http://twitter.com/malcom_x1x/status/1112823846263050240</t>
  </si>
  <si>
    <t>@propria_afar</t>
  </si>
  <si>
    <t>http://twitter.com/propria_afar/status/1112824622423162880</t>
  </si>
  <si>
    <t>April 01, 2019 at 04:10PM</t>
  </si>
  <si>
    <t>@carlos1504511</t>
  </si>
  <si>
    <t>http://twitter.com/carlos1504511/status/1112824853701255169</t>
  </si>
  <si>
    <t>April 01, 2019 at 04:11PM</t>
  </si>
  <si>
    <t>http://twitter.com/CheCarolo/status/1112827431424065536</t>
  </si>
  <si>
    <t>April 01, 2019 at 04:21PM</t>
  </si>
  <si>
    <t>@PepeluxoG</t>
  </si>
  <si>
    <t>http://twitter.com/PepeluxoG/status/1112827979128815616</t>
  </si>
  <si>
    <t>April 01, 2019 at 04:24PM</t>
  </si>
  <si>
    <t>@marisolgarcia11</t>
  </si>
  <si>
    <t>http://twitter.com/marisolgarcia11/status/1112828058594103297</t>
  </si>
  <si>
    <t>http://twitter.com/pezuni5256/status/1112828115380826112</t>
  </si>
  <si>
    <t>@Jorgedelama</t>
  </si>
  <si>
    <t>http://twitter.com/Jorgedelama/status/1112828342732980224</t>
  </si>
  <si>
    <t>April 01, 2019 at 04:25PM</t>
  </si>
  <si>
    <t>http://twitter.com/marisolgarcia11/status/1112828415550345217</t>
  </si>
  <si>
    <t>@MIGUELITOPEREZR</t>
  </si>
  <si>
    <t>http://twitter.com/MIGUELITOPEREZR/status/1112828433967579138</t>
  </si>
  <si>
    <t>@lbarreral</t>
  </si>
  <si>
    <t>http://twitter.com/lbarreral/status/1112828528326840321</t>
  </si>
  <si>
    <t>April 01, 2019 at 04:26PM</t>
  </si>
  <si>
    <t>@radio_santarosa</t>
  </si>
  <si>
    <t>http://twitter.com/radio_santarosa/status/1112828583179898880</t>
  </si>
  <si>
    <t>@SODOMCO</t>
  </si>
  <si>
    <t>http://twitter.com/SODOMCO/status/1112828613806706690</t>
  </si>
  <si>
    <t>http://twitter.com/apterrones/status/1112828619838115840</t>
  </si>
  <si>
    <t>http://twitter.com/InfostellePeru/status/1112828852374573056</t>
  </si>
  <si>
    <t>April 01, 2019 at 04:27PM</t>
  </si>
  <si>
    <t>@Elisa11E</t>
  </si>
  <si>
    <t>http://twitter.com/Elisa11E/status/1112828984499171329</t>
  </si>
  <si>
    <t>@Alicia94784200</t>
  </si>
  <si>
    <t>http://twitter.com/Alicia94784200/status/1112830462966292482</t>
  </si>
  <si>
    <t>April 01, 2019 at 04:33PM</t>
  </si>
  <si>
    <t>@elgasnoticias</t>
  </si>
  <si>
    <t>http://twitter.com/elgasnoticias/status/1112830524291203077</t>
  </si>
  <si>
    <t>April 01, 2019 at 04:34PM</t>
  </si>
  <si>
    <t>http://twitter.com/elgasnoticias/status/1112830581027627012</t>
  </si>
  <si>
    <t>@delro3000</t>
  </si>
  <si>
    <t>http://twitter.com/delro3000/status/1112830909437415431</t>
  </si>
  <si>
    <t>April 01, 2019 at 04:35PM</t>
  </si>
  <si>
    <t>@CrisisHasArisen</t>
  </si>
  <si>
    <t>http://twitter.com/CrisisHasArisen/status/1112830928886419463</t>
  </si>
  <si>
    <t>@AlfonsodlTorre</t>
  </si>
  <si>
    <t>http://twitter.com/AlfonsodlTorre/status/1112831075418558467</t>
  </si>
  <si>
    <t>April 01, 2019 at 04:36PM</t>
  </si>
  <si>
    <t>@Inka_Awki_Capac</t>
  </si>
  <si>
    <t>http://twitter.com/Inka_Awki_Capac/status/1112831077847130112</t>
  </si>
  <si>
    <t>@SoniaBermudezL</t>
  </si>
  <si>
    <t>http://twitter.com/SoniaBermudezL/status/1112831105902604289</t>
  </si>
  <si>
    <t>@berafaelalvarez</t>
  </si>
  <si>
    <t>http://twitter.com/berafaelalvarez/status/1112831210177347585</t>
  </si>
  <si>
    <t>@HUGOCAM01369992</t>
  </si>
  <si>
    <t>http://twitter.com/HUGOCAM01369992/status/1112831298689794049</t>
  </si>
  <si>
    <t>April 01, 2019 at 04:37PM</t>
  </si>
  <si>
    <t>@maryju333</t>
  </si>
  <si>
    <t>http://twitter.com/maryju333/status/1112831653238460418</t>
  </si>
  <si>
    <t>April 01, 2019 at 04:38PM</t>
  </si>
  <si>
    <t>@miquelmarin</t>
  </si>
  <si>
    <t>http://twitter.com/miquelmarin/status/1112831776433606656</t>
  </si>
  <si>
    <t>April 01, 2019 at 04:39PM</t>
  </si>
  <si>
    <t>@Marias76</t>
  </si>
  <si>
    <t>http://twitter.com/Marias76/status/1112834977035685888</t>
  </si>
  <si>
    <t>April 01, 2019 at 04:51PM</t>
  </si>
  <si>
    <t>http://twitter.com/Vogue1913/status/1112835099878440965</t>
  </si>
  <si>
    <t>April 01, 2019 at 04:52PM</t>
  </si>
  <si>
    <t>@cafecitoyazul</t>
  </si>
  <si>
    <t>http://twitter.com/cafecitoyazul/status/1112835132535312384</t>
  </si>
  <si>
    <t>@sonisope</t>
  </si>
  <si>
    <t>http://twitter.com/sonisope/status/1112835134980571137</t>
  </si>
  <si>
    <t>@Mery2005E</t>
  </si>
  <si>
    <t>http://twitter.com/Mery2005E/status/1112835577152499712</t>
  </si>
  <si>
    <t>April 01, 2019 at 04:54PM</t>
  </si>
  <si>
    <t>@FedericoPFE</t>
  </si>
  <si>
    <t>http://twitter.com/FedericoPFE/status/1112835819876872194</t>
  </si>
  <si>
    <t>April 01, 2019 at 04:55PM</t>
  </si>
  <si>
    <t>@Gioanna30536597</t>
  </si>
  <si>
    <t>http://twitter.com/Gioanna30536597/status/1112835858552504320</t>
  </si>
  <si>
    <t>@raffa0401</t>
  </si>
  <si>
    <t>http://twitter.com/raffa0401/status/1112835934704291845</t>
  </si>
  <si>
    <t>http://twitter.com/InfostellePeru/status/1112835968510447621</t>
  </si>
  <si>
    <t>@garciacg17</t>
  </si>
  <si>
    <t>http://twitter.com/garciacg17/status/1112836384774152192</t>
  </si>
  <si>
    <t>April 01, 2019 at 04:57PM</t>
  </si>
  <si>
    <t>http://twitter.com/InfostellePeru/status/1112836387085148161</t>
  </si>
  <si>
    <t>http://twitter.com/LiliaMati/status/1112836535655776257</t>
  </si>
  <si>
    <t>April 01, 2019 at 04:58PM</t>
  </si>
  <si>
    <t>http://twitter.com/PFranciscana/status/1112836623677513728</t>
  </si>
  <si>
    <t>@prensaelbarrio</t>
  </si>
  <si>
    <t>http://twitter.com/prensaelbarrio/status/1112836737225646081</t>
  </si>
  <si>
    <t>http://twitter.com/miquelmarin/status/1112837773373947904</t>
  </si>
  <si>
    <t>April 01, 2019 at 05:02PM</t>
  </si>
  <si>
    <t>@TimothyWray4</t>
  </si>
  <si>
    <t>http://twitter.com/TimothyWray4/status/1112838207941558272</t>
  </si>
  <si>
    <t>April 01, 2019 at 05:04PM</t>
  </si>
  <si>
    <t>@alfatrionn</t>
  </si>
  <si>
    <t>http://twitter.com/alfatrionn/status/1112838252782813187</t>
  </si>
  <si>
    <t>@percenteno</t>
  </si>
  <si>
    <t>http://twitter.com/percenteno/status/1112838441270738944</t>
  </si>
  <si>
    <t>April 01, 2019 at 05:05PM</t>
  </si>
  <si>
    <t>@Huamanigrij2</t>
  </si>
  <si>
    <t>http://twitter.com/Huamanigrij2/status/1112838815792586752</t>
  </si>
  <si>
    <t>April 01, 2019 at 05:07PM</t>
  </si>
  <si>
    <t>@FernandoJGil</t>
  </si>
  <si>
    <t>http://twitter.com/FernandoJGil/status/1112838938044006407</t>
  </si>
  <si>
    <t>@cmongesalgado</t>
  </si>
  <si>
    <t>http://twitter.com/cmongesalgado/status/1112838955362340867</t>
  </si>
  <si>
    <t>@ISRAELQUIROZI</t>
  </si>
  <si>
    <t>http://twitter.com/ISRAELQUIROZI/status/1112839188343214081</t>
  </si>
  <si>
    <t>April 01, 2019 at 05:08PM</t>
  </si>
  <si>
    <t>@Ricardo42390341</t>
  </si>
  <si>
    <t>http://twitter.com/Ricardo42390341/status/1112839259558309888</t>
  </si>
  <si>
    <t>@roymanuel3</t>
  </si>
  <si>
    <t>http://twitter.com/roymanuel3/status/1112840069428252672</t>
  </si>
  <si>
    <t>April 01, 2019 at 05:12PM</t>
  </si>
  <si>
    <t>@jesiquina</t>
  </si>
  <si>
    <t>http://twitter.com/jesiquina/status/1112840211518484480</t>
  </si>
  <si>
    <t>@Jaime211264</t>
  </si>
  <si>
    <t>http://twitter.com/Jaime211264/status/1112840345677692929</t>
  </si>
  <si>
    <t>April 01, 2019 at 05:13PM</t>
  </si>
  <si>
    <t>@Floyseve</t>
  </si>
  <si>
    <t>http://twitter.com/Floyseve/status/1112841644909449217</t>
  </si>
  <si>
    <t>April 01, 2019 at 05:18PM</t>
  </si>
  <si>
    <t>@jamescat0102</t>
  </si>
  <si>
    <t>http://twitter.com/jamescat0102/status/1112841737599320065</t>
  </si>
  <si>
    <t>@Antonio64332896</t>
  </si>
  <si>
    <t>http://twitter.com/Antonio64332896/status/1112841763650260992</t>
  </si>
  <si>
    <t>@QHaRi</t>
  </si>
  <si>
    <t>http://twitter.com/QHaRi/status/1112842228983005184</t>
  </si>
  <si>
    <t>April 01, 2019 at 05:20PM</t>
  </si>
  <si>
    <t>@cumetylra</t>
  </si>
  <si>
    <t>http://twitter.com/cumetylra/status/1112842463151046657</t>
  </si>
  <si>
    <t>April 01, 2019 at 05:21PM</t>
  </si>
  <si>
    <t>@HenryRa28091268</t>
  </si>
  <si>
    <t>http://twitter.com/HenryRa28091268/status/1112842594277576706</t>
  </si>
  <si>
    <t>April 01, 2019 at 05:22PM</t>
  </si>
  <si>
    <t>@luisfranco_2014</t>
  </si>
  <si>
    <t>http://twitter.com/luisfranco_2014/status/1112842919969521665</t>
  </si>
  <si>
    <t>April 01, 2019 at 05:23PM</t>
  </si>
  <si>
    <t>@MarioPa56744878</t>
  </si>
  <si>
    <t>http://twitter.com/MarioPa56744878/status/1112843091105538050</t>
  </si>
  <si>
    <t>April 01, 2019 at 05:24PM</t>
  </si>
  <si>
    <t>@lecorbucier6838</t>
  </si>
  <si>
    <t>http://twitter.com/lecorbucier6838/status/1112843652102082560</t>
  </si>
  <si>
    <t>April 01, 2019 at 05:26PM</t>
  </si>
  <si>
    <t>@felipachi58</t>
  </si>
  <si>
    <t>http://twitter.com/felipachi58/status/1112843778124124160</t>
  </si>
  <si>
    <t>@joico42</t>
  </si>
  <si>
    <t>http://twitter.com/joico42/status/1112843791034171396</t>
  </si>
  <si>
    <t>@AceSalaverry</t>
  </si>
  <si>
    <t>http://twitter.com/AceSalaverry/status/1112844384419155973</t>
  </si>
  <si>
    <t>April 01, 2019 at 05:29PM</t>
  </si>
  <si>
    <t>http://twitter.com/Paramount_miss/status/1112844390500876290</t>
  </si>
  <si>
    <t>http://twitter.com/leo_valra/status/1112848291056832512</t>
  </si>
  <si>
    <t>April 01, 2019 at 05:44PM</t>
  </si>
  <si>
    <t>http://twitter.com/Kalin_gl/status/1112848328524480512</t>
  </si>
  <si>
    <t>@Rebeca060670</t>
  </si>
  <si>
    <t>http://twitter.com/Rebeca060670/status/1112848420799176704</t>
  </si>
  <si>
    <t>April 01, 2019 at 05:45PM</t>
  </si>
  <si>
    <t>@injusticia100</t>
  </si>
  <si>
    <t>http://twitter.com/injusticia100/status/1112848555977400321</t>
  </si>
  <si>
    <t>http://twitter.com/AceSalaverry/status/1112848595873644545</t>
  </si>
  <si>
    <t>@jimmy703243001</t>
  </si>
  <si>
    <t>http://twitter.com/jimmy703243001/status/1112848672033628161</t>
  </si>
  <si>
    <t>April 01, 2019 at 05:46PM</t>
  </si>
  <si>
    <t>@FITOWORLD</t>
  </si>
  <si>
    <t>http://twitter.com/FITOWORLD/status/1112848862027374592</t>
  </si>
  <si>
    <t>@veroca327</t>
  </si>
  <si>
    <t>http://twitter.com/veroca327/status/1112849036267196417</t>
  </si>
  <si>
    <t>April 01, 2019 at 05:47PM</t>
  </si>
  <si>
    <t>@aleonca</t>
  </si>
  <si>
    <t>http://twitter.com/aleonca/status/1112849134632005632</t>
  </si>
  <si>
    <t>April 01, 2019 at 05:48PM</t>
  </si>
  <si>
    <t>@rayfull6</t>
  </si>
  <si>
    <t>http://twitter.com/rayfull6/status/1112849243650383873</t>
  </si>
  <si>
    <t>http://twitter.com/vigilfran/status/1112849307777032195</t>
  </si>
  <si>
    <t>@OZapat1</t>
  </si>
  <si>
    <t>http://twitter.com/OZapat1/status/1112849328933138432</t>
  </si>
  <si>
    <t>@pbustamantep</t>
  </si>
  <si>
    <t>http://twitter.com/pbustamantep/status/1112849365868179456</t>
  </si>
  <si>
    <t>http://twitter.com/CrisisHasArisen/status/1112850567284621312</t>
  </si>
  <si>
    <t>April 01, 2019 at 05:53PM</t>
  </si>
  <si>
    <t>@pachitadv</t>
  </si>
  <si>
    <t>http://twitter.com/pachitadv/status/1112850610645291009</t>
  </si>
  <si>
    <t>@WalterWdbd</t>
  </si>
  <si>
    <t>http://twitter.com/WalterWdbd/status/1112850691914170368</t>
  </si>
  <si>
    <t>April 01, 2019 at 05:54PM</t>
  </si>
  <si>
    <t>@Steppenwolf90</t>
  </si>
  <si>
    <t>http://twitter.com/Steppenwolf90/status/1112850868041388038</t>
  </si>
  <si>
    <t>@JLlacsahuacheG</t>
  </si>
  <si>
    <t>http://twitter.com/JLlacsahuacheG/status/1112850878933991424</t>
  </si>
  <si>
    <t>http://twitter.com/AlonzSilva/status/1112851029165527048</t>
  </si>
  <si>
    <t>April 01, 2019 at 05:55PM</t>
  </si>
  <si>
    <t>@Jazzyplus</t>
  </si>
  <si>
    <t>http://twitter.com/Jazzyplus/status/1112851114112815104</t>
  </si>
  <si>
    <t>@RSD_CHIMBOTE</t>
  </si>
  <si>
    <t>http://twitter.com/RSD_CHIMBOTE/status/1112851132458647553</t>
  </si>
  <si>
    <t>April 01, 2019 at 05:56PM</t>
  </si>
  <si>
    <t>@pattyjcordova</t>
  </si>
  <si>
    <t>http://twitter.com/pattyjcordova/status/1112851139987496961</t>
  </si>
  <si>
    <t>http://twitter.com/Paramount_miss/status/1112851207608066048</t>
  </si>
  <si>
    <t>@contracaidas</t>
  </si>
  <si>
    <t>http://twitter.com/contracaidas/status/1112851216424427523</t>
  </si>
  <si>
    <t>http://twitter.com/Paramount_miss/status/1112851234430566401</t>
  </si>
  <si>
    <t>@SoniMili3001</t>
  </si>
  <si>
    <t>http://twitter.com/SoniMili3001/status/1112851267917922304</t>
  </si>
  <si>
    <t>http://twitter.com/esaguz/status/1112851276881121281</t>
  </si>
  <si>
    <t>@MovimientoM4</t>
  </si>
  <si>
    <t>http://twitter.com/MovimientoM4/status/1112852360852901888</t>
  </si>
  <si>
    <t>April 01, 2019 at 06:00PM</t>
  </si>
  <si>
    <t>@Galo45751869</t>
  </si>
  <si>
    <t>http://twitter.com/Galo45751869/status/1112852452921966593</t>
  </si>
  <si>
    <t>April 01, 2019 at 06:01PM</t>
  </si>
  <si>
    <t>@Belasantos31</t>
  </si>
  <si>
    <t>http://twitter.com/Belasantos31/status/1112852481111941120</t>
  </si>
  <si>
    <t>http://twitter.com/trileniumsac/status/1112852514104336385</t>
  </si>
  <si>
    <t>@PinchiPinchi20</t>
  </si>
  <si>
    <t>http://twitter.com/PinchiPinchi20/status/1112852592059715586</t>
  </si>
  <si>
    <t>http://twitter.com/PFranciscana/status/1112853725670985728</t>
  </si>
  <si>
    <t>April 01, 2019 at 06:06PM</t>
  </si>
  <si>
    <t>http://twitter.com/FedericoPFE/status/1112853869569171456</t>
  </si>
  <si>
    <t>@BernaolaMaria</t>
  </si>
  <si>
    <t>http://twitter.com/BernaolaMaria/status/1112854474589159425</t>
  </si>
  <si>
    <t>April 01, 2019 at 06:09PM</t>
  </si>
  <si>
    <t>@xamarino</t>
  </si>
  <si>
    <t>http://twitter.com/xamarino/status/1112854895789527041</t>
  </si>
  <si>
    <t>April 01, 2019 at 06:10PM</t>
  </si>
  <si>
    <t>@medjo301</t>
  </si>
  <si>
    <t>http://twitter.com/medjo301/status/1112855398581760000</t>
  </si>
  <si>
    <t>April 01, 2019 at 06:12PM</t>
  </si>
  <si>
    <t>http://twitter.com/HUGOCAM01369992/status/1112855486364303360</t>
  </si>
  <si>
    <t>April 01, 2019 at 06:13PM</t>
  </si>
  <si>
    <t>@AmazoniaSur</t>
  </si>
  <si>
    <t>http://twitter.com/AmazoniaSur/status/1112855692417945601</t>
  </si>
  <si>
    <t>April 01, 2019 at 06:14PM</t>
  </si>
  <si>
    <t>@20101529G</t>
  </si>
  <si>
    <t>http://twitter.com/20101529G/status/1112856093854744577</t>
  </si>
  <si>
    <t>April 01, 2019 at 06:15PM</t>
  </si>
  <si>
    <t>http://twitter.com/pedrofrancke/status/1112856241586532354</t>
  </si>
  <si>
    <t>April 01, 2019 at 06:16PM</t>
  </si>
  <si>
    <t>@Miguelochave1</t>
  </si>
  <si>
    <t>http://twitter.com/Miguelochave1/status/1112858867510272000</t>
  </si>
  <si>
    <t>April 01, 2019 at 06:26PM</t>
  </si>
  <si>
    <t>http://twitter.com/RConSentido/status/1112859057327570945</t>
  </si>
  <si>
    <t>April 01, 2019 at 06:27PM</t>
  </si>
  <si>
    <t>@parwasisa</t>
  </si>
  <si>
    <t>http://twitter.com/parwasisa/status/1112859163925909504</t>
  </si>
  <si>
    <t>@LUZXKAZ</t>
  </si>
  <si>
    <t>http://twitter.com/LUZXKAZ/status/1112859187091005441</t>
  </si>
  <si>
    <t>April 01, 2019 at 06:28PM</t>
  </si>
  <si>
    <t>@arrobadeusz</t>
  </si>
  <si>
    <t>http://twitter.com/arrobadeusz/status/1112859232595009536</t>
  </si>
  <si>
    <t>@ErnestoCabralM</t>
  </si>
  <si>
    <t>http://twitter.com/ErnestoCabralM/status/1112859361930608641</t>
  </si>
  <si>
    <t>@EmilianoRumiche</t>
  </si>
  <si>
    <t>http://twitter.com/EmilianoRumiche/status/1112859740227428352</t>
  </si>
  <si>
    <t>April 01, 2019 at 06:30PM</t>
  </si>
  <si>
    <t>@sinthiacavero</t>
  </si>
  <si>
    <t>http://twitter.com/sinthiacavero/status/1112860141110652928</t>
  </si>
  <si>
    <t>April 01, 2019 at 06:31PM</t>
  </si>
  <si>
    <t>@denisantinori</t>
  </si>
  <si>
    <t>http://twitter.com/denisantinori/status/1112860401472028673</t>
  </si>
  <si>
    <t>April 01, 2019 at 06:32PM</t>
  </si>
  <si>
    <t>http://twitter.com/rralbert/status/1112860672004685824</t>
  </si>
  <si>
    <t>April 01, 2019 at 06:33PM</t>
  </si>
  <si>
    <t>@PedroMarbell</t>
  </si>
  <si>
    <t>http://twitter.com/PedroMarbell/status/1112860701029220352</t>
  </si>
  <si>
    <t>April 01, 2019 at 06:34PM</t>
  </si>
  <si>
    <t>@nellylun</t>
  </si>
  <si>
    <t>http://twitter.com/nellylun/status/1112860848459055104</t>
  </si>
  <si>
    <t>http://twitter.com/VerdadDigitalsv/status/1112860960224624641</t>
  </si>
  <si>
    <t>April 01, 2019 at 06:35PM</t>
  </si>
  <si>
    <t>@malita0550</t>
  </si>
  <si>
    <t>http://twitter.com/malita0550/status/1112861015040016384</t>
  </si>
  <si>
    <t>@Latina_pe</t>
  </si>
  <si>
    <t>http://twitter.com/Latina_pe/status/1112863530074755074</t>
  </si>
  <si>
    <t>April 01, 2019 at 06:45PM</t>
  </si>
  <si>
    <t>@ImSebastianD</t>
  </si>
  <si>
    <t>http://twitter.com/ImSebastianD/status/1112863543525867521</t>
  </si>
  <si>
    <t>http://twitter.com/smestanzaa/status/1112863648605769728</t>
  </si>
  <si>
    <t>@nicieganimuda</t>
  </si>
  <si>
    <t>http://twitter.com/nicieganimuda/status/1112863837705957381</t>
  </si>
  <si>
    <t>April 01, 2019 at 06:46PM</t>
  </si>
  <si>
    <t>http://twitter.com/Paramount_miss/status/1112864047500857349</t>
  </si>
  <si>
    <t>April 01, 2019 at 06:47PM</t>
  </si>
  <si>
    <t>@franlandauro1</t>
  </si>
  <si>
    <t>http://twitter.com/franlandauro1/status/1112864100034494464</t>
  </si>
  <si>
    <t>@miguel957</t>
  </si>
  <si>
    <t>http://twitter.com/miguel957/status/1112864278615351296</t>
  </si>
  <si>
    <t>April 01, 2019 at 06:48PM</t>
  </si>
  <si>
    <t>@wizagp</t>
  </si>
  <si>
    <t>http://twitter.com/wizagp/status/1112864344067457025</t>
  </si>
  <si>
    <t>@canalN_</t>
  </si>
  <si>
    <t>http://twitter.com/canalN_/status/1112864481586102272</t>
  </si>
  <si>
    <t>April 01, 2019 at 06:49PM</t>
  </si>
  <si>
    <t>http://twitter.com/willyvmr/status/1112864586653462529</t>
  </si>
  <si>
    <t>@rgalarreta</t>
  </si>
  <si>
    <t>http://twitter.com/rgalarreta/status/1112864653976236032</t>
  </si>
  <si>
    <t>@PersiCristal400</t>
  </si>
  <si>
    <t>http://twitter.com/PersiCristal400/status/1112865815949447169</t>
  </si>
  <si>
    <t>April 01, 2019 at 06:54PM</t>
  </si>
  <si>
    <t>@Karlarfm</t>
  </si>
  <si>
    <t>http://twitter.com/Karlarfm/status/1112868388261462016</t>
  </si>
  <si>
    <t>April 01, 2019 at 07:04PM</t>
  </si>
  <si>
    <t>@DeltaMdelta</t>
  </si>
  <si>
    <t>http://twitter.com/DeltaMdelta/status/1112868428145201152</t>
  </si>
  <si>
    <t>@alvarosalas2006</t>
  </si>
  <si>
    <t>http://twitter.com/alvarosalas2006/status/1112868526883303430</t>
  </si>
  <si>
    <t>April 01, 2019 at 07:05PM</t>
  </si>
  <si>
    <t>http://twitter.com/Samanamu/status/1112868564166430722</t>
  </si>
  <si>
    <t>@jjoya10</t>
  </si>
  <si>
    <t>http://twitter.com/jjoya10/status/1112868568964780033</t>
  </si>
  <si>
    <t>http://twitter.com/rralbert/status/1112868594193448960</t>
  </si>
  <si>
    <t>@Larissa33848195</t>
  </si>
  <si>
    <t>http://twitter.com/Larissa33848195/status/1112868713085239296</t>
  </si>
  <si>
    <t>@nathiguedess</t>
  </si>
  <si>
    <t>http://twitter.com/nathiguedess/status/1112868947987230720</t>
  </si>
  <si>
    <t>April 01, 2019 at 07:06PM</t>
  </si>
  <si>
    <t>@Helios3880</t>
  </si>
  <si>
    <t>http://twitter.com/Helios3880/status/1112869158398672897</t>
  </si>
  <si>
    <t>April 01, 2019 at 07:07PM</t>
  </si>
  <si>
    <t>@uvk_jg</t>
  </si>
  <si>
    <t>http://twitter.com/uvk_jg/status/1112869381107826689</t>
  </si>
  <si>
    <t>April 01, 2019 at 07:08PM</t>
  </si>
  <si>
    <t>@nelly19070419</t>
  </si>
  <si>
    <t>http://twitter.com/nelly19070419/status/1112869816195563520</t>
  </si>
  <si>
    <t>April 01, 2019 at 07:10PM</t>
  </si>
  <si>
    <t>@juju_lyana</t>
  </si>
  <si>
    <t>http://twitter.com/juju_lyana/status/1112871960034332672</t>
  </si>
  <si>
    <t>April 01, 2019 at 07:18PM</t>
  </si>
  <si>
    <t>@JKatya03</t>
  </si>
  <si>
    <t>http://twitter.com/JKatya03/status/1112872018821697538</t>
  </si>
  <si>
    <t>April 01, 2019 at 07:19PM</t>
  </si>
  <si>
    <t>http://twitter.com/miguel957/status/1112873102357225473</t>
  </si>
  <si>
    <t>April 01, 2019 at 07:23PM</t>
  </si>
  <si>
    <t>@Cesarcanales093</t>
  </si>
  <si>
    <t>http://twitter.com/Cesarcanales093/status/1112873222989438976</t>
  </si>
  <si>
    <t>http://twitter.com/canalN_/status/1112873364824182784</t>
  </si>
  <si>
    <t>April 01, 2019 at 07:24PM</t>
  </si>
  <si>
    <t>@TaliaLVE</t>
  </si>
  <si>
    <t>http://twitter.com/TaliaLVE/status/1112873790684450817</t>
  </si>
  <si>
    <t>April 01, 2019 at 07:26PM</t>
  </si>
  <si>
    <t>@luisescarreola</t>
  </si>
  <si>
    <t>http://twitter.com/luisescarreola/status/1112873799702274048</t>
  </si>
  <si>
    <t>@Cesar81357014</t>
  </si>
  <si>
    <t>http://twitter.com/Cesar81357014/status/1112873831088226310</t>
  </si>
  <si>
    <t>@jkjmalways</t>
  </si>
  <si>
    <t>http://twitter.com/jkjmalways/status/1112873952014163968</t>
  </si>
  <si>
    <t>http://twitter.com/malita0550/status/1112874080833814528</t>
  </si>
  <si>
    <t>April 01, 2019 at 07:27PM</t>
  </si>
  <si>
    <t>@RalfHuertas</t>
  </si>
  <si>
    <t>http://twitter.com/RalfHuertas/status/1112874189877362690</t>
  </si>
  <si>
    <t>@ArturoReyes_C</t>
  </si>
  <si>
    <t>http://twitter.com/ArturoReyes_C/status/1112874385793323009</t>
  </si>
  <si>
    <t>April 01, 2019 at 07:28PM</t>
  </si>
  <si>
    <t>@oscarda45</t>
  </si>
  <si>
    <t>http://twitter.com/oscarda45/status/1112874401299685377</t>
  </si>
  <si>
    <t>http://twitter.com/apterrones/status/1112876956511436800</t>
  </si>
  <si>
    <t>April 01, 2019 at 07:38PM</t>
  </si>
  <si>
    <t>@vrojas12</t>
  </si>
  <si>
    <t>http://twitter.com/vrojas12/status/1112876972923736065</t>
  </si>
  <si>
    <t>@GuillermoMu99</t>
  </si>
  <si>
    <t>http://twitter.com/GuillermoMu99/status/1112876977432743936</t>
  </si>
  <si>
    <t>@everreynosoh</t>
  </si>
  <si>
    <t>http://twitter.com/everreynosoh/status/1112877110048292864</t>
  </si>
  <si>
    <t>April 01, 2019 at 07:39PM</t>
  </si>
  <si>
    <t>@ComoEnLaCombi</t>
  </si>
  <si>
    <t>http://twitter.com/ComoEnLaCombi/status/1112877682755289089</t>
  </si>
  <si>
    <t>April 01, 2019 at 07:41PM</t>
  </si>
  <si>
    <t>http://twitter.com/pintora67/status/1112877729010106368</t>
  </si>
  <si>
    <t>@karina37836221</t>
  </si>
  <si>
    <t>http://twitter.com/karina37836221/status/1112877860509966337</t>
  </si>
  <si>
    <t>April 01, 2019 at 07:42PM</t>
  </si>
  <si>
    <t>@vasaldor</t>
  </si>
  <si>
    <t>http://twitter.com/vasaldor/status/1112877874107879425</t>
  </si>
  <si>
    <t>@LDavelouis</t>
  </si>
  <si>
    <t>http://twitter.com/LDavelouis/status/1112878390816763904</t>
  </si>
  <si>
    <t>April 01, 2019 at 07:44PM</t>
  </si>
  <si>
    <t>http://twitter.com/wizagp/status/1112878394541260801</t>
  </si>
  <si>
    <t>http://twitter.com/peru21noticias/status/1112878423301636096</t>
  </si>
  <si>
    <t>@eusebeias</t>
  </si>
  <si>
    <t>http://twitter.com/eusebeias/status/1112878424182452224</t>
  </si>
  <si>
    <t>@Pectok</t>
  </si>
  <si>
    <t>http://twitter.com/Pectok/status/1112878429953802241</t>
  </si>
  <si>
    <t>@CarlosOrdonez11</t>
  </si>
  <si>
    <t>http://twitter.com/CarlosOrdonez11/status/1112878582483877888</t>
  </si>
  <si>
    <t>April 01, 2019 at 07:45PM</t>
  </si>
  <si>
    <t>http://twitter.com/canalN_/status/1112878657633124352</t>
  </si>
  <si>
    <t>@aldov67</t>
  </si>
  <si>
    <t>http://twitter.com/aldov67/status/1112880930606235650</t>
  </si>
  <si>
    <t>April 01, 2019 at 07:54PM</t>
  </si>
  <si>
    <t>@pattymoka</t>
  </si>
  <si>
    <t>http://twitter.com/pattymoka/status/1112881054224969728</t>
  </si>
  <si>
    <t>@tabo_sosa</t>
  </si>
  <si>
    <t>http://twitter.com/tabo_sosa/status/1112881096922943489</t>
  </si>
  <si>
    <t>April 01, 2019 at 07:55PM</t>
  </si>
  <si>
    <t>http://twitter.com/aldov67/status/1112881105861046272</t>
  </si>
  <si>
    <t>@JovemImortal</t>
  </si>
  <si>
    <t>http://twitter.com/JovemImortal/status/1112881560393580549</t>
  </si>
  <si>
    <t>April 01, 2019 at 07:56PM</t>
  </si>
  <si>
    <t>@0andressinha</t>
  </si>
  <si>
    <t>http://twitter.com/0andressinha/status/1112881663074336769</t>
  </si>
  <si>
    <t>April 01, 2019 at 07:57PM</t>
  </si>
  <si>
    <t>@Gustavo61818090</t>
  </si>
  <si>
    <t>http://twitter.com/Gustavo61818090/status/1112881968474193920</t>
  </si>
  <si>
    <t>April 01, 2019 at 07:58PM</t>
  </si>
  <si>
    <t>http://twitter.com/Pectok/status/1112882072476176389</t>
  </si>
  <si>
    <t>@JorgeEv27674587</t>
  </si>
  <si>
    <t>http://twitter.com/JorgeEv27674587/status/1112882165384015872</t>
  </si>
  <si>
    <t>April 01, 2019 at 07:59PM</t>
  </si>
  <si>
    <t>@Jhon38733085</t>
  </si>
  <si>
    <t>http://twitter.com/Jhon38733085/status/1112882359286857733</t>
  </si>
  <si>
    <t>April 01, 2019 at 08:00PM</t>
  </si>
  <si>
    <t>http://twitter.com/aldov67/status/1112882394615480321</t>
  </si>
  <si>
    <t>http://twitter.com/jofe189/status/1112882454539501568</t>
  </si>
  <si>
    <t>@EduJeduardo</t>
  </si>
  <si>
    <t>http://twitter.com/EduJeduardo/status/1112882872195612674</t>
  </si>
  <si>
    <t>April 01, 2019 at 08:02PM</t>
  </si>
  <si>
    <t>@luisrp1101</t>
  </si>
  <si>
    <t>http://twitter.com/luisrp1101/status/1112883100005158912</t>
  </si>
  <si>
    <t>April 01, 2019 at 08:03PM</t>
  </si>
  <si>
    <t>@aruizpdc</t>
  </si>
  <si>
    <t>http://twitter.com/aruizpdc/status/1112884880046583808</t>
  </si>
  <si>
    <t>April 01, 2019 at 08:10PM</t>
  </si>
  <si>
    <t>@carmensalastor3</t>
  </si>
  <si>
    <t>http://twitter.com/carmensalastor3/status/1112885150340337666</t>
  </si>
  <si>
    <t>April 01, 2019 at 08:11PM</t>
  </si>
  <si>
    <t>@kamajara</t>
  </si>
  <si>
    <t>http://twitter.com/kamajara/status/1112885174251876352</t>
  </si>
  <si>
    <t>@shindobadw</t>
  </si>
  <si>
    <t>http://twitter.com/shindobadw/status/1112885660875149312</t>
  </si>
  <si>
    <t>April 01, 2019 at 08:13PM</t>
  </si>
  <si>
    <t>@Joguipas1</t>
  </si>
  <si>
    <t>http://twitter.com/Joguipas1/status/1112886115181182976</t>
  </si>
  <si>
    <t>April 01, 2019 at 08:15PM</t>
  </si>
  <si>
    <t>@jonas_jwc</t>
  </si>
  <si>
    <t>http://twitter.com/jonas_jwc/status/1112887110166614018</t>
  </si>
  <si>
    <t>April 01, 2019 at 08:18PM</t>
  </si>
  <si>
    <t>@the_lips</t>
  </si>
  <si>
    <t>http://twitter.com/the_lips/status/1112887339213357057</t>
  </si>
  <si>
    <t>April 01, 2019 at 08:19PM</t>
  </si>
  <si>
    <t>@harlangar</t>
  </si>
  <si>
    <t>http://twitter.com/harlangar/status/1112887358280658944</t>
  </si>
  <si>
    <t>@diariocorreo</t>
  </si>
  <si>
    <t>http://twitter.com/diariocorreo/status/1112887371018719233</t>
  </si>
  <si>
    <t>April 01, 2019 at 08:20PM</t>
  </si>
  <si>
    <t>http://twitter.com/Kalin_gl/status/1112887428891770880</t>
  </si>
  <si>
    <t>http://twitter.com/Jorgedelama/status/1112887491957321733</t>
  </si>
  <si>
    <t>@SadithLopezRios</t>
  </si>
  <si>
    <t>http://twitter.com/SadithLopezRios/status/1112887517425123328</t>
  </si>
  <si>
    <t>@dorigon__</t>
  </si>
  <si>
    <t>http://twitter.com/dorigon__/status/1112887529584381952</t>
  </si>
  <si>
    <t>http://twitter.com/zicozocialvol2/status/1112887724070129665</t>
  </si>
  <si>
    <t>April 01, 2019 at 08:21PM</t>
  </si>
  <si>
    <t>@HacerPeruPe</t>
  </si>
  <si>
    <t>http://twitter.com/HacerPeruPe/status/1112889444363776010</t>
  </si>
  <si>
    <t>April 01, 2019 at 08:28PM</t>
  </si>
  <si>
    <t>@raulrz2015</t>
  </si>
  <si>
    <t>http://twitter.com/raulrz2015/status/1112889450554646529</t>
  </si>
  <si>
    <t>@Leslie1723</t>
  </si>
  <si>
    <t>http://twitter.com/Leslie1723/status/1112889614816239626</t>
  </si>
  <si>
    <t>http://twitter.com/rgalarreta/status/1112889848480690177</t>
  </si>
  <si>
    <t>April 01, 2019 at 08:29PM</t>
  </si>
  <si>
    <t>@AsteCastillo</t>
  </si>
  <si>
    <t>http://twitter.com/AsteCastillo/status/1112889996565008384</t>
  </si>
  <si>
    <t>April 01, 2019 at 08:30PM</t>
  </si>
  <si>
    <t>@cristian_reda</t>
  </si>
  <si>
    <t>http://twitter.com/cristian_reda/status/1112890288744353793</t>
  </si>
  <si>
    <t>April 01, 2019 at 08:31PM</t>
  </si>
  <si>
    <t>@jsaldanacuba</t>
  </si>
  <si>
    <t>http://twitter.com/jsaldanacuba/status/1112890353311469569</t>
  </si>
  <si>
    <t>http://twitter.com/JorgeEv27674587/status/1112890584744644608</t>
  </si>
  <si>
    <t>April 01, 2019 at 08:32PM</t>
  </si>
  <si>
    <t>@kedelsg</t>
  </si>
  <si>
    <t>http://twitter.com/kedelsg/status/1112890620429942784</t>
  </si>
  <si>
    <t>@matuk</t>
  </si>
  <si>
    <t>http://twitter.com/matuk/status/1112890896679403520</t>
  </si>
  <si>
    <t>April 01, 2019 at 08:34PM</t>
  </si>
  <si>
    <t>@vvigilante</t>
  </si>
  <si>
    <t>http://twitter.com/vvigilante/status/1112890939389997057</t>
  </si>
  <si>
    <t>http://twitter.com/apterrones/status/1112891382341959681</t>
  </si>
  <si>
    <t>April 01, 2019 at 08:35PM</t>
  </si>
  <si>
    <t>@ContactoN_</t>
  </si>
  <si>
    <t>http://twitter.com/ContactoN_/status/1112891811255734272</t>
  </si>
  <si>
    <t>April 01, 2019 at 08:37PM</t>
  </si>
  <si>
    <t>http://twitter.com/LDavelouis/status/1112891850808016896</t>
  </si>
  <si>
    <t>@Tochyfranz</t>
  </si>
  <si>
    <t>http://twitter.com/Tochyfranz/status/1112892217050296320</t>
  </si>
  <si>
    <t>April 01, 2019 at 08:39PM</t>
  </si>
  <si>
    <t>@tequilasax</t>
  </si>
  <si>
    <t>http://twitter.com/tequilasax/status/1112892255751335941</t>
  </si>
  <si>
    <t>@r0bq</t>
  </si>
  <si>
    <t>http://twitter.com/r0bq/status/1112892566146613249</t>
  </si>
  <si>
    <t>April 01, 2019 at 08:40PM</t>
  </si>
  <si>
    <t>@soyrazuri</t>
  </si>
  <si>
    <t>http://twitter.com/soyrazuri/status/1112892824113090560</t>
  </si>
  <si>
    <t>April 01, 2019 at 08:41PM</t>
  </si>
  <si>
    <t>@oguillenp</t>
  </si>
  <si>
    <t>http://twitter.com/oguillenp/status/1112892915376951296</t>
  </si>
  <si>
    <t>April 01, 2019 at 08:42PM</t>
  </si>
  <si>
    <t>@DanielEdco</t>
  </si>
  <si>
    <t>http://twitter.com/DanielEdco/status/1112893044901273600</t>
  </si>
  <si>
    <t>http://twitter.com/harlangar/status/1112893049670197248</t>
  </si>
  <si>
    <t>@Mejalca</t>
  </si>
  <si>
    <t>http://twitter.com/Mejalca/status/1112893851893686272</t>
  </si>
  <si>
    <t>April 01, 2019 at 08:45PM</t>
  </si>
  <si>
    <t>@tonalva</t>
  </si>
  <si>
    <t>http://twitter.com/tonalva/status/1112893976472965121</t>
  </si>
  <si>
    <t>April 01, 2019 at 08:46PM</t>
  </si>
  <si>
    <t>@Eddy21Maggi</t>
  </si>
  <si>
    <t>http://twitter.com/Eddy21Maggi/status/1112894018940293121</t>
  </si>
  <si>
    <t>@BorisMujica</t>
  </si>
  <si>
    <t>http://twitter.com/BorisMujica/status/1112894180609716225</t>
  </si>
  <si>
    <t>April 01, 2019 at 08:47PM</t>
  </si>
  <si>
    <t>http://twitter.com/JorgeEv27674587/status/1112894347991703552</t>
  </si>
  <si>
    <t>@pamelavgonzales</t>
  </si>
  <si>
    <t>http://twitter.com/pamelavgonzales/status/1112894353234513920</t>
  </si>
  <si>
    <t>@Eugechif</t>
  </si>
  <si>
    <t>http://twitter.com/Eugechif/status/1112894910234025984</t>
  </si>
  <si>
    <t>April 01, 2019 at 08:49PM</t>
  </si>
  <si>
    <t>@Leodas13</t>
  </si>
  <si>
    <t>http://twitter.com/Leodas13/status/1112895302774685698</t>
  </si>
  <si>
    <t>April 01, 2019 at 08:51PM</t>
  </si>
  <si>
    <t>@Celis62</t>
  </si>
  <si>
    <t>http://twitter.com/Celis62/status/1112895434509488128</t>
  </si>
  <si>
    <t>April 01, 2019 at 08:52PM</t>
  </si>
  <si>
    <t>http://twitter.com/PaulaPizan/status/1112896325476118528</t>
  </si>
  <si>
    <t>April 01, 2019 at 08:55PM</t>
  </si>
  <si>
    <t>@RenranMza</t>
  </si>
  <si>
    <t>http://twitter.com/RenranMza/status/1112896519970193408</t>
  </si>
  <si>
    <t>April 01, 2019 at 08:56PM</t>
  </si>
  <si>
    <t>@nellywarmi</t>
  </si>
  <si>
    <t>http://twitter.com/nellywarmi/status/1112896928814170112</t>
  </si>
  <si>
    <t>April 01, 2019 at 08:57PM</t>
  </si>
  <si>
    <t>@Juanricky054</t>
  </si>
  <si>
    <t>http://twitter.com/Juanricky054/status/1112897309363326976</t>
  </si>
  <si>
    <t>April 01, 2019 at 08:59PM</t>
  </si>
  <si>
    <t>@AntonioChavezDz</t>
  </si>
  <si>
    <t>http://twitter.com/AntonioChavezDz/status/1112897430620651523</t>
  </si>
  <si>
    <t>@achbperu</t>
  </si>
  <si>
    <t>http://twitter.com/achbperu/status/1112897559364763648</t>
  </si>
  <si>
    <t>April 01, 2019 at 09:00PM</t>
  </si>
  <si>
    <t>@rospigli1</t>
  </si>
  <si>
    <t>http://twitter.com/rospigli1/status/1112897570739818496</t>
  </si>
  <si>
    <t>@CCabra157</t>
  </si>
  <si>
    <t>http://twitter.com/CCabra157/status/1112897766404079616</t>
  </si>
  <si>
    <t>April 01, 2019 at 09:01PM</t>
  </si>
  <si>
    <t>@90shannigan</t>
  </si>
  <si>
    <t>http://twitter.com/90shannigan/status/1112897798842867712</t>
  </si>
  <si>
    <t>@Cgerardochacon</t>
  </si>
  <si>
    <t>http://twitter.com/Cgerardochacon/status/1112898035351207936</t>
  </si>
  <si>
    <t>April 01, 2019 at 09:02PM</t>
  </si>
  <si>
    <t>@Dunia80165787</t>
  </si>
  <si>
    <t>http://twitter.com/Dunia80165787/status/1112898209825865729</t>
  </si>
  <si>
    <t>April 01, 2019 at 09:03PM</t>
  </si>
  <si>
    <t>@Estefany1490782</t>
  </si>
  <si>
    <t>http://twitter.com/Estefany1490782/status/1112900671639097344</t>
  </si>
  <si>
    <t>April 01, 2019 at 09:12PM</t>
  </si>
  <si>
    <t>@MarisolCovarru9</t>
  </si>
  <si>
    <t>http://twitter.com/MarisolCovarru9/status/1112901044529455108</t>
  </si>
  <si>
    <t>April 01, 2019 at 09:14PM</t>
  </si>
  <si>
    <t>@guimaraes2_</t>
  </si>
  <si>
    <t>http://twitter.com/guimaraes2_/status/1112901123382407168</t>
  </si>
  <si>
    <t>@betovf40</t>
  </si>
  <si>
    <t>http://twitter.com/betovf40/status/1112901190986186752</t>
  </si>
  <si>
    <t>http://twitter.com/JorgeEv27674587/status/1112901211336794112</t>
  </si>
  <si>
    <t>April 01, 2019 at 09:15PM</t>
  </si>
  <si>
    <t>@Mariter77035409</t>
  </si>
  <si>
    <t>http://twitter.com/Mariter77035409/status/1112901356233347072</t>
  </si>
  <si>
    <t>@midoeru</t>
  </si>
  <si>
    <t>http://twitter.com/midoeru/status/1112901701231673350</t>
  </si>
  <si>
    <t>April 01, 2019 at 09:16PM</t>
  </si>
  <si>
    <t>@tvperupe</t>
  </si>
  <si>
    <t>http://twitter.com/tvperupe/status/1112901717421486082</t>
  </si>
  <si>
    <t>April 01, 2019 at 09:17PM</t>
  </si>
  <si>
    <t>@jo22_9739</t>
  </si>
  <si>
    <t>http://twitter.com/jo22_9739/status/1112902134524149761</t>
  </si>
  <si>
    <t>April 01, 2019 at 09:18PM</t>
  </si>
  <si>
    <t>http://twitter.com/derveterano/status/1112902566466215936</t>
  </si>
  <si>
    <t>April 01, 2019 at 09:20PM</t>
  </si>
  <si>
    <t>@lucky_mtl</t>
  </si>
  <si>
    <t>http://twitter.com/lucky_mtl/status/1112903183326765056</t>
  </si>
  <si>
    <t>April 01, 2019 at 09:22PM</t>
  </si>
  <si>
    <t>@ROLANDO251064</t>
  </si>
  <si>
    <t>http://twitter.com/ROLANDO251064/status/1112903601268187136</t>
  </si>
  <si>
    <t>April 01, 2019 at 09:24PM</t>
  </si>
  <si>
    <t>http://twitter.com/homerorm7/status/1112903612353732608</t>
  </si>
  <si>
    <t>@TubinoCarlos</t>
  </si>
  <si>
    <t>http://twitter.com/TubinoCarlos/status/1112903638559719427</t>
  </si>
  <si>
    <t>@GuidoLeri</t>
  </si>
  <si>
    <t>http://twitter.com/GuidoLeri/status/1112903714036113408</t>
  </si>
  <si>
    <t>@Gregorio_Goyo</t>
  </si>
  <si>
    <t>http://twitter.com/Gregorio_Goyo/status/1112903769090555905</t>
  </si>
  <si>
    <t>April 01, 2019 at 09:25PM</t>
  </si>
  <si>
    <t>@karitomaricel</t>
  </si>
  <si>
    <t>http://twitter.com/karitomaricel/status/1112903827202756608</t>
  </si>
  <si>
    <t>@RPPNoticias</t>
  </si>
  <si>
    <t>http://twitter.com/RPPNoticias/status/1112903965363060736</t>
  </si>
  <si>
    <t>@veritatisperu</t>
  </si>
  <si>
    <t>http://twitter.com/veritatisperu/status/1112904052491337729</t>
  </si>
  <si>
    <t>April 01, 2019 at 09:26PM</t>
  </si>
  <si>
    <t>@diegomezv28</t>
  </si>
  <si>
    <t>http://twitter.com/diegomezv28/status/1112904123387658240</t>
  </si>
  <si>
    <t>@IvanGarciaMayer</t>
  </si>
  <si>
    <t>http://twitter.com/IvanGarciaMayer/status/1112904292460101632</t>
  </si>
  <si>
    <t>April 01, 2019 at 09:27PM</t>
  </si>
  <si>
    <t>@davidhpalmar</t>
  </si>
  <si>
    <t>http://twitter.com/davidhpalmar/status/1112904336269611008</t>
  </si>
  <si>
    <t>http://twitter.com/davidhpalmar/status/1112904441735380996</t>
  </si>
  <si>
    <t>@AclStudio2</t>
  </si>
  <si>
    <t>http://twitter.com/AclStudio2/status/1112904696518176769</t>
  </si>
  <si>
    <t>April 01, 2019 at 09:28PM</t>
  </si>
  <si>
    <t>@SchippnerNora</t>
  </si>
  <si>
    <t>http://twitter.com/SchippnerNora/status/1112904798251220992</t>
  </si>
  <si>
    <t>April 01, 2019 at 09:29PM</t>
  </si>
  <si>
    <t>@VictorP51418565</t>
  </si>
  <si>
    <t>http://twitter.com/VictorP51418565/status/1112905081542905856</t>
  </si>
  <si>
    <t>April 01, 2019 at 09:30PM</t>
  </si>
  <si>
    <t>@julio35671551</t>
  </si>
  <si>
    <t>http://twitter.com/julio35671551/status/1112905201806135296</t>
  </si>
  <si>
    <t>@bsarmien</t>
  </si>
  <si>
    <t>http://twitter.com/bsarmien/status/1112905210190598144</t>
  </si>
  <si>
    <t>http://twitter.com/Miluska_you/status/1112905359826485249</t>
  </si>
  <si>
    <t>April 01, 2019 at 09:31PM</t>
  </si>
  <si>
    <t>@mdelcastillor</t>
  </si>
  <si>
    <t>http://twitter.com/mdelcastillor/status/1112905581218746369</t>
  </si>
  <si>
    <t>April 01, 2019 at 09:32PM</t>
  </si>
  <si>
    <t>@marissamcdd</t>
  </si>
  <si>
    <t>http://twitter.com/marissamcdd/status/1112907153164156929</t>
  </si>
  <si>
    <t>April 01, 2019 at 09:38PM</t>
  </si>
  <si>
    <t>@suselparedes</t>
  </si>
  <si>
    <t>http://twitter.com/suselparedes/status/1112907500515360769</t>
  </si>
  <si>
    <t>April 01, 2019 at 09:39PM</t>
  </si>
  <si>
    <t>@Limagris</t>
  </si>
  <si>
    <t>http://twitter.com/Limagris/status/1112907850521759744</t>
  </si>
  <si>
    <t>April 01, 2019 at 09:41PM</t>
  </si>
  <si>
    <t>@wilsonpsc</t>
  </si>
  <si>
    <t>http://twitter.com/wilsonpsc/status/1112908421077057536</t>
  </si>
  <si>
    <t>April 01, 2019 at 09:43PM</t>
  </si>
  <si>
    <t>@gerymoro</t>
  </si>
  <si>
    <t>http://twitter.com/gerymoro/status/1112908605630676992</t>
  </si>
  <si>
    <t>April 01, 2019 at 09:44PM</t>
  </si>
  <si>
    <t>@MariaAl34188188</t>
  </si>
  <si>
    <t>http://twitter.com/MariaAl34188188/status/1112909012779978752</t>
  </si>
  <si>
    <t>April 01, 2019 at 09:46PM</t>
  </si>
  <si>
    <t>@VinelliU</t>
  </si>
  <si>
    <t>http://twitter.com/VinelliU/status/1112909293991411714</t>
  </si>
  <si>
    <t>April 01, 2019 at 09:47PM</t>
  </si>
  <si>
    <t>@hincha_pc</t>
  </si>
  <si>
    <t>http://twitter.com/hincha_pc/status/1112909359250432000</t>
  </si>
  <si>
    <t>@EricF85046784</t>
  </si>
  <si>
    <t>http://twitter.com/EricF85046784/status/1112909475764232194</t>
  </si>
  <si>
    <t>@Edwarcanales</t>
  </si>
  <si>
    <t>http://twitter.com/Edwarcanales/status/1112910262305214466</t>
  </si>
  <si>
    <t>April 01, 2019 at 09:50PM</t>
  </si>
  <si>
    <t>http://twitter.com/mercedialo/status/1112910332782051328</t>
  </si>
  <si>
    <t>April 01, 2019 at 09:51PM</t>
  </si>
  <si>
    <t>http://twitter.com/CrisisHasArisen/status/1112911597004046337</t>
  </si>
  <si>
    <t>April 01, 2019 at 09:56PM</t>
  </si>
  <si>
    <t>@santosjaimes</t>
  </si>
  <si>
    <t>http://twitter.com/santosjaimes/status/1112911611176484864</t>
  </si>
  <si>
    <t>@Jess77962565</t>
  </si>
  <si>
    <t>http://twitter.com/Jess77962565/status/1112911626582228994</t>
  </si>
  <si>
    <t>@mleonespinosa</t>
  </si>
  <si>
    <t>http://twitter.com/mleonespinosa/status/1112911715933569024</t>
  </si>
  <si>
    <t>@julioreal9</t>
  </si>
  <si>
    <t>http://twitter.com/julioreal9/status/1112912270357618689</t>
  </si>
  <si>
    <t>April 01, 2019 at 09:58PM</t>
  </si>
  <si>
    <t>@Alfoxap</t>
  </si>
  <si>
    <t>http://twitter.com/Alfoxap/status/1112912413974773760</t>
  </si>
  <si>
    <t>April 01, 2019 at 09:59PM</t>
  </si>
  <si>
    <t>@Papi1949</t>
  </si>
  <si>
    <t>http://twitter.com/Papi1949/status/1112912485609361408</t>
  </si>
  <si>
    <t>@AmberMining</t>
  </si>
  <si>
    <t>http://twitter.com/AmberMining/status/1112912560242745345</t>
  </si>
  <si>
    <t>April 01, 2019 at 10:00PM</t>
  </si>
  <si>
    <t>@vozdelatierra</t>
  </si>
  <si>
    <t>http://twitter.com/vozdelatierra/status/1112912642136567808</t>
  </si>
  <si>
    <t>http://twitter.com/pruperu/status/1112913588988141569</t>
  </si>
  <si>
    <t>April 01, 2019 at 10:04PM</t>
  </si>
  <si>
    <t>@cesargalindogam</t>
  </si>
  <si>
    <t>http://twitter.com/cesargalindogam/status/1112913732064096257</t>
  </si>
  <si>
    <t>@CBiminchumo</t>
  </si>
  <si>
    <t>http://twitter.com/CBiminchumo/status/1112913736115867648</t>
  </si>
  <si>
    <t>@ROGERSWUUU</t>
  </si>
  <si>
    <t>http://twitter.com/ROGERSWUUU/status/1112913905871933440</t>
  </si>
  <si>
    <t>April 01, 2019 at 10:05PM</t>
  </si>
  <si>
    <t>@LainezLozada22</t>
  </si>
  <si>
    <t>http://twitter.com/LainezLozada22/status/1112913941506686978</t>
  </si>
  <si>
    <t>@jradzinsky</t>
  </si>
  <si>
    <t>http://twitter.com/jradzinsky/status/1112914308986417152</t>
  </si>
  <si>
    <t>April 01, 2019 at 10:07PM</t>
  </si>
  <si>
    <t>@justigoicochea</t>
  </si>
  <si>
    <t>http://twitter.com/justigoicochea/status/1112915863756292096</t>
  </si>
  <si>
    <t>April 01, 2019 at 10:13PM</t>
  </si>
  <si>
    <t>http://twitter.com/midoeru/status/1112916001522417664</t>
  </si>
  <si>
    <t>@yvan_palomino</t>
  </si>
  <si>
    <t>http://twitter.com/yvan_palomino/status/1112916146368462849</t>
  </si>
  <si>
    <t>April 01, 2019 at 10:14PM</t>
  </si>
  <si>
    <t>@luxito53</t>
  </si>
  <si>
    <t>http://twitter.com/luxito53/status/1112916291541757953</t>
  </si>
  <si>
    <t>@marianalup</t>
  </si>
  <si>
    <t>http://twitter.com/marianalup/status/1112916396848107520</t>
  </si>
  <si>
    <t>April 01, 2019 at 10:15PM</t>
  </si>
  <si>
    <t>@PublicidaMadrid</t>
  </si>
  <si>
    <t>http://twitter.com/PublicidaMadrid/status/1112916651144609793</t>
  </si>
  <si>
    <t>April 01, 2019 at 10:16PM</t>
  </si>
  <si>
    <t>@MagdaWong</t>
  </si>
  <si>
    <t>http://twitter.com/MagdaWong/status/1112917672734416896</t>
  </si>
  <si>
    <t>April 01, 2019 at 10:20PM</t>
  </si>
  <si>
    <t>@versosasesinos</t>
  </si>
  <si>
    <t>http://twitter.com/versosasesinos/status/1112917800341917696</t>
  </si>
  <si>
    <t>@dvillafuerte</t>
  </si>
  <si>
    <t>http://twitter.com/dvillafuerte/status/1112918596236333057</t>
  </si>
  <si>
    <t>April 01, 2019 at 10:24PM</t>
  </si>
  <si>
    <t>@freddyalianza8</t>
  </si>
  <si>
    <t>http://twitter.com/freddyalianza8/status/1112918792580055040</t>
  </si>
  <si>
    <t>@chouchiski7531</t>
  </si>
  <si>
    <t>http://twitter.com/chouchiski7531/status/1112918817338875904</t>
  </si>
  <si>
    <t>http://twitter.com/percenteno/status/1112919050508820480</t>
  </si>
  <si>
    <t>April 01, 2019 at 10:25PM</t>
  </si>
  <si>
    <t>@ALOKARTE</t>
  </si>
  <si>
    <t>http://twitter.com/ALOKARTE/status/1112919194109186048</t>
  </si>
  <si>
    <t>April 01, 2019 at 10:26PM</t>
  </si>
  <si>
    <t>@s_cucho</t>
  </si>
  <si>
    <t>http://twitter.com/s_cucho/status/1112919358697693185</t>
  </si>
  <si>
    <t>April 01, 2019 at 10:27PM</t>
  </si>
  <si>
    <t>@Mar_vin29</t>
  </si>
  <si>
    <t>http://twitter.com/Mar_vin29/status/1112919660637323264</t>
  </si>
  <si>
    <t>April 01, 2019 at 10:28PM</t>
  </si>
  <si>
    <t>@edgardoori</t>
  </si>
  <si>
    <t>http://twitter.com/edgardoori/status/1112920858161565696</t>
  </si>
  <si>
    <t>April 01, 2019 at 10:33PM</t>
  </si>
  <si>
    <t>@cchavarry</t>
  </si>
  <si>
    <t>http://twitter.com/cchavarry/status/1112920953124786178</t>
  </si>
  <si>
    <t>http://twitter.com/tonyventur/status/1112921019013087232</t>
  </si>
  <si>
    <t>@elialegre13</t>
  </si>
  <si>
    <t>http://twitter.com/elialegre13/status/1112921067734159361</t>
  </si>
  <si>
    <t>@JCSC41</t>
  </si>
  <si>
    <t>http://twitter.com/JCSC41/status/1112921394961149952</t>
  </si>
  <si>
    <t>April 01, 2019 at 10:35PM</t>
  </si>
  <si>
    <t>@roxanagbm</t>
  </si>
  <si>
    <t>http://twitter.com/roxanagbm/status/1112922144240029696</t>
  </si>
  <si>
    <t>April 01, 2019 at 10:38PM</t>
  </si>
  <si>
    <t>@manwe1903</t>
  </si>
  <si>
    <t>http://twitter.com/manwe1903/status/1112922206982623232</t>
  </si>
  <si>
    <t>@jerryconhax</t>
  </si>
  <si>
    <t>http://twitter.com/jerryconhax/status/1112922656351948800</t>
  </si>
  <si>
    <t>April 01, 2019 at 10:40PM</t>
  </si>
  <si>
    <t>http://twitter.com/alvarosarco/status/1112923031603740672</t>
  </si>
  <si>
    <t>April 01, 2019 at 10:41PM</t>
  </si>
  <si>
    <t>@willaxtv</t>
  </si>
  <si>
    <t>http://twitter.com/willaxtv/status/1112923167939616768</t>
  </si>
  <si>
    <t>April 01, 2019 at 10:42PM</t>
  </si>
  <si>
    <t>http://twitter.com/wizagp/status/1112923204308422656</t>
  </si>
  <si>
    <t>@JuanManuelGall4</t>
  </si>
  <si>
    <t>http://twitter.com/JuanManuelGall4/status/1112923672984109056</t>
  </si>
  <si>
    <t>April 01, 2019 at 10:44PM</t>
  </si>
  <si>
    <t>@ConadesPeru</t>
  </si>
  <si>
    <t>http://twitter.com/ConadesPeru/status/1112923806908190720</t>
  </si>
  <si>
    <t>http://twitter.com/nograbonilla/status/1112923917554012160</t>
  </si>
  <si>
    <t>April 01, 2019 at 10:45PM</t>
  </si>
  <si>
    <t>@Jof_chavez</t>
  </si>
  <si>
    <t>http://twitter.com/Jof_chavez/status/1112924599384248322</t>
  </si>
  <si>
    <t>April 01, 2019 at 10:47PM</t>
  </si>
  <si>
    <t>@Fabiantc23</t>
  </si>
  <si>
    <t>http://twitter.com/Fabiantc23/status/1112924642812063745</t>
  </si>
  <si>
    <t>April 01, 2019 at 10:48PM</t>
  </si>
  <si>
    <t>@FVeraPozo</t>
  </si>
  <si>
    <t>http://twitter.com/FVeraPozo/status/1112925382175490048</t>
  </si>
  <si>
    <t>April 01, 2019 at 10:51PM</t>
  </si>
  <si>
    <t>http://twitter.com/denisantinori/status/1112925400475357184</t>
  </si>
  <si>
    <t>@LUISNOLASCOPA</t>
  </si>
  <si>
    <t>http://twitter.com/LUISNOLASCOPA/status/1112925801534705664</t>
  </si>
  <si>
    <t>April 01, 2019 at 10:52PM</t>
  </si>
  <si>
    <t>http://twitter.com/Alicia94784200/status/1112925843209273345</t>
  </si>
  <si>
    <t>@osescalante</t>
  </si>
  <si>
    <t>http://twitter.com/osescalante/status/1112925863119450112</t>
  </si>
  <si>
    <t>@knifeandrea</t>
  </si>
  <si>
    <t>http://twitter.com/knifeandrea/status/1112925932971573248</t>
  </si>
  <si>
    <t>April 01, 2019 at 10:53PM</t>
  </si>
  <si>
    <t>@kdiazea23</t>
  </si>
  <si>
    <t>http://twitter.com/kdiazea23/status/1112925996670386178</t>
  </si>
  <si>
    <t>@alexerio</t>
  </si>
  <si>
    <t>http://twitter.com/alexerio/status/1112926068900577280</t>
  </si>
  <si>
    <t>@LuisHomero20</t>
  </si>
  <si>
    <t>http://twitter.com/LuisHomero20/status/1112926310316281856</t>
  </si>
  <si>
    <t>April 01, 2019 at 10:54PM</t>
  </si>
  <si>
    <t>http://twitter.com/dgrados/status/1112926356214616064</t>
  </si>
  <si>
    <t>@DoreliDeca</t>
  </si>
  <si>
    <t>http://twitter.com/DoreliDeca/status/1112926393967566848</t>
  </si>
  <si>
    <t>April 01, 2019 at 10:55PM</t>
  </si>
  <si>
    <t>@peredo_jessica</t>
  </si>
  <si>
    <t>http://twitter.com/peredo_jessica/status/1112926500431499264</t>
  </si>
  <si>
    <t>@rhtorresm</t>
  </si>
  <si>
    <t>http://twitter.com/rhtorresm/status/1112926771110993920</t>
  </si>
  <si>
    <t>April 01, 2019 at 10:56PM</t>
  </si>
  <si>
    <t>@ormusverum</t>
  </si>
  <si>
    <t>http://twitter.com/ormusverum/status/1112927613054586880</t>
  </si>
  <si>
    <t>April 01, 2019 at 10:59PM</t>
  </si>
  <si>
    <t>@Gestionpe</t>
  </si>
  <si>
    <t>http://twitter.com/Gestionpe/status/1112927636068560897</t>
  </si>
  <si>
    <t>April 01, 2019 at 11:00PM</t>
  </si>
  <si>
    <t>@AugustoAcostaB</t>
  </si>
  <si>
    <t>http://twitter.com/AugustoAcostaB/status/1112927695762067457</t>
  </si>
  <si>
    <t>http://twitter.com/betovf40/status/1112927916982263809</t>
  </si>
  <si>
    <t>April 01, 2019 at 11:01PM</t>
  </si>
  <si>
    <t>@arno_anibal</t>
  </si>
  <si>
    <t>http://twitter.com/arno_anibal/status/1112928257211543553</t>
  </si>
  <si>
    <t>April 01, 2019 at 11:02PM</t>
  </si>
  <si>
    <t>@jarbulua1</t>
  </si>
  <si>
    <t>http://twitter.com/jarbulua1/status/1112928270998175744</t>
  </si>
  <si>
    <t>@danaloby</t>
  </si>
  <si>
    <t>http://twitter.com/danaloby/status/1112928274152411136</t>
  </si>
  <si>
    <t>@Grellaud</t>
  </si>
  <si>
    <t>http://twitter.com/Grellaud/status/1112928293563531264</t>
  </si>
  <si>
    <t>@reyconbarba</t>
  </si>
  <si>
    <t>http://twitter.com/reyconbarba/status/1112928759617896448</t>
  </si>
  <si>
    <t>April 01, 2019 at 11:04PM</t>
  </si>
  <si>
    <t>@Jhonney2020</t>
  </si>
  <si>
    <t>http://twitter.com/Jhonney2020/status/1112929148463448064</t>
  </si>
  <si>
    <t>April 01, 2019 at 11:06PM</t>
  </si>
  <si>
    <t>@xkathys</t>
  </si>
  <si>
    <t>http://twitter.com/xkathys/status/1112929532888133632</t>
  </si>
  <si>
    <t>April 01, 2019 at 11:07PM</t>
  </si>
  <si>
    <t>@cygrados</t>
  </si>
  <si>
    <t>http://twitter.com/cygrados/status/1112929825319276544</t>
  </si>
  <si>
    <t>April 01, 2019 at 11:08PM</t>
  </si>
  <si>
    <t>@alexand54508580</t>
  </si>
  <si>
    <t>http://twitter.com/alexand54508580/status/1112929869850206208</t>
  </si>
  <si>
    <t>@alanquispe</t>
  </si>
  <si>
    <t>http://twitter.com/alanquispe/status/1112932368262684672</t>
  </si>
  <si>
    <t>April 01, 2019 at 11:18PM</t>
  </si>
  <si>
    <t>@salfarorotondo</t>
  </si>
  <si>
    <t>http://twitter.com/salfarorotondo/status/1112932412768436224</t>
  </si>
  <si>
    <t>http://twitter.com/ArdidDeLaRazon/status/1112932905007886337</t>
  </si>
  <si>
    <t>April 01, 2019 at 11:20PM</t>
  </si>
  <si>
    <t>@PAULCAB77297084</t>
  </si>
  <si>
    <t>http://twitter.com/PAULCAB77297084/status/1112933050214768640</t>
  </si>
  <si>
    <t>April 01, 2019 at 11:21PM</t>
  </si>
  <si>
    <t>@Milenadovil</t>
  </si>
  <si>
    <t>http://twitter.com/Milenadovil/status/1112933098440847360</t>
  </si>
  <si>
    <t>@Jamyr0</t>
  </si>
  <si>
    <t>http://twitter.com/Jamyr0/status/1112933139234648066</t>
  </si>
  <si>
    <t>@mapamepa66</t>
  </si>
  <si>
    <t>http://twitter.com/mapamepa66/status/1112933601564418048</t>
  </si>
  <si>
    <t>April 01, 2019 at 11:23PM</t>
  </si>
  <si>
    <t>@rgonzalesm</t>
  </si>
  <si>
    <t>http://twitter.com/rgonzalesm/status/1112933670854299648</t>
  </si>
  <si>
    <t>@milichaur</t>
  </si>
  <si>
    <t>http://twitter.com/milichaur/status/1112933800819003392</t>
  </si>
  <si>
    <t>April 01, 2019 at 11:24PM</t>
  </si>
  <si>
    <t>@LiterallyGabie</t>
  </si>
  <si>
    <t>http://twitter.com/LiterallyGabie/status/1112934283671351296</t>
  </si>
  <si>
    <t>April 01, 2019 at 11:26PM</t>
  </si>
  <si>
    <t>http://twitter.com/canalN_/status/1112934427569651714</t>
  </si>
  <si>
    <t>@MariRF12</t>
  </si>
  <si>
    <t>http://twitter.com/MariRF12/status/1112934680536473600</t>
  </si>
  <si>
    <t>April 01, 2019 at 11:27PM</t>
  </si>
  <si>
    <t>@PpKuis</t>
  </si>
  <si>
    <t>http://twitter.com/PpKuis/status/1112934760211451904</t>
  </si>
  <si>
    <t>April 01, 2019 at 11:28PM</t>
  </si>
  <si>
    <t>@EduardoRino</t>
  </si>
  <si>
    <t>http://twitter.com/EduardoRino/status/1112935033801728000</t>
  </si>
  <si>
    <t>April 01, 2019 at 11:29PM</t>
  </si>
  <si>
    <t>@petroeras2</t>
  </si>
  <si>
    <t>http://twitter.com/petroeras2/status/1112935091016105984</t>
  </si>
  <si>
    <t>http://twitter.com/pachitadv/status/1112935123119308800</t>
  </si>
  <si>
    <t>http://twitter.com/ucinoticias_pe/status/1112935312504905731</t>
  </si>
  <si>
    <t>April 01, 2019 at 11:30PM</t>
  </si>
  <si>
    <t>@Palomavc</t>
  </si>
  <si>
    <t>http://twitter.com/Palomavc/status/1112935653032058880</t>
  </si>
  <si>
    <t>April 01, 2019 at 11:31PM</t>
  </si>
  <si>
    <t>@kuervito76</t>
  </si>
  <si>
    <t>http://twitter.com/kuervito76/status/1112935719591464965</t>
  </si>
  <si>
    <t>April 01, 2019 at 11:32PM</t>
  </si>
  <si>
    <t>@FebresFernando</t>
  </si>
  <si>
    <t>http://twitter.com/FebresFernando/status/1112935849010827266</t>
  </si>
  <si>
    <t>@mundotvpe</t>
  </si>
  <si>
    <t>http://twitter.com/mundotvpe/status/1112936016275476481</t>
  </si>
  <si>
    <t>April 01, 2019 at 11:33PM</t>
  </si>
  <si>
    <t>@josferperu</t>
  </si>
  <si>
    <t>http://twitter.com/josferperu/status/1112936069346062336</t>
  </si>
  <si>
    <t>http://twitter.com/noticiAmerica/status/1112936235343994880</t>
  </si>
  <si>
    <t>April 01, 2019 at 11:34PM</t>
  </si>
  <si>
    <t>@americatv_peru</t>
  </si>
  <si>
    <t>http://twitter.com/americatv_peru/status/1112936547081490432</t>
  </si>
  <si>
    <t>April 01, 2019 at 11:35PM</t>
  </si>
  <si>
    <t>@Paz07088742</t>
  </si>
  <si>
    <t>http://twitter.com/Paz07088742/status/1112936629507948545</t>
  </si>
  <si>
    <t>@SignoriTita</t>
  </si>
  <si>
    <t>http://twitter.com/SignoriTita/status/1112937078659088385</t>
  </si>
  <si>
    <t>April 01, 2019 at 11:37PM</t>
  </si>
  <si>
    <t>@ttvnr</t>
  </si>
  <si>
    <t>http://twitter.com/ttvnr/status/1112937878001274881</t>
  </si>
  <si>
    <t>April 01, 2019 at 11:40PM</t>
  </si>
  <si>
    <t>@NikoLeonCruzatt</t>
  </si>
  <si>
    <t>http://twitter.com/NikoLeonCruzatt/status/1112938212740227072</t>
  </si>
  <si>
    <t>April 01, 2019 at 11:42PM</t>
  </si>
  <si>
    <t>@Rosario52759526</t>
  </si>
  <si>
    <t>http://twitter.com/Rosario52759526/status/1112938264745390081</t>
  </si>
  <si>
    <t>@spaciolibre</t>
  </si>
  <si>
    <t>http://twitter.com/spaciolibre/status/1112938948320485376</t>
  </si>
  <si>
    <t>April 01, 2019 at 11:44PM</t>
  </si>
  <si>
    <t>@voletita</t>
  </si>
  <si>
    <t>http://twitter.com/voletita/status/1112939720017956864</t>
  </si>
  <si>
    <t>April 01, 2019 at 11:48PM</t>
  </si>
  <si>
    <t>http://twitter.com/THEWARRON/status/1112939950645837829</t>
  </si>
  <si>
    <t>http://twitter.com/CesarBejarano21/status/1112940210432696320</t>
  </si>
  <si>
    <t>April 01, 2019 at 11:49PM</t>
  </si>
  <si>
    <t>@Tedfarfan</t>
  </si>
  <si>
    <t>http://twitter.com/Tedfarfan/status/1112940220889075712</t>
  </si>
  <si>
    <t>April 01, 2019 at 11:50PM</t>
  </si>
  <si>
    <t>http://twitter.com/MariRF12/status/1112941340298444800</t>
  </si>
  <si>
    <t>April 01, 2019 at 11:54PM</t>
  </si>
  <si>
    <t>@humanoflima</t>
  </si>
  <si>
    <t>http://twitter.com/humanoflima/status/1112942134938791936</t>
  </si>
  <si>
    <t>April 01, 2019 at 11:57PM</t>
  </si>
  <si>
    <t>@Lizslh</t>
  </si>
  <si>
    <t>http://twitter.com/Lizslh/status/1112942148876427265</t>
  </si>
  <si>
    <t>@TomBelfort2</t>
  </si>
  <si>
    <t>http://twitter.com/TomBelfort2/status/1112942227897180160</t>
  </si>
  <si>
    <t>http://twitter.com/PasquinDeM/status/1112942751358824449</t>
  </si>
  <si>
    <t>April 02, 2019 at 12:00AM</t>
  </si>
  <si>
    <t>@BettySchaper1</t>
  </si>
  <si>
    <t>http://twitter.com/BettySchaper1/status/1112942915863621632</t>
  </si>
  <si>
    <t>http://twitter.com/FedericoPFE/status/1112943042304958464</t>
  </si>
  <si>
    <t>April 02, 2019 at 12:01AM</t>
  </si>
  <si>
    <t>@zarccodog</t>
  </si>
  <si>
    <t>http://twitter.com/zarccodog/status/1112943340666961920</t>
  </si>
  <si>
    <t>April 02, 2019 at 12:02AM</t>
  </si>
  <si>
    <t>@Contreras2514</t>
  </si>
  <si>
    <t>http://twitter.com/Contreras2514/status/1112964065284980736</t>
  </si>
  <si>
    <t>April 02, 2019 at 01:24AM</t>
  </si>
  <si>
    <t>http://twitter.com/Contreras2514/status/1112964950736203777</t>
  </si>
  <si>
    <t>April 02, 2019 at 01:28AM</t>
  </si>
  <si>
    <t>http://twitter.com/Contreras2514/status/1112965000094781440</t>
  </si>
  <si>
    <t>@driftermarie</t>
  </si>
  <si>
    <t>http://twitter.com/driftermarie/status/1112965047310041091</t>
  </si>
  <si>
    <t>http://twitter.com/ApacheDHC/status/1112965100883922944</t>
  </si>
  <si>
    <t>@brayan0923</t>
  </si>
  <si>
    <t>http://twitter.com/brayan0923/status/1112967571165208576</t>
  </si>
  <si>
    <t>April 02, 2019 at 01:38AM</t>
  </si>
  <si>
    <t>http://twitter.com/PeruNews/status/1112968415860350977</t>
  </si>
  <si>
    <t>April 02, 2019 at 01:42AM</t>
  </si>
  <si>
    <t>@ilyjawregui</t>
  </si>
  <si>
    <t>http://twitter.com/ilyjawregui/status/1112968467458723841</t>
  </si>
  <si>
    <t>http://twitter.com/_danielarce/status/1112968945974169600</t>
  </si>
  <si>
    <t>April 02, 2019 at 01:44AM</t>
  </si>
  <si>
    <t>@elsoldelnorte</t>
  </si>
  <si>
    <t>http://twitter.com/elsoldelnorte/status/1112969484816519168</t>
  </si>
  <si>
    <t>April 02, 2019 at 01:46AM</t>
  </si>
  <si>
    <t>@Giannipajuelo</t>
  </si>
  <si>
    <t>http://twitter.com/Giannipajuelo/status/1112969703180382209</t>
  </si>
  <si>
    <t>April 02, 2019 at 01:47AM</t>
  </si>
  <si>
    <t>@LilianaJimnezLo</t>
  </si>
  <si>
    <t>http://twitter.com/LilianaJimnezLo/status/1112969914279579649</t>
  </si>
  <si>
    <t>April 02, 2019 at 01:48AM</t>
  </si>
  <si>
    <t>@Maroma2</t>
  </si>
  <si>
    <t>http://twitter.com/Maroma2/status/1112970080311283712</t>
  </si>
  <si>
    <t>@KM2PE</t>
  </si>
  <si>
    <t>http://twitter.com/KM2PE/status/1112970657866887169</t>
  </si>
  <si>
    <t>April 02, 2019 at 01:50AM</t>
  </si>
  <si>
    <t>@exitosape</t>
  </si>
  <si>
    <t>http://twitter.com/exitosape/status/1112978310592651264</t>
  </si>
  <si>
    <t>April 02, 2019 at 02:21AM</t>
  </si>
  <si>
    <t>@dillovaldes</t>
  </si>
  <si>
    <t>http://twitter.com/dillovaldes/status/1112979474080034817</t>
  </si>
  <si>
    <t>April 02, 2019 at 02:25AM</t>
  </si>
  <si>
    <t>@JA_ERNAU</t>
  </si>
  <si>
    <t>http://twitter.com/JA_ERNAU/status/1112982867947085824</t>
  </si>
  <si>
    <t>April 02, 2019 at 02:39AM</t>
  </si>
  <si>
    <t>http://twitter.com/JA_ERNAU/status/1112984149789302785</t>
  </si>
  <si>
    <t>April 02, 2019 at 02:44AM</t>
  </si>
  <si>
    <t>@cesarvillarm</t>
  </si>
  <si>
    <t>http://twitter.com/cesarvillarm/status/1112984202041913350</t>
  </si>
  <si>
    <t>@juliorlandoT</t>
  </si>
  <si>
    <t>http://twitter.com/juliorlandoT/status/1112984841807638528</t>
  </si>
  <si>
    <t>April 02, 2019 at 02:47AM</t>
  </si>
  <si>
    <t>@mccc14pf</t>
  </si>
  <si>
    <t>http://twitter.com/mccc14pf/status/1112985969853128705</t>
  </si>
  <si>
    <t>April 02, 2019 at 02:51AM</t>
  </si>
  <si>
    <t>@AngieNegron</t>
  </si>
  <si>
    <t>http://twitter.com/AngieNegron/status/1112987465109757952</t>
  </si>
  <si>
    <t>April 02, 2019 at 02:57AM</t>
  </si>
  <si>
    <t>http://twitter.com/InfostellePeru/status/1112990620635795456</t>
  </si>
  <si>
    <t>April 02, 2019 at 03:10AM</t>
  </si>
  <si>
    <t>http://twitter.com/exitosape/status/1112995320915427329</t>
  </si>
  <si>
    <t>April 02, 2019 at 03:28AM</t>
  </si>
  <si>
    <t>@kardiffkev</t>
  </si>
  <si>
    <t>http://twitter.com/kardiffkev/status/1112996839534530560</t>
  </si>
  <si>
    <t>April 02, 2019 at 03:34AM</t>
  </si>
  <si>
    <t>@ragranados</t>
  </si>
  <si>
    <t>http://twitter.com/ragranados/status/1112997662045822976</t>
  </si>
  <si>
    <t>April 02, 2019 at 03:38AM</t>
  </si>
  <si>
    <t>http://twitter.com/unlolazo_/status/1112998242768351232</t>
  </si>
  <si>
    <t>April 02, 2019 at 03:40AM</t>
  </si>
  <si>
    <t>@Vania_asesoria</t>
  </si>
  <si>
    <t>http://twitter.com/Vania_asesoria/status/1112998827718520832</t>
  </si>
  <si>
    <t>April 02, 2019 at 03:42AM</t>
  </si>
  <si>
    <t>http://twitter.com/Vania_asesoria/status/1112998926838390784</t>
  </si>
  <si>
    <t>April 02, 2019 at 03:43AM</t>
  </si>
  <si>
    <t>http://twitter.com/peruenlanoticia/status/1112998964528377857</t>
  </si>
  <si>
    <t>@VincentBoy_IG</t>
  </si>
  <si>
    <t>http://twitter.com/VincentBoy_IG/status/1113027478946279430</t>
  </si>
  <si>
    <t>April 02, 2019 at 05:36AM</t>
  </si>
  <si>
    <t>@IGFrance</t>
  </si>
  <si>
    <t>http://twitter.com/IGFrance/status/1113027539377754112</t>
  </si>
  <si>
    <t>@jcvalerianor</t>
  </si>
  <si>
    <t>http://twitter.com/jcvalerianor/status/1113027892139757568</t>
  </si>
  <si>
    <t>April 02, 2019 at 05:38AM</t>
  </si>
  <si>
    <t>@imponentemisti</t>
  </si>
  <si>
    <t>http://twitter.com/imponentemisti/status/1113028027540275205</t>
  </si>
  <si>
    <t>@brunoDiazS</t>
  </si>
  <si>
    <t>http://twitter.com/brunoDiazS/status/1113028274836385792</t>
  </si>
  <si>
    <t>April 02, 2019 at 05:39AM</t>
  </si>
  <si>
    <t>@PercyParedes9</t>
  </si>
  <si>
    <t>http://twitter.com/PercyParedes9/status/1113028568106270720</t>
  </si>
  <si>
    <t>April 02, 2019 at 05:41AM</t>
  </si>
  <si>
    <t>@HeribertoSnch16</t>
  </si>
  <si>
    <t>http://twitter.com/HeribertoSnch16/status/1113028680719241216</t>
  </si>
  <si>
    <t>http://twitter.com/soniapovis/status/1113028774277328896</t>
  </si>
  <si>
    <t>@kaosinformatico</t>
  </si>
  <si>
    <t>http://twitter.com/kaosinformatico/status/1113029639356723200</t>
  </si>
  <si>
    <t>April 02, 2019 at 05:45AM</t>
  </si>
  <si>
    <t>@danielfbv</t>
  </si>
  <si>
    <t>http://twitter.com/danielfbv/status/1113029887651020801</t>
  </si>
  <si>
    <t>April 02, 2019 at 05:46AM</t>
  </si>
  <si>
    <t>@lcbcasbo</t>
  </si>
  <si>
    <t>http://twitter.com/lcbcasbo/status/1113029961080803328</t>
  </si>
  <si>
    <t>@lansaxana_</t>
  </si>
  <si>
    <t>http://twitter.com/lansaxana_/status/1113030181403459585</t>
  </si>
  <si>
    <t>April 02, 2019 at 05:47AM</t>
  </si>
  <si>
    <t>@ReddyHuaman</t>
  </si>
  <si>
    <t>http://twitter.com/ReddyHuaman/status/1113067011620384769</t>
  </si>
  <si>
    <t>April 02, 2019 at 08:13AM</t>
  </si>
  <si>
    <t>@AsesoI</t>
  </si>
  <si>
    <t>http://twitter.com/AsesoI/status/1113067033309208576</t>
  </si>
  <si>
    <t>@GomeroRamirez</t>
  </si>
  <si>
    <t>http://twitter.com/GomeroRamirez/status/1113067097788215297</t>
  </si>
  <si>
    <t>April 02, 2019 at 08:14AM</t>
  </si>
  <si>
    <t>@Digabriel5</t>
  </si>
  <si>
    <t>http://twitter.com/Digabriel5/status/1113067205216747521</t>
  </si>
  <si>
    <t>@josezavala3</t>
  </si>
  <si>
    <t>http://twitter.com/josezavala3/status/1113067495504588801</t>
  </si>
  <si>
    <t>April 02, 2019 at 08:15AM</t>
  </si>
  <si>
    <t>@FelicianoGalvan</t>
  </si>
  <si>
    <t>http://twitter.com/FelicianoGalvan/status/1113067619421106177</t>
  </si>
  <si>
    <t>April 02, 2019 at 08:16AM</t>
  </si>
  <si>
    <t>http://twitter.com/Jorgedelama/status/1113067735867518979</t>
  </si>
  <si>
    <t>@CriticoLibre</t>
  </si>
  <si>
    <t>http://twitter.com/CriticoLibre/status/1113067838309163008</t>
  </si>
  <si>
    <t>April 02, 2019 at 08:17AM</t>
  </si>
  <si>
    <t>@javierocamponce</t>
  </si>
  <si>
    <t>http://twitter.com/javierocamponce/status/1113067927555788800</t>
  </si>
  <si>
    <t>@compol_peru</t>
  </si>
  <si>
    <t>http://twitter.com/compol_peru/status/1113068042617905153</t>
  </si>
  <si>
    <t>@jorge_ynfante</t>
  </si>
  <si>
    <t>http://twitter.com/jorge_ynfante/status/1113068149686108161</t>
  </si>
  <si>
    <t>April 02, 2019 at 08:18AM</t>
  </si>
  <si>
    <t>@LitaReyesDoria1</t>
  </si>
  <si>
    <t>http://twitter.com/LitaReyesDoria1/status/1113068298843828225</t>
  </si>
  <si>
    <t>@Janlismaite</t>
  </si>
  <si>
    <t>http://twitter.com/Janlismaite/status/1113068307916185601</t>
  </si>
  <si>
    <t>@dontlarrybieber</t>
  </si>
  <si>
    <t>http://twitter.com/dontlarrybieber/status/1113095115936055296</t>
  </si>
  <si>
    <t>April 02, 2019 at 10:05AM</t>
  </si>
  <si>
    <t>@Fixi2015</t>
  </si>
  <si>
    <t>http://twitter.com/Fixi2015/status/1113095247297474560</t>
  </si>
  <si>
    <t>April 02, 2019 at 10:06AM</t>
  </si>
  <si>
    <t>@nsoouza_</t>
  </si>
  <si>
    <t>http://twitter.com/nsoouza_/status/1113095307787730944</t>
  </si>
  <si>
    <t>@CiudaPachacutec</t>
  </si>
  <si>
    <t>http://twitter.com/CiudaPachacutec/status/1113096000137318401</t>
  </si>
  <si>
    <t>April 02, 2019 at 10:09AM</t>
  </si>
  <si>
    <t>@Plinio2009</t>
  </si>
  <si>
    <t>http://twitter.com/Plinio2009/status/1113096056747823104</t>
  </si>
  <si>
    <t>@OswaldoOtoya</t>
  </si>
  <si>
    <t>http://twitter.com/OswaldoOtoya/status/1113096153271160832</t>
  </si>
  <si>
    <t>@ron_zea</t>
  </si>
  <si>
    <t>http://twitter.com/ron_zea/status/1113096294468382721</t>
  </si>
  <si>
    <t>April 02, 2019 at 10:10AM</t>
  </si>
  <si>
    <t>http://twitter.com/SEMANAeconomica/status/1113096317117509632</t>
  </si>
  <si>
    <t>@LIMAENESCENA10</t>
  </si>
  <si>
    <t>http://twitter.com/LIMAENESCENA10/status/1113096349657059330</t>
  </si>
  <si>
    <t>http://twitter.com/kamajara/status/1113096474886393856</t>
  </si>
  <si>
    <t>@pulsonoticias_G</t>
  </si>
  <si>
    <t>http://twitter.com/pulsonoticias_G/status/1113096598379290625</t>
  </si>
  <si>
    <t>April 02, 2019 at 10:11AM</t>
  </si>
  <si>
    <t>http://twitter.com/Santiag99504173/status/1113097120515534848</t>
  </si>
  <si>
    <t>April 02, 2019 at 10:13AM</t>
  </si>
  <si>
    <t>@WELLINGTONCHUAL</t>
  </si>
  <si>
    <t>http://twitter.com/WELLINGTONCHUAL/status/1113097590260842498</t>
  </si>
  <si>
    <t>April 02, 2019 at 10:15AM</t>
  </si>
  <si>
    <t>http://twitter.com/frankri14641759/status/1113098051982409728</t>
  </si>
  <si>
    <t>April 02, 2019 at 10:17AM</t>
  </si>
  <si>
    <t>http://twitter.com/pelusa054/status/1113125578876575745</t>
  </si>
  <si>
    <t>April 02, 2019 at 12:06PM</t>
  </si>
  <si>
    <t>@cohe_sonia</t>
  </si>
  <si>
    <t>http://twitter.com/cohe_sonia/status/1113126294101913600</t>
  </si>
  <si>
    <t>April 02, 2019 at 12:09PM</t>
  </si>
  <si>
    <t>http://twitter.com/Maritza67335907/status/1113126351874260997</t>
  </si>
  <si>
    <t>http://twitter.com/diariocorreo/status/1113126376566124544</t>
  </si>
  <si>
    <t>@leo_dupont</t>
  </si>
  <si>
    <t>http://twitter.com/leo_dupont/status/1113126531663122434</t>
  </si>
  <si>
    <t>April 02, 2019 at 12:10PM</t>
  </si>
  <si>
    <t>http://twitter.com/willyvmr/status/1113126541045620737</t>
  </si>
  <si>
    <t>http://twitter.com/Maritza67335907/status/1113126817756573696</t>
  </si>
  <si>
    <t>April 02, 2019 at 12:11PM</t>
  </si>
  <si>
    <t>http://twitter.com/IvanGarciaMayer/status/1113127257151864833</t>
  </si>
  <si>
    <t>April 02, 2019 at 12:13PM</t>
  </si>
  <si>
    <t>http://twitter.com/IvanGarciaMayer/status/1113127303310184449</t>
  </si>
  <si>
    <t>@apranorte</t>
  </si>
  <si>
    <t>http://twitter.com/apranorte/status/1113127329541382145</t>
  </si>
  <si>
    <t>http://twitter.com/Maritza67335907/status/1113127390987870210</t>
  </si>
  <si>
    <t>http://twitter.com/mercedialo/status/1113127459057270784</t>
  </si>
  <si>
    <t>April 02, 2019 at 12:14PM</t>
  </si>
  <si>
    <t>@jfowks</t>
  </si>
  <si>
    <t>http://twitter.com/jfowks/status/1113127754122346498</t>
  </si>
  <si>
    <t>April 02, 2019 at 12:15PM</t>
  </si>
  <si>
    <t>@ErickDiax</t>
  </si>
  <si>
    <t>http://twitter.com/ErickDiax/status/1113155496826023937</t>
  </si>
  <si>
    <t>April 02, 2019 at 02:05PM</t>
  </si>
  <si>
    <t>@morgxan</t>
  </si>
  <si>
    <t>http://twitter.com/morgxan/status/1113155750329757697</t>
  </si>
  <si>
    <t>April 02, 2019 at 02:06PM</t>
  </si>
  <si>
    <t>@LeslieMorenoC</t>
  </si>
  <si>
    <t>http://twitter.com/LeslieMorenoC/status/1113155776992948224</t>
  </si>
  <si>
    <t>@rocioleonrodrig</t>
  </si>
  <si>
    <t>http://twitter.com/rocioleonrodrig/status/1113156521565786112</t>
  </si>
  <si>
    <t>April 02, 2019 at 02:09PM</t>
  </si>
  <si>
    <t>@ZumaetaOyarce</t>
  </si>
  <si>
    <t>http://twitter.com/ZumaetaOyarce/status/1113156632681308161</t>
  </si>
  <si>
    <t>@ubillus_jaime</t>
  </si>
  <si>
    <t>http://twitter.com/ubillus_jaime/status/1113156669742043136</t>
  </si>
  <si>
    <t>April 02, 2019 at 02:10PM</t>
  </si>
  <si>
    <t>@ARTUROLOAYZA3</t>
  </si>
  <si>
    <t>http://twitter.com/ARTUROLOAYZA3/status/1113156707427995648</t>
  </si>
  <si>
    <t>@jorazem</t>
  </si>
  <si>
    <t>http://twitter.com/jorazem/status/1113156953528778754</t>
  </si>
  <si>
    <t>April 02, 2019 at 02:11PM</t>
  </si>
  <si>
    <t>@RainieroLeon</t>
  </si>
  <si>
    <t>http://twitter.com/RainieroLeon/status/1113157064967303168</t>
  </si>
  <si>
    <t>@raattiixx_</t>
  </si>
  <si>
    <t>http://twitter.com/raattiixx_/status/1113157233431465984</t>
  </si>
  <si>
    <t>April 02, 2019 at 02:12PM</t>
  </si>
  <si>
    <t>http://twitter.com/RoselySevilla/status/1113157313484009479</t>
  </si>
  <si>
    <t>@peruconsume</t>
  </si>
  <si>
    <t>http://twitter.com/peruconsume/status/1113157914343034880</t>
  </si>
  <si>
    <t>April 02, 2019 at 02:15PM</t>
  </si>
  <si>
    <t>@Educol49</t>
  </si>
  <si>
    <t>http://twitter.com/Educol49/status/1113158483640246272</t>
  </si>
  <si>
    <t>April 02, 2019 at 02:17PM</t>
  </si>
  <si>
    <t>http://twitter.com/miguelinomen53/status/1113185547911086081</t>
  </si>
  <si>
    <t>April 02, 2019 at 04:04PM</t>
  </si>
  <si>
    <t>@Buendia_Aurelin</t>
  </si>
  <si>
    <t>http://twitter.com/Buendia_Aurelin/status/1113185811921600512</t>
  </si>
  <si>
    <t>April 02, 2019 at 04:05PM</t>
  </si>
  <si>
    <t>@aljao_</t>
  </si>
  <si>
    <t>http://twitter.com/aljao_/status/1113185982793310208</t>
  </si>
  <si>
    <t>April 02, 2019 at 04:06PM</t>
  </si>
  <si>
    <t>@isidorodelagaor</t>
  </si>
  <si>
    <t>http://twitter.com/isidorodelagaor/status/1113186201802964992</t>
  </si>
  <si>
    <t>April 02, 2019 at 04:07PM</t>
  </si>
  <si>
    <t>@I_Karit0</t>
  </si>
  <si>
    <t>http://twitter.com/I_Karit0/status/1113186210569183232</t>
  </si>
  <si>
    <t>@girlsynick</t>
  </si>
  <si>
    <t>http://twitter.com/girlsynick/status/1113186445760577538</t>
  </si>
  <si>
    <t>April 02, 2019 at 04:08PM</t>
  </si>
  <si>
    <t>@MvergaraMendiv1</t>
  </si>
  <si>
    <t>http://twitter.com/MvergaraMendiv1/status/1113186922606809089</t>
  </si>
  <si>
    <t>April 02, 2019 at 04:10PM</t>
  </si>
  <si>
    <t>@hlrmariana</t>
  </si>
  <si>
    <t>http://twitter.com/hlrmariana/status/1113187023769272327</t>
  </si>
  <si>
    <t>@jumemeva_melina</t>
  </si>
  <si>
    <t>http://twitter.com/jumemeva_melina/status/1113187090659971073</t>
  </si>
  <si>
    <t>http://twitter.com/Gestionpe/status/1113187760096055297</t>
  </si>
  <si>
    <t>April 02, 2019 at 04:13PM</t>
  </si>
  <si>
    <t>@jimmycerf</t>
  </si>
  <si>
    <t>http://twitter.com/jimmycerf/status/1113187941235523585</t>
  </si>
  <si>
    <t>April 02, 2019 at 04:14PM</t>
  </si>
  <si>
    <t>@Yeshuahqh</t>
  </si>
  <si>
    <t>http://twitter.com/Yeshuahqh/status/1113188024366583810</t>
  </si>
  <si>
    <t>@luiz_ayrao</t>
  </si>
  <si>
    <t>http://twitter.com/luiz_ayrao/status/1113188139168874496</t>
  </si>
  <si>
    <t>April 02, 2019 at 04:15PM</t>
  </si>
  <si>
    <t>@WilsonCoronad17</t>
  </si>
  <si>
    <t>http://twitter.com/WilsonCoronad17/status/1113188381444505600</t>
  </si>
  <si>
    <t>April 02, 2019 at 04:16PM</t>
  </si>
  <si>
    <t>@Matonquiqui</t>
  </si>
  <si>
    <t>http://twitter.com/Matonquiqui/status/1113216893735899136</t>
  </si>
  <si>
    <t>April 02, 2019 at 06:09PM</t>
  </si>
  <si>
    <t>@desousatavqes</t>
  </si>
  <si>
    <t>http://twitter.com/desousatavqes/status/1113217191439228928</t>
  </si>
  <si>
    <t>April 02, 2019 at 06:10PM</t>
  </si>
  <si>
    <t>@josephbrinas</t>
  </si>
  <si>
    <t>http://twitter.com/josephbrinas/status/1113217233121972224</t>
  </si>
  <si>
    <t>http://twitter.com/elialegre13/status/1113217826976862209</t>
  </si>
  <si>
    <t>April 02, 2019 at 06:13PM</t>
  </si>
  <si>
    <t>http://twitter.com/Ojo_Publico/status/1113217978697363457</t>
  </si>
  <si>
    <t>http://twitter.com/proactivoperu/status/1113218084943421448</t>
  </si>
  <si>
    <t>April 02, 2019 at 06:14PM</t>
  </si>
  <si>
    <t>@pieldeotonio</t>
  </si>
  <si>
    <t>http://twitter.com/pieldeotonio/status/1113218132154433537</t>
  </si>
  <si>
    <t>@SariSant03</t>
  </si>
  <si>
    <t>http://twitter.com/SariSant03/status/1113218527379505158</t>
  </si>
  <si>
    <t>April 02, 2019 at 06:15PM</t>
  </si>
  <si>
    <t>@Malissnu</t>
  </si>
  <si>
    <t>http://twitter.com/Malissnu/status/1113218661689495553</t>
  </si>
  <si>
    <t>April 02, 2019 at 06:16PM</t>
  </si>
  <si>
    <t>@BancadaAPP</t>
  </si>
  <si>
    <t>http://twitter.com/BancadaAPP/status/1113218956918128640</t>
  </si>
  <si>
    <t>April 02, 2019 at 06:17PM</t>
  </si>
  <si>
    <t>@john_francis32</t>
  </si>
  <si>
    <t>http://twitter.com/john_francis32/status/1113219224602841095</t>
  </si>
  <si>
    <t>April 02, 2019 at 06:18PM</t>
  </si>
  <si>
    <t>http://twitter.com/JorgeEv27674587/status/1113219288645533696</t>
  </si>
  <si>
    <t>@ShelleyCabrer14</t>
  </si>
  <si>
    <t>http://twitter.com/ShelleyCabrer14/status/1113219882185785344</t>
  </si>
  <si>
    <t>April 02, 2019 at 06:21PM</t>
  </si>
  <si>
    <t>@EVELARDEN</t>
  </si>
  <si>
    <t>http://twitter.com/EVELARDEN/status/1113219965266595845</t>
  </si>
  <si>
    <t>http://twitter.com/peruenlanoticia/status/1113220132321599488</t>
  </si>
  <si>
    <t>April 02, 2019 at 06:22PM</t>
  </si>
  <si>
    <t>@NarcizoMirna</t>
  </si>
  <si>
    <t>http://twitter.com/NarcizoMirna/status/1113246702713090048</t>
  </si>
  <si>
    <t>April 02, 2019 at 08:07PM</t>
  </si>
  <si>
    <t>@BPerdisci</t>
  </si>
  <si>
    <t>http://twitter.com/BPerdisci/status/1113246762754560000</t>
  </si>
  <si>
    <t>April 02, 2019 at 08:08PM</t>
  </si>
  <si>
    <t>@danielamunira</t>
  </si>
  <si>
    <t>http://twitter.com/danielamunira/status/1113246844992327680</t>
  </si>
  <si>
    <t>http://twitter.com/everreynosoh/status/1113246952123191298</t>
  </si>
  <si>
    <t>http://twitter.com/canalN_/status/1113247072822681600</t>
  </si>
  <si>
    <t>April 02, 2019 at 08:09PM</t>
  </si>
  <si>
    <t>@NanaBaumgardt</t>
  </si>
  <si>
    <t>http://twitter.com/NanaBaumgardt/status/1113247344034746368</t>
  </si>
  <si>
    <t>April 02, 2019 at 08:10PM</t>
  </si>
  <si>
    <t>http://twitter.com/Leodas13/status/1113247420329136129</t>
  </si>
  <si>
    <t>@victori39804465</t>
  </si>
  <si>
    <t>http://twitter.com/victori39804465/status/1113247498393538562</t>
  </si>
  <si>
    <t>April 02, 2019 at 08:11PM</t>
  </si>
  <si>
    <t>@opsldn</t>
  </si>
  <si>
    <t>http://twitter.com/opsldn/status/1113247814086266880</t>
  </si>
  <si>
    <t>April 02, 2019 at 08:12PM</t>
  </si>
  <si>
    <t>@VozPeru1</t>
  </si>
  <si>
    <t>http://twitter.com/VozPeru1/status/1113248060019216384</t>
  </si>
  <si>
    <t>April 02, 2019 at 08:13PM</t>
  </si>
  <si>
    <t>@iza_pontess</t>
  </si>
  <si>
    <t>http://twitter.com/iza_pontess/status/1113248218509381633</t>
  </si>
  <si>
    <t>@MIOPINION1943</t>
  </si>
  <si>
    <t>http://twitter.com/MIOPINION1943/status/1113248278869696513</t>
  </si>
  <si>
    <t>April 02, 2019 at 08:14PM</t>
  </si>
  <si>
    <t>@xafu</t>
  </si>
  <si>
    <t>http://twitter.com/xafu/status/1113248326198099968</t>
  </si>
  <si>
    <t>@Brunachr_</t>
  </si>
  <si>
    <t>http://twitter.com/Brunachr_/status/1113276509819682821</t>
  </si>
  <si>
    <t>April 02, 2019 at 10:06PM</t>
  </si>
  <si>
    <t>@luismanassevit1</t>
  </si>
  <si>
    <t>http://twitter.com/luismanassevit1/status/1113276827794059264</t>
  </si>
  <si>
    <t>April 02, 2019 at 10:07PM</t>
  </si>
  <si>
    <t>@Dua_poli</t>
  </si>
  <si>
    <t>http://twitter.com/Dua_poli/status/1113277113598119937</t>
  </si>
  <si>
    <t>April 02, 2019 at 10:08PM</t>
  </si>
  <si>
    <t>http://twitter.com/ucinoticias_pe/status/1113277183206862848</t>
  </si>
  <si>
    <t>@wauqi_prensa</t>
  </si>
  <si>
    <t>http://twitter.com/wauqi_prensa/status/1113277297300258817</t>
  </si>
  <si>
    <t>April 02, 2019 at 10:09PM</t>
  </si>
  <si>
    <t>@3soj68</t>
  </si>
  <si>
    <t>http://twitter.com/3soj68/status/1113277301259591680</t>
  </si>
  <si>
    <t>@perucomweb</t>
  </si>
  <si>
    <t>http://twitter.com/perucomweb/status/1113277362458759168</t>
  </si>
  <si>
    <t>http://twitter.com/wauqi_prensa/status/1113277377268932608</t>
  </si>
  <si>
    <t>@heisenmuark</t>
  </si>
  <si>
    <t>http://twitter.com/heisenmuark/status/1113277486618632192</t>
  </si>
  <si>
    <t>April 02, 2019 at 10:10PM</t>
  </si>
  <si>
    <t>@Robmelen</t>
  </si>
  <si>
    <t>http://twitter.com/Robmelen/status/1113277614028988417</t>
  </si>
  <si>
    <t>@guillermoenuso</t>
  </si>
  <si>
    <t>http://twitter.com/guillermoenuso/status/1113277885379428353</t>
  </si>
  <si>
    <t>April 02, 2019 at 10:11PM</t>
  </si>
  <si>
    <t>@andrea_closa</t>
  </si>
  <si>
    <t>http://twitter.com/andrea_closa/status/1113277979625492480</t>
  </si>
  <si>
    <t>April 02, 2019 at 10:12PM</t>
  </si>
  <si>
    <t>@MijaelGLP</t>
  </si>
  <si>
    <t>http://twitter.com/MijaelGLP/status/1113301036192677888</t>
  </si>
  <si>
    <t>April 02, 2019 at 11:43PM</t>
  </si>
  <si>
    <t>http://twitter.com/Gestionpe/status/1113301348244545536</t>
  </si>
  <si>
    <t>April 02, 2019 at 11:45PM</t>
  </si>
  <si>
    <t>@silviahupiu</t>
  </si>
  <si>
    <t>http://twitter.com/silviahupiu/status/1113301764156137478</t>
  </si>
  <si>
    <t>April 02, 2019 at 11:46PM</t>
  </si>
  <si>
    <t>@eml229</t>
  </si>
  <si>
    <t>http://twitter.com/eml229/status/1113302205610770432</t>
  </si>
  <si>
    <t>April 02, 2019 at 11:48PM</t>
  </si>
  <si>
    <t>@arnoldferriv</t>
  </si>
  <si>
    <t>http://twitter.com/arnoldferriv/status/1113302322896150528</t>
  </si>
  <si>
    <t>@flecarosb</t>
  </si>
  <si>
    <t>http://twitter.com/flecarosb/status/1113303192245362688</t>
  </si>
  <si>
    <t>April 02, 2019 at 11:52PM</t>
  </si>
  <si>
    <t>@maldittagordura</t>
  </si>
  <si>
    <t>http://twitter.com/maldittagordura/status/1113303289129512960</t>
  </si>
  <si>
    <t>@miguelrom2021</t>
  </si>
  <si>
    <t>http://twitter.com/miguelrom2021/status/1113303794153136128</t>
  </si>
  <si>
    <t>April 02, 2019 at 11:54PM</t>
  </si>
  <si>
    <t>@AndresEspejo40</t>
  </si>
  <si>
    <t>http://twitter.com/AndresEspejo40/status/1113304408521969664</t>
  </si>
  <si>
    <t>April 02, 2019 at 11:57PM</t>
  </si>
  <si>
    <t>@SalvadorHeresi</t>
  </si>
  <si>
    <t>http://twitter.com/SalvadorHeresi/status/1113304510246596608</t>
  </si>
  <si>
    <t>@Gatitadelsur</t>
  </si>
  <si>
    <t>http://twitter.com/Gatitadelsur/status/1113304897733169154</t>
  </si>
  <si>
    <t>April 02, 2019 at 11:59PM</t>
  </si>
  <si>
    <t>@Riikka_aa</t>
  </si>
  <si>
    <t>http://twitter.com/Riikka_aa/status/1113305393135005696</t>
  </si>
  <si>
    <t>April 03, 2019 at 12:01AM</t>
  </si>
  <si>
    <t>@vimefa</t>
  </si>
  <si>
    <t>http://twitter.com/vimefa/status/1113305535309385730</t>
  </si>
  <si>
    <t>http://twitter.com/vimefa/status/1113305661855686656</t>
  </si>
  <si>
    <t>April 03, 2019 at 12:02AM</t>
  </si>
  <si>
    <t>http://twitter.com/arno_anibal/status/1113305956178227201</t>
  </si>
  <si>
    <t>April 03, 2019 at 12:03AM</t>
  </si>
  <si>
    <t>@Richyf321</t>
  </si>
  <si>
    <t>http://twitter.com/Richyf321/status/1113322470654738432</t>
  </si>
  <si>
    <t>April 03, 2019 at 01:08AM</t>
  </si>
  <si>
    <t>http://twitter.com/Richyf321/status/1113322540993318912</t>
  </si>
  <si>
    <t>April 03, 2019 at 01:09AM</t>
  </si>
  <si>
    <t>@freeheel3</t>
  </si>
  <si>
    <t>http://twitter.com/freeheel3/status/1113322550224777222</t>
  </si>
  <si>
    <t>@Malone1560Juan</t>
  </si>
  <si>
    <t>http://twitter.com/Malone1560Juan/status/1113323743965786114</t>
  </si>
  <si>
    <t>April 03, 2019 at 01:13AM</t>
  </si>
  <si>
    <t>@davidmoralesv_</t>
  </si>
  <si>
    <t>http://twitter.com/davidmoralesv_/status/1113324143234170880</t>
  </si>
  <si>
    <t>April 03, 2019 at 01:15AM</t>
  </si>
  <si>
    <t>http://twitter.com/LilianaJimnezLo/status/1113325095936593920</t>
  </si>
  <si>
    <t>April 03, 2019 at 01:19AM</t>
  </si>
  <si>
    <t>@neru192</t>
  </si>
  <si>
    <t>http://twitter.com/neru192/status/1113326862456053761</t>
  </si>
  <si>
    <t>April 03, 2019 at 01:26AM</t>
  </si>
  <si>
    <t>@paulgriffiths46</t>
  </si>
  <si>
    <t>http://twitter.com/paulgriffiths46/status/1113327444575096832</t>
  </si>
  <si>
    <t>April 03, 2019 at 01:28AM</t>
  </si>
  <si>
    <t>@tidd_83</t>
  </si>
  <si>
    <t>http://twitter.com/tidd_83/status/1113327538909143040</t>
  </si>
  <si>
    <t>April 03, 2019 at 01:29AM</t>
  </si>
  <si>
    <t>http://twitter.com/tidd_83/status/1113327584484515841</t>
  </si>
  <si>
    <t>@HectorUrtecho</t>
  </si>
  <si>
    <t>http://twitter.com/HectorUrtecho/status/1113327789216813056</t>
  </si>
  <si>
    <t>April 03, 2019 at 01:30AM</t>
  </si>
  <si>
    <t>http://twitter.com/tidd_83/status/1113328174811832320</t>
  </si>
  <si>
    <t>April 03, 2019 at 01:31AM</t>
  </si>
  <si>
    <t>http://twitter.com/tidd_83/status/1113328209372819456</t>
  </si>
  <si>
    <t>@JStayin</t>
  </si>
  <si>
    <t>http://twitter.com/JStayin/status/1113329623096528896</t>
  </si>
  <si>
    <t>April 03, 2019 at 01:37AM</t>
  </si>
  <si>
    <t>@AmesIvonne</t>
  </si>
  <si>
    <t>http://twitter.com/AmesIvonne/status/1113329830995611648</t>
  </si>
  <si>
    <t>April 03, 2019 at 01:38AM</t>
  </si>
  <si>
    <t>@prettydamocles</t>
  </si>
  <si>
    <t>http://twitter.com/prettydamocles/status/1113329968413597696</t>
  </si>
  <si>
    <t>@Ivonnernestina</t>
  </si>
  <si>
    <t>http://twitter.com/Ivonnernestina/status/1113338350650449920</t>
  </si>
  <si>
    <t>April 03, 2019 at 02:12AM</t>
  </si>
  <si>
    <t>@bobbyoflondon</t>
  </si>
  <si>
    <t>http://twitter.com/bobbyoflondon/status/1113341531610656768</t>
  </si>
  <si>
    <t>April 03, 2019 at 02:24AM</t>
  </si>
  <si>
    <t>@rondonaza</t>
  </si>
  <si>
    <t>http://twitter.com/rondonaza/status/1113343602401345536</t>
  </si>
  <si>
    <t>April 03, 2019 at 02:32AM</t>
  </si>
  <si>
    <t>http://twitter.com/marianalup/status/1113344032552509440</t>
  </si>
  <si>
    <t>April 03, 2019 at 02:34AM</t>
  </si>
  <si>
    <t>@almaberenguel</t>
  </si>
  <si>
    <t>http://twitter.com/almaberenguel/status/1113344844947251201</t>
  </si>
  <si>
    <t>April 03, 2019 at 02:37AM</t>
  </si>
  <si>
    <t>http://twitter.com/rondonaza/status/1113346205831057408</t>
  </si>
  <si>
    <t>April 03, 2019 at 02:43AM</t>
  </si>
  <si>
    <t>@Jamesbevan96</t>
  </si>
  <si>
    <t>http://twitter.com/Jamesbevan96/status/1113346598501867521</t>
  </si>
  <si>
    <t>April 03, 2019 at 02:44AM</t>
  </si>
  <si>
    <t>@2730Mera</t>
  </si>
  <si>
    <t>http://twitter.com/2730Mera/status/1113346933555388416</t>
  </si>
  <si>
    <t>April 03, 2019 at 02:46AM</t>
  </si>
  <si>
    <t>http://twitter.com/2730Mera/status/1113347090661498880</t>
  </si>
  <si>
    <t>@Consy2017</t>
  </si>
  <si>
    <t>http://twitter.com/Consy2017/status/1113347373466640385</t>
  </si>
  <si>
    <t>April 03, 2019 at 02:47AM</t>
  </si>
  <si>
    <t>@EmaNoticias</t>
  </si>
  <si>
    <t>http://twitter.com/EmaNoticias/status/1113349279198916609</t>
  </si>
  <si>
    <t>April 03, 2019 at 02:55AM</t>
  </si>
  <si>
    <t>http://twitter.com/Gestionpe/status/1113351680152678400</t>
  </si>
  <si>
    <t>April 03, 2019 at 03:05AM</t>
  </si>
  <si>
    <t>@quevedo_aries</t>
  </si>
  <si>
    <t>http://twitter.com/quevedo_aries/status/1113353714897707008</t>
  </si>
  <si>
    <t>April 03, 2019 at 03:13AM</t>
  </si>
  <si>
    <t>@Wolfdruida</t>
  </si>
  <si>
    <t>http://twitter.com/Wolfdruida/status/1113357256702214144</t>
  </si>
  <si>
    <t>April 03, 2019 at 03:27AM</t>
  </si>
  <si>
    <t>@KyaneTank</t>
  </si>
  <si>
    <t>http://twitter.com/KyaneTank/status/1113358002365632514</t>
  </si>
  <si>
    <t>April 03, 2019 at 03:30AM</t>
  </si>
  <si>
    <t>http://twitter.com/josephbrinas/status/1113359138967285761</t>
  </si>
  <si>
    <t>April 03, 2019 at 03:34AM</t>
  </si>
  <si>
    <t>@Hispantv</t>
  </si>
  <si>
    <t>http://twitter.com/Hispantv/status/1113379408604205056</t>
  </si>
  <si>
    <t>April 03, 2019 at 04:55AM</t>
  </si>
  <si>
    <t>@verdadalmundo</t>
  </si>
  <si>
    <t>http://twitter.com/verdadalmundo/status/1113380169140580352</t>
  </si>
  <si>
    <t>April 03, 2019 at 04:58AM</t>
  </si>
  <si>
    <t>@orates72</t>
  </si>
  <si>
    <t>http://twitter.com/orates72/status/1113381956157431809</t>
  </si>
  <si>
    <t>April 03, 2019 at 05:05AM</t>
  </si>
  <si>
    <t>@sergigaga</t>
  </si>
  <si>
    <t>http://twitter.com/sergigaga/status/1113382032133038080</t>
  </si>
  <si>
    <t>http://twitter.com/exitosape/status/1113382552801300480</t>
  </si>
  <si>
    <t>April 03, 2019 at 05:07AM</t>
  </si>
  <si>
    <t>@MaikaGoncalves</t>
  </si>
  <si>
    <t>http://twitter.com/MaikaGoncalves/status/1113384051925241856</t>
  </si>
  <si>
    <t>April 03, 2019 at 05:13AM</t>
  </si>
  <si>
    <t>@hectorarroyo</t>
  </si>
  <si>
    <t>http://twitter.com/hectorarroyo/status/1113385036290699270</t>
  </si>
  <si>
    <t>April 03, 2019 at 05:17AM</t>
  </si>
  <si>
    <t>@HARTOS16</t>
  </si>
  <si>
    <t>http://twitter.com/HARTOS16/status/1113385123481890816</t>
  </si>
  <si>
    <t>@FuenTerera</t>
  </si>
  <si>
    <t>http://twitter.com/FuenTerera/status/1113386148376797184</t>
  </si>
  <si>
    <t>April 03, 2019 at 05:21AM</t>
  </si>
  <si>
    <t>@saezitus</t>
  </si>
  <si>
    <t>http://twitter.com/saezitus/status/1113386871822913536</t>
  </si>
  <si>
    <t>April 03, 2019 at 05:24AM</t>
  </si>
  <si>
    <t>@omarzambranoz</t>
  </si>
  <si>
    <t>http://twitter.com/omarzambranoz/status/1113387358022451201</t>
  </si>
  <si>
    <t>April 03, 2019 at 05:26AM</t>
  </si>
  <si>
    <t>@LONDONAIMCAP</t>
  </si>
  <si>
    <t>http://twitter.com/LONDONAIMCAP/status/1113388188763066369</t>
  </si>
  <si>
    <t>April 03, 2019 at 05:30AM</t>
  </si>
  <si>
    <t>@EMigueeee</t>
  </si>
  <si>
    <t>http://twitter.com/EMigueeee/status/1113390112006660096</t>
  </si>
  <si>
    <t>April 03, 2019 at 05:37AM</t>
  </si>
  <si>
    <t>@Inf_Alternativa</t>
  </si>
  <si>
    <t>http://twitter.com/Inf_Alternativa/status/1113390445822906368</t>
  </si>
  <si>
    <t>April 03, 2019 at 05:39AM</t>
  </si>
  <si>
    <t>@geopoliting</t>
  </si>
  <si>
    <t>http://twitter.com/geopoliting/status/1113428251320492032</t>
  </si>
  <si>
    <t>April 03, 2019 at 08:09AM</t>
  </si>
  <si>
    <t>http://twitter.com/Plinio2009/status/1113428574076395520</t>
  </si>
  <si>
    <t>April 03, 2019 at 08:10AM</t>
  </si>
  <si>
    <t>@SegundoMattaC</t>
  </si>
  <si>
    <t>http://twitter.com/SegundoMattaC/status/1113429052948398080</t>
  </si>
  <si>
    <t>April 03, 2019 at 08:12AM</t>
  </si>
  <si>
    <t>http://twitter.com/SegundoMattaC/status/1113429072074375168</t>
  </si>
  <si>
    <t>http://twitter.com/cesarpeirano/status/1113429104274092032</t>
  </si>
  <si>
    <t>http://twitter.com/alfatrionn/status/1113429255248056322</t>
  </si>
  <si>
    <t>April 03, 2019 at 08:13AM</t>
  </si>
  <si>
    <t>@jarojas_a</t>
  </si>
  <si>
    <t>http://twitter.com/jarojas_a/status/1113429342493839361</t>
  </si>
  <si>
    <t>@Neryemj</t>
  </si>
  <si>
    <t>http://twitter.com/Neryemj/status/1113429496965869568</t>
  </si>
  <si>
    <t>April 03, 2019 at 08:14AM</t>
  </si>
  <si>
    <t>http://twitter.com/ExpresoPeru/status/1113429588913291264</t>
  </si>
  <si>
    <t>@Blogdofavre</t>
  </si>
  <si>
    <t>http://twitter.com/Blogdofavre/status/1113429694605611008</t>
  </si>
  <si>
    <t>April 03, 2019 at 08:15AM</t>
  </si>
  <si>
    <t>@RaulQuintarueda</t>
  </si>
  <si>
    <t>http://twitter.com/RaulQuintarueda/status/1113430704271036416</t>
  </si>
  <si>
    <t>April 03, 2019 at 08:19AM</t>
  </si>
  <si>
    <t>@jcsilvagonzales</t>
  </si>
  <si>
    <t>http://twitter.com/jcsilvagonzales/status/1113430735086673920</t>
  </si>
  <si>
    <t>@Matices_revista</t>
  </si>
  <si>
    <t>http://twitter.com/Matices_revista/status/1113430738660208642</t>
  </si>
  <si>
    <t>@PPKEIKOFREE</t>
  </si>
  <si>
    <t>http://twitter.com/PPKEIKOFREE/status/1113431027211436032</t>
  </si>
  <si>
    <t>April 03, 2019 at 08:20AM</t>
  </si>
  <si>
    <t>@LEVI0SAMENDES</t>
  </si>
  <si>
    <t>http://twitter.com/LEVI0SAMENDES/status/1113431046022991872</t>
  </si>
  <si>
    <t>@El_Gran_Angular</t>
  </si>
  <si>
    <t>http://twitter.com/El_Gran_Angular/status/1113431104554524676</t>
  </si>
  <si>
    <t>http://twitter.com/diariocorreo/status/1113459014971604992</t>
  </si>
  <si>
    <t>April 03, 2019 at 10:11AM</t>
  </si>
  <si>
    <t>@antimarxistass</t>
  </si>
  <si>
    <t>http://twitter.com/antimarxistass/status/1113459072869838850</t>
  </si>
  <si>
    <t>@arrunte5</t>
  </si>
  <si>
    <t>http://twitter.com/arrunte5/status/1113459313039749121</t>
  </si>
  <si>
    <t>April 03, 2019 at 10:12AM</t>
  </si>
  <si>
    <t>@JhenyMin</t>
  </si>
  <si>
    <t>http://twitter.com/JhenyMin/status/1113459362356449280</t>
  </si>
  <si>
    <t>@joneyjuana</t>
  </si>
  <si>
    <t>http://twitter.com/joneyjuana/status/1113459370887716866</t>
  </si>
  <si>
    <t>http://twitter.com/arrunte5/status/1113459423790358528</t>
  </si>
  <si>
    <t>April 03, 2019 at 10:13AM</t>
  </si>
  <si>
    <t>http://twitter.com/joneyjuana/status/1113459444157952017</t>
  </si>
  <si>
    <t>@glomuri64</t>
  </si>
  <si>
    <t>http://twitter.com/glomuri64/status/1113459754549092353</t>
  </si>
  <si>
    <t>April 03, 2019 at 10:14AM</t>
  </si>
  <si>
    <t>@JAKYCUZCO</t>
  </si>
  <si>
    <t>http://twitter.com/JAKYCUZCO/status/1113459766578294784</t>
  </si>
  <si>
    <t>@CuscoEnPortada</t>
  </si>
  <si>
    <t>http://twitter.com/CuscoEnPortada/status/1113459794818400258</t>
  </si>
  <si>
    <t>@Absoluta64</t>
  </si>
  <si>
    <t>http://twitter.com/Absoluta64/status/1113459812485009408</t>
  </si>
  <si>
    <t>http://twitter.com/josferperu/status/1113460305391226880</t>
  </si>
  <si>
    <t>April 03, 2019 at 10:16AM</t>
  </si>
  <si>
    <t>http://twitter.com/lecorbucier6838/status/1113460394629193728</t>
  </si>
  <si>
    <t>http://twitter.com/Gestionpe/status/1113488018743205889</t>
  </si>
  <si>
    <t>April 03, 2019 at 12:06PM</t>
  </si>
  <si>
    <t>@rudychaa</t>
  </si>
  <si>
    <t>http://twitter.com/rudychaa/status/1113488404342300673</t>
  </si>
  <si>
    <t>April 03, 2019 at 12:08PM</t>
  </si>
  <si>
    <t>http://twitter.com/chungoybatan/status/1113488657984389123</t>
  </si>
  <si>
    <t>April 03, 2019 at 12:09PM</t>
  </si>
  <si>
    <t>@luiz7zz</t>
  </si>
  <si>
    <t>http://twitter.com/luiz7zz/status/1113488740108906498</t>
  </si>
  <si>
    <t>@driandemyx</t>
  </si>
  <si>
    <t>http://twitter.com/driandemyx/status/1113489025199955968</t>
  </si>
  <si>
    <t>April 03, 2019 at 12:10PM</t>
  </si>
  <si>
    <t>@LuisRuiz0901</t>
  </si>
  <si>
    <t>http://twitter.com/LuisRuiz0901/status/1113489162001317888</t>
  </si>
  <si>
    <t>April 03, 2019 at 12:11PM</t>
  </si>
  <si>
    <t>http://twitter.com/WilsonCoronad17/status/1113489184369577986</t>
  </si>
  <si>
    <t>@_diarionuevosol</t>
  </si>
  <si>
    <t>http://twitter.com/_diarionuevosol/status/1113489539006382082</t>
  </si>
  <si>
    <t>April 03, 2019 at 12:12PM</t>
  </si>
  <si>
    <t>@patriciareategu</t>
  </si>
  <si>
    <t>http://twitter.com/patriciareategu/status/1113489641796141057</t>
  </si>
  <si>
    <t>April 03, 2019 at 12:13PM</t>
  </si>
  <si>
    <t>http://twitter.com/proactivoperu/status/1113489746737504257</t>
  </si>
  <si>
    <t>@jeonglamour</t>
  </si>
  <si>
    <t>http://twitter.com/jeonglamour/status/1113489836541919242</t>
  </si>
  <si>
    <t>@Laus52651533</t>
  </si>
  <si>
    <t>http://twitter.com/Laus52651533/status/1113490354249129984</t>
  </si>
  <si>
    <t>April 03, 2019 at 12:16PM</t>
  </si>
  <si>
    <t>@louisftsh</t>
  </si>
  <si>
    <t>http://twitter.com/louisftsh/status/1113490843372085253</t>
  </si>
  <si>
    <t>April 03, 2019 at 12:17PM</t>
  </si>
  <si>
    <t>@Adeica1</t>
  </si>
  <si>
    <t>http://twitter.com/Adeica1/status/1113490869745848320</t>
  </si>
  <si>
    <t>April 03, 2019 at 12:18PM</t>
  </si>
  <si>
    <t>@tortilh4zinh4</t>
  </si>
  <si>
    <t>http://twitter.com/tortilh4zinh4/status/1113518066988613632</t>
  </si>
  <si>
    <t>April 03, 2019 at 02:06PM</t>
  </si>
  <si>
    <t>@Reards17</t>
  </si>
  <si>
    <t>http://twitter.com/Reards17/status/1113518095811981313</t>
  </si>
  <si>
    <t>http://twitter.com/CosmePalpan/status/1113518130599485442</t>
  </si>
  <si>
    <t>@elvistq</t>
  </si>
  <si>
    <t>http://twitter.com/elvistq/status/1113518827218903040</t>
  </si>
  <si>
    <t>April 03, 2019 at 02:09PM</t>
  </si>
  <si>
    <t>@ClauLiberat</t>
  </si>
  <si>
    <t>http://twitter.com/ClauLiberat/status/1113518976095739904</t>
  </si>
  <si>
    <t>@LiberalNoProgre</t>
  </si>
  <si>
    <t>http://twitter.com/LiberalNoProgre/status/1113519204387438593</t>
  </si>
  <si>
    <t>April 03, 2019 at 02:10PM</t>
  </si>
  <si>
    <t>@Urano55</t>
  </si>
  <si>
    <t>http://twitter.com/Urano55/status/1113519212117614593</t>
  </si>
  <si>
    <t>@ESNAVARRO32</t>
  </si>
  <si>
    <t>http://twitter.com/ESNAVARRO32/status/1113519570302767107</t>
  </si>
  <si>
    <t>April 03, 2019 at 02:12PM</t>
  </si>
  <si>
    <t>@ChavezWar</t>
  </si>
  <si>
    <t>http://twitter.com/ChavezWar/status/1113520114861780994</t>
  </si>
  <si>
    <t>April 03, 2019 at 02:14PM</t>
  </si>
  <si>
    <t>@davidashcallay</t>
  </si>
  <si>
    <t>http://twitter.com/davidashcallay/status/1113579575345405952</t>
  </si>
  <si>
    <t>April 03, 2019 at 06:10PM</t>
  </si>
  <si>
    <t>@MLunaTevez</t>
  </si>
  <si>
    <t>http://twitter.com/MLunaTevez/status/1113579774813798400</t>
  </si>
  <si>
    <t>April 03, 2019 at 06:11PM</t>
  </si>
  <si>
    <t>@ppmarino</t>
  </si>
  <si>
    <t>http://twitter.com/ppmarino/status/1113580218084728833</t>
  </si>
  <si>
    <t>April 03, 2019 at 06:13PM</t>
  </si>
  <si>
    <t>@Indiraorozco</t>
  </si>
  <si>
    <t>http://twitter.com/Indiraorozco/status/1113580223495323649</t>
  </si>
  <si>
    <t>@vbroccap</t>
  </si>
  <si>
    <t>http://twitter.com/vbroccap/status/1113580347164381184</t>
  </si>
  <si>
    <t>http://twitter.com/dgrados/status/1113580570720784384</t>
  </si>
  <si>
    <t>April 03, 2019 at 06:14PM</t>
  </si>
  <si>
    <t>http://twitter.com/vbroccap/status/1113580590555643904</t>
  </si>
  <si>
    <t>@MoradosCusco</t>
  </si>
  <si>
    <t>http://twitter.com/MoradosCusco/status/1113580861583253506</t>
  </si>
  <si>
    <t>April 03, 2019 at 06:15PM</t>
  </si>
  <si>
    <t>@MSaldF41</t>
  </si>
  <si>
    <t>http://twitter.com/MSaldF41/status/1113580916889260032</t>
  </si>
  <si>
    <t>@Urozas</t>
  </si>
  <si>
    <t>http://twitter.com/Urozas/status/1113580979577339906</t>
  </si>
  <si>
    <t>April 03, 2019 at 06:16PM</t>
  </si>
  <si>
    <t>@RICARDOALBERTO_</t>
  </si>
  <si>
    <t>http://twitter.com/RICARDOALBERTO_/status/1113581132589694981</t>
  </si>
  <si>
    <t>http://twitter.com/eml229/status/1113581170229415937</t>
  </si>
  <si>
    <t>http://twitter.com/choquecurat/status/1113581211350372353</t>
  </si>
  <si>
    <t>April 03, 2019 at 06:17PM</t>
  </si>
  <si>
    <t>@PedroSanchezH</t>
  </si>
  <si>
    <t>http://twitter.com/PedroSanchezH/status/1113611011481853952</t>
  </si>
  <si>
    <t>April 03, 2019 at 08:15PM</t>
  </si>
  <si>
    <t>http://twitter.com/OZapat1/status/1113611108227665922</t>
  </si>
  <si>
    <t>@PeruanosN</t>
  </si>
  <si>
    <t>http://twitter.com/PeruanosN/status/1113611315145265152</t>
  </si>
  <si>
    <t>April 03, 2019 at 08:16PM</t>
  </si>
  <si>
    <t>@EduardoSalaza48</t>
  </si>
  <si>
    <t>http://twitter.com/EduardoSalaza48/status/1113611544036892672</t>
  </si>
  <si>
    <t>April 03, 2019 at 08:17PM</t>
  </si>
  <si>
    <t>@MiguelA87974638</t>
  </si>
  <si>
    <t>http://twitter.com/MiguelA87974638/status/1113611687503044608</t>
  </si>
  <si>
    <t>April 03, 2019 at 08:18PM</t>
  </si>
  <si>
    <t>@MezoneRives</t>
  </si>
  <si>
    <t>http://twitter.com/MezoneRives/status/1113611759993139201</t>
  </si>
  <si>
    <t>http://twitter.com/guillermoenuso/status/1113611803601330176</t>
  </si>
  <si>
    <t>@AliciARojas</t>
  </si>
  <si>
    <t>http://twitter.com/AliciARojas/status/1113611923839442944</t>
  </si>
  <si>
    <t>April 03, 2019 at 08:19PM</t>
  </si>
  <si>
    <t>http://twitter.com/Agencia_Andina/status/1113612293680529408</t>
  </si>
  <si>
    <t>April 03, 2019 at 08:20PM</t>
  </si>
  <si>
    <t>@Beattriz_cr</t>
  </si>
  <si>
    <t>http://twitter.com/Beattriz_cr/status/1113612391831437312</t>
  </si>
  <si>
    <t>@Mcvteste</t>
  </si>
  <si>
    <t>http://twitter.com/Mcvteste/status/1113612517027340290</t>
  </si>
  <si>
    <t>April 03, 2019 at 08:21PM</t>
  </si>
  <si>
    <t>http://twitter.com/cesarvillarm/status/1113612592268836864</t>
  </si>
  <si>
    <t>http://twitter.com/IvanGarciaMayer/status/1113612627970789377</t>
  </si>
  <si>
    <t>http://twitter.com/AntonioChavezDz/status/1113639212455288832</t>
  </si>
  <si>
    <t>April 03, 2019 at 10:07PM</t>
  </si>
  <si>
    <t>http://twitter.com/Gustavo61818090/status/1113639212627181569</t>
  </si>
  <si>
    <t>@JorgeLuisSenzF1</t>
  </si>
  <si>
    <t>http://twitter.com/JorgeLuisSenzF1/status/1113639361034297344</t>
  </si>
  <si>
    <t>April 03, 2019 at 10:08PM</t>
  </si>
  <si>
    <t>http://twitter.com/homerorm7/status/1113639441690779648</t>
  </si>
  <si>
    <t>http://twitter.com/homerorm7/status/1113639536704327685</t>
  </si>
  <si>
    <t>@LuisNue87974893</t>
  </si>
  <si>
    <t>http://twitter.com/LuisNue87974893/status/1113639657571594242</t>
  </si>
  <si>
    <t>April 03, 2019 at 10:09PM</t>
  </si>
  <si>
    <t>http://twitter.com/homerorm7/status/1113639677897134080</t>
  </si>
  <si>
    <t>@HugoMass1972</t>
  </si>
  <si>
    <t>http://twitter.com/HugoMass1972/status/1113639960752553984</t>
  </si>
  <si>
    <t>April 03, 2019 at 10:10PM</t>
  </si>
  <si>
    <t>@Cesarda27419728</t>
  </si>
  <si>
    <t>http://twitter.com/Cesarda27419728/status/1113640257944211456</t>
  </si>
  <si>
    <t>April 03, 2019 at 10:11PM</t>
  </si>
  <si>
    <t>@ermitcentty</t>
  </si>
  <si>
    <t>http://twitter.com/ermitcentty/status/1113640268778102784</t>
  </si>
  <si>
    <t>@cricridecu</t>
  </si>
  <si>
    <t>http://twitter.com/cricridecu/status/1113640627852517377</t>
  </si>
  <si>
    <t>April 03, 2019 at 10:13PM</t>
  </si>
  <si>
    <t>http://twitter.com/CsargutiCesar/status/1113641170423418880</t>
  </si>
  <si>
    <t>April 03, 2019 at 10:15PM</t>
  </si>
  <si>
    <t>@Leon_final1980</t>
  </si>
  <si>
    <t>http://twitter.com/Leon_final1980/status/1113641194796527617</t>
  </si>
  <si>
    <t>http://twitter.com/CsargutiCesar/status/1113641238866137089</t>
  </si>
  <si>
    <t>http://twitter.com/PublicidaMadrid/status/1113665773275373569</t>
  </si>
  <si>
    <t>April 03, 2019 at 11:53PM</t>
  </si>
  <si>
    <t>http://twitter.com/chungoybatan/status/1113665974903951360</t>
  </si>
  <si>
    <t>@WilfredoSaave11</t>
  </si>
  <si>
    <t>http://twitter.com/WilfredoSaave11/status/1113666106865139713</t>
  </si>
  <si>
    <t>April 03, 2019 at 11:54PM</t>
  </si>
  <si>
    <t>@spartypantsxxl</t>
  </si>
  <si>
    <t>http://twitter.com/spartypantsxxl/status/1113666226423603200</t>
  </si>
  <si>
    <t>@yanay_asiri</t>
  </si>
  <si>
    <t>http://twitter.com/yanay_asiri/status/1113667182800580608</t>
  </si>
  <si>
    <t>April 03, 2019 at 11:58PM</t>
  </si>
  <si>
    <t>@Jcm13141321</t>
  </si>
  <si>
    <t>http://twitter.com/Jcm13141321/status/1113667702520975361</t>
  </si>
  <si>
    <t>April 04, 2019 at 12:00AM</t>
  </si>
  <si>
    <t>@Jurisxx</t>
  </si>
  <si>
    <t>http://twitter.com/Jurisxx/status/1113667775199887360</t>
  </si>
  <si>
    <t>April 04, 2019 at 12:01AM</t>
  </si>
  <si>
    <t>@luisinho_ica</t>
  </si>
  <si>
    <t>http://twitter.com/luisinho_ica/status/1113668570611953664</t>
  </si>
  <si>
    <t>April 04, 2019 at 12:04AM</t>
  </si>
  <si>
    <t>@JoseUcv350z</t>
  </si>
  <si>
    <t>http://twitter.com/JoseUcv350z/status/1113669085794131969</t>
  </si>
  <si>
    <t>April 04, 2019 at 12:06AM</t>
  </si>
  <si>
    <t>@m1lt0n</t>
  </si>
  <si>
    <t>http://twitter.com/m1lt0n/status/1113669276303593472</t>
  </si>
  <si>
    <t>April 04, 2019 at 12:07AM</t>
  </si>
  <si>
    <t>http://twitter.com/SILVYTA27/status/1113670358832439296</t>
  </si>
  <si>
    <t>April 04, 2019 at 12:11AM</t>
  </si>
  <si>
    <t>@rai_PY</t>
  </si>
  <si>
    <t>http://twitter.com/rai_PY/status/1113681176005304321</t>
  </si>
  <si>
    <t>April 04, 2019 at 12:54AM</t>
  </si>
  <si>
    <t>@EverCabanillas</t>
  </si>
  <si>
    <t>http://twitter.com/EverCabanillas/status/1113681766089469953</t>
  </si>
  <si>
    <t>April 04, 2019 at 12:56AM</t>
  </si>
  <si>
    <t>http://twitter.com/peru21noticias/status/1113682613036879872</t>
  </si>
  <si>
    <t>April 04, 2019 at 01:00AM</t>
  </si>
  <si>
    <t>@mRsPozo1</t>
  </si>
  <si>
    <t>http://twitter.com/mRsPozo1/status/1113682780855181312</t>
  </si>
  <si>
    <t>@OlekTeresa</t>
  </si>
  <si>
    <t>http://twitter.com/OlekTeresa/status/1113683326647373825</t>
  </si>
  <si>
    <t>April 04, 2019 at 01:02AM</t>
  </si>
  <si>
    <t>@el_observante_</t>
  </si>
  <si>
    <t>http://twitter.com/el_observante_/status/1113684031172956161</t>
  </si>
  <si>
    <t>April 04, 2019 at 01:05AM</t>
  </si>
  <si>
    <t>@teresaarbulu</t>
  </si>
  <si>
    <t>http://twitter.com/teresaarbulu/status/1113685035968860160</t>
  </si>
  <si>
    <t>April 04, 2019 at 01:09AM</t>
  </si>
  <si>
    <t>@AmyM1angelmouth</t>
  </si>
  <si>
    <t>http://twitter.com/AmyM1angelmouth/status/1113686753108426752</t>
  </si>
  <si>
    <t>April 04, 2019 at 01:16AM</t>
  </si>
  <si>
    <t>@victor_vizcardo</t>
  </si>
  <si>
    <t>http://twitter.com/victor_vizcardo/status/1113687437228826624</t>
  </si>
  <si>
    <t>April 04, 2019 at 01:19AM</t>
  </si>
  <si>
    <t>@SOS52980067</t>
  </si>
  <si>
    <t>http://twitter.com/SOS52980067/status/1113687993729024000</t>
  </si>
  <si>
    <t>April 04, 2019 at 01:21AM</t>
  </si>
  <si>
    <t>@CATP_Central</t>
  </si>
  <si>
    <t>http://twitter.com/CATP_Central/status/1113688826394873857</t>
  </si>
  <si>
    <t>April 04, 2019 at 01:24AM</t>
  </si>
  <si>
    <t>@MiguelM45020717</t>
  </si>
  <si>
    <t>http://twitter.com/MiguelM45020717/status/1113690694642696192</t>
  </si>
  <si>
    <t>April 04, 2019 at 01:32AM</t>
  </si>
  <si>
    <t>http://twitter.com/elialegre13/status/1113692319356600322</t>
  </si>
  <si>
    <t>April 04, 2019 at 01:38AM</t>
  </si>
  <si>
    <t>@william759</t>
  </si>
  <si>
    <t>http://twitter.com/william759/status/1113693391617966085</t>
  </si>
  <si>
    <t>April 04, 2019 at 01:42AM</t>
  </si>
  <si>
    <t>@RadarApure</t>
  </si>
  <si>
    <t>http://twitter.com/RadarApure/status/1113699092029476865</t>
  </si>
  <si>
    <t>April 04, 2019 at 02:05AM</t>
  </si>
  <si>
    <t>http://twitter.com/Gregorio_Goyo/status/1113700969777455104</t>
  </si>
  <si>
    <t>April 04, 2019 at 02:12AM</t>
  </si>
  <si>
    <t>http://twitter.com/RainieroLeon/status/1113701271683387392</t>
  </si>
  <si>
    <t>April 04, 2019 at 02:14AM</t>
  </si>
  <si>
    <t>@redelaveiga</t>
  </si>
  <si>
    <t>http://twitter.com/redelaveiga/status/1113702631065759744</t>
  </si>
  <si>
    <t>April 04, 2019 at 02:19AM</t>
  </si>
  <si>
    <t>@PubliMBI</t>
  </si>
  <si>
    <t>http://twitter.com/PubliMBI/status/1113703138530353152</t>
  </si>
  <si>
    <t>April 04, 2019 at 02:21AM</t>
  </si>
  <si>
    <t>@SamyH1982</t>
  </si>
  <si>
    <t>http://twitter.com/SamyH1982/status/1113703319120351232</t>
  </si>
  <si>
    <t>April 04, 2019 at 02:22AM</t>
  </si>
  <si>
    <t>http://twitter.com/SamyH1982/status/1113703328997879808</t>
  </si>
  <si>
    <t>@Elessandro_J</t>
  </si>
  <si>
    <t>http://twitter.com/Elessandro_J/status/1113703971472977920</t>
  </si>
  <si>
    <t>April 04, 2019 at 02:24AM</t>
  </si>
  <si>
    <t>http://twitter.com/Leodas13/status/1113704540182908930</t>
  </si>
  <si>
    <t>April 04, 2019 at 02:27AM</t>
  </si>
  <si>
    <t>@capdesur0</t>
  </si>
  <si>
    <t>http://twitter.com/capdesur0/status/1113705788814635008</t>
  </si>
  <si>
    <t>April 04, 2019 at 02:32AM</t>
  </si>
  <si>
    <t>@RadarGuarico</t>
  </si>
  <si>
    <t>http://twitter.com/RadarGuarico/status/1113706445172879360</t>
  </si>
  <si>
    <t>April 04, 2019 at 02:34AM</t>
  </si>
  <si>
    <t>@24HorasTV</t>
  </si>
  <si>
    <t>http://twitter.com/24HorasTV/status/1113706625657987082</t>
  </si>
  <si>
    <t>April 04, 2019 at 02:35AM</t>
  </si>
  <si>
    <t>http://twitter.com/PanamericanaTV/status/1113706626412896257</t>
  </si>
  <si>
    <t>@VecinosMaracay</t>
  </si>
  <si>
    <t>http://twitter.com/VecinosMaracay/status/1113707215704264704</t>
  </si>
  <si>
    <t>April 04, 2019 at 02:37AM</t>
  </si>
  <si>
    <t>@MARLENYSUAREZG</t>
  </si>
  <si>
    <t>http://twitter.com/MARLENYSUAREZG/status/1113707322612670464</t>
  </si>
  <si>
    <t>April 04, 2019 at 02:38AM</t>
  </si>
  <si>
    <t>@oscarchu19531</t>
  </si>
  <si>
    <t>http://twitter.com/oscarchu19531/status/1113707990337691649</t>
  </si>
  <si>
    <t>April 04, 2019 at 02:40AM</t>
  </si>
  <si>
    <t>@PEDRO_VASQUEZ27</t>
  </si>
  <si>
    <t>http://twitter.com/PEDRO_VASQUEZ27/status/1113746379854221312</t>
  </si>
  <si>
    <t>April 04, 2019 at 05:13AM</t>
  </si>
  <si>
    <t>http://twitter.com/contracaidas/status/1113746565917753344</t>
  </si>
  <si>
    <t>April 04, 2019 at 05:14AM</t>
  </si>
  <si>
    <t>@gabriellaperu</t>
  </si>
  <si>
    <t>http://twitter.com/gabriellaperu/status/1113746803223138304</t>
  </si>
  <si>
    <t>April 04, 2019 at 05:15AM</t>
  </si>
  <si>
    <t>http://twitter.com/racsoprimero/status/1113746864011083778</t>
  </si>
  <si>
    <t>@pepeponte88</t>
  </si>
  <si>
    <t>http://twitter.com/pepeponte88/status/1113747097457766400</t>
  </si>
  <si>
    <t>April 04, 2019 at 05:16AM</t>
  </si>
  <si>
    <t>@MirellaBelaunde</t>
  </si>
  <si>
    <t>http://twitter.com/MirellaBelaunde/status/1113747386986389506</t>
  </si>
  <si>
    <t>April 04, 2019 at 05:17AM</t>
  </si>
  <si>
    <t>http://twitter.com/lcbcasbo/status/1113749074728108032</t>
  </si>
  <si>
    <t>April 04, 2019 at 05:24AM</t>
  </si>
  <si>
    <t>@ecuadordeporte</t>
  </si>
  <si>
    <t>http://twitter.com/ecuadordeporte/status/1113750673156390912</t>
  </si>
  <si>
    <t>April 04, 2019 at 05:30AM</t>
  </si>
  <si>
    <t>@PQDInfantaria</t>
  </si>
  <si>
    <t>http://twitter.com/PQDInfantaria/status/1113751114485260288</t>
  </si>
  <si>
    <t>April 04, 2019 at 05:32AM</t>
  </si>
  <si>
    <t>http://twitter.com/PEDRO_VASQUEZ27/status/1113751325530120192</t>
  </si>
  <si>
    <t>April 04, 2019 at 05:33AM</t>
  </si>
  <si>
    <t>@riilara</t>
  </si>
  <si>
    <t>http://twitter.com/riilara/status/1113751391196131328</t>
  </si>
  <si>
    <t>@williamchavez</t>
  </si>
  <si>
    <t>http://twitter.com/williamchavez/status/1113753339345477632</t>
  </si>
  <si>
    <t>April 04, 2019 at 05:41AM</t>
  </si>
  <si>
    <t>@aloha_belaa</t>
  </si>
  <si>
    <t>http://twitter.com/aloha_belaa/status/1113753618702917632</t>
  </si>
  <si>
    <t>April 04, 2019 at 05:42AM</t>
  </si>
  <si>
    <t>http://twitter.com/cesarvillarm/status/1113753736474550273</t>
  </si>
  <si>
    <t>@MejiaoteroMejia</t>
  </si>
  <si>
    <t>http://twitter.com/MejiaoteroMejia/status/1113754863974985728</t>
  </si>
  <si>
    <t>April 04, 2019 at 05:47AM</t>
  </si>
  <si>
    <t>@EfrainArca</t>
  </si>
  <si>
    <t>http://twitter.com/EfrainArca/status/1113790359857979393</t>
  </si>
  <si>
    <t>April 04, 2019 at 08:08AM</t>
  </si>
  <si>
    <t>http://twitter.com/joneyjuana/status/1113790403596230657</t>
  </si>
  <si>
    <t>http://twitter.com/EfrainArca/status/1113790469379633152</t>
  </si>
  <si>
    <t>http://twitter.com/joneyjuana/status/1113790486446247937</t>
  </si>
  <si>
    <t>@crysmilagros</t>
  </si>
  <si>
    <t>http://twitter.com/crysmilagros/status/1113790981503979521</t>
  </si>
  <si>
    <t>April 04, 2019 at 08:10AM</t>
  </si>
  <si>
    <t>@radioprodemu</t>
  </si>
  <si>
    <t>http://twitter.com/radioprodemu/status/1113791484103471104</t>
  </si>
  <si>
    <t>April 04, 2019 at 08:12AM</t>
  </si>
  <si>
    <t>http://twitter.com/FELUCO17/status/1113791494819909634</t>
  </si>
  <si>
    <t>@vmgc2506</t>
  </si>
  <si>
    <t>http://twitter.com/vmgc2506/status/1113791560993341442</t>
  </si>
  <si>
    <t>@Eda2005Del</t>
  </si>
  <si>
    <t>http://twitter.com/Eda2005Del/status/1113791632523051008</t>
  </si>
  <si>
    <t>April 04, 2019 at 08:13AM</t>
  </si>
  <si>
    <t>@rodnuncar</t>
  </si>
  <si>
    <t>http://twitter.com/rodnuncar/status/1113791685627138053</t>
  </si>
  <si>
    <t>@insanaironia</t>
  </si>
  <si>
    <t>http://twitter.com/insanaironia/status/1113791727725420544</t>
  </si>
  <si>
    <t>http://twitter.com/crysmilagros/status/1113791840585572352</t>
  </si>
  <si>
    <t>April 04, 2019 at 08:14AM</t>
  </si>
  <si>
    <t>@cercastel2014</t>
  </si>
  <si>
    <t>http://twitter.com/cercastel2014/status/1113822287432749058</t>
  </si>
  <si>
    <t>April 04, 2019 at 10:15AM</t>
  </si>
  <si>
    <t>@ClaudiaRojasMe</t>
  </si>
  <si>
    <t>http://twitter.com/ClaudiaRojasMe/status/1113822310564335617</t>
  </si>
  <si>
    <t>http://twitter.com/cercastel2014/status/1113822354063462400</t>
  </si>
  <si>
    <t>@RouseCJ</t>
  </si>
  <si>
    <t>http://twitter.com/RouseCJ/status/1113822355564978176</t>
  </si>
  <si>
    <t>http://twitter.com/cercastel2014/status/1113822407805030407</t>
  </si>
  <si>
    <t>@PoliciaPeru</t>
  </si>
  <si>
    <t>http://twitter.com/PoliciaPeru/status/1113822507264557057</t>
  </si>
  <si>
    <t>@Otoniel1109</t>
  </si>
  <si>
    <t>http://twitter.com/Otoniel1109/status/1113822520816361477</t>
  </si>
  <si>
    <t>http://twitter.com/Visionhuaraz/status/1113822646351929344</t>
  </si>
  <si>
    <t>April 04, 2019 at 10:16AM</t>
  </si>
  <si>
    <t>http://twitter.com/cercastel2014/status/1113822686743072768</t>
  </si>
  <si>
    <t>@vpaulve</t>
  </si>
  <si>
    <t>http://twitter.com/vpaulve/status/1113822805559259136</t>
  </si>
  <si>
    <t>April 04, 2019 at 10:17AM</t>
  </si>
  <si>
    <t>@quejate_pe</t>
  </si>
  <si>
    <t>http://twitter.com/quejate_pe/status/1113823267830124546</t>
  </si>
  <si>
    <t>April 04, 2019 at 10:18AM</t>
  </si>
  <si>
    <t>http://twitter.com/reyconbarba/status/1113823367088484352</t>
  </si>
  <si>
    <t>April 04, 2019 at 10:19AM</t>
  </si>
  <si>
    <t>http://twitter.com/delro3000/status/1113823377804943360</t>
  </si>
  <si>
    <t>@martindela67</t>
  </si>
  <si>
    <t>http://twitter.com/martindela67/status/1113823555291156481</t>
  </si>
  <si>
    <t>April 04, 2019 at 10:20AM</t>
  </si>
  <si>
    <t>@aingar</t>
  </si>
  <si>
    <t>http://twitter.com/aingar/status/1113823573603508226</t>
  </si>
  <si>
    <t>@lisarita1956</t>
  </si>
  <si>
    <t>http://twitter.com/lisarita1956/status/1113850622590234625</t>
  </si>
  <si>
    <t>April 04, 2019 at 12:07PM</t>
  </si>
  <si>
    <t>http://twitter.com/lisarita1956/status/1113850717293502464</t>
  </si>
  <si>
    <t>April 04, 2019 at 12:08PM</t>
  </si>
  <si>
    <t>http://twitter.com/kuervito76/status/1113850777104191489</t>
  </si>
  <si>
    <t>@CalderonPasache</t>
  </si>
  <si>
    <t>http://twitter.com/CalderonPasache/status/1113850904271302662</t>
  </si>
  <si>
    <t>@claudia_mho</t>
  </si>
  <si>
    <t>http://twitter.com/claudia_mho/status/1113850913494577152</t>
  </si>
  <si>
    <t>http://twitter.com/lisarita1956/status/1113850916434739200</t>
  </si>
  <si>
    <t>@Politica_ECpe</t>
  </si>
  <si>
    <t>http://twitter.com/Politica_ECpe/status/1113851042020642817</t>
  </si>
  <si>
    <t>April 04, 2019 at 12:09PM</t>
  </si>
  <si>
    <t>@yovana71209824</t>
  </si>
  <si>
    <t>http://twitter.com/yovana71209824/status/1113851194819207168</t>
  </si>
  <si>
    <t>http://twitter.com/vpaulve/status/1113851267539972096</t>
  </si>
  <si>
    <t>April 04, 2019 at 12:10PM</t>
  </si>
  <si>
    <t>http://twitter.com/homerorm7/status/1113851297571180547</t>
  </si>
  <si>
    <t>@joralh3</t>
  </si>
  <si>
    <t>http://twitter.com/joralh3/status/1113851528257986561</t>
  </si>
  <si>
    <t>April 04, 2019 at 12:11PM</t>
  </si>
  <si>
    <t>@zaid_solrac</t>
  </si>
  <si>
    <t>http://twitter.com/zaid_solrac/status/1113882852662312960</t>
  </si>
  <si>
    <t>April 04, 2019 at 02:15PM</t>
  </si>
  <si>
    <t>@mariiadepaaz</t>
  </si>
  <si>
    <t>http://twitter.com/mariiadepaaz/status/1113883051237543936</t>
  </si>
  <si>
    <t>April 04, 2019 at 02:16PM</t>
  </si>
  <si>
    <t>@TemplanzaTeson</t>
  </si>
  <si>
    <t>http://twitter.com/TemplanzaTeson/status/1113883152664154112</t>
  </si>
  <si>
    <t>http://twitter.com/TemplanzaTeson/status/1113883213112410113</t>
  </si>
  <si>
    <t>April 04, 2019 at 02:17PM</t>
  </si>
  <si>
    <t>@RGersonLC</t>
  </si>
  <si>
    <t>http://twitter.com/RGersonLC/status/1113883644840558592</t>
  </si>
  <si>
    <t>April 04, 2019 at 02:18PM</t>
  </si>
  <si>
    <t>http://twitter.com/JorgeLuisSenzF1/status/1113883926509047808</t>
  </si>
  <si>
    <t>April 04, 2019 at 02:19PM</t>
  </si>
  <si>
    <t>@oskarbuto</t>
  </si>
  <si>
    <t>http://twitter.com/oskarbuto/status/1113884078577737728</t>
  </si>
  <si>
    <t>April 04, 2019 at 02:20PM</t>
  </si>
  <si>
    <t>@Sirokotv</t>
  </si>
  <si>
    <t>http://twitter.com/Sirokotv/status/1113884286795567105</t>
  </si>
  <si>
    <t>April 04, 2019 at 02:21PM</t>
  </si>
  <si>
    <t>@JorgeLuisSedano</t>
  </si>
  <si>
    <t>http://twitter.com/JorgeLuisSedano/status/1113884374993461255</t>
  </si>
  <si>
    <t>@rodama9758</t>
  </si>
  <si>
    <t>http://twitter.com/rodama9758/status/1113884391963615232</t>
  </si>
  <si>
    <t>http://twitter.com/miguelinomen53/status/1113884467716870144</t>
  </si>
  <si>
    <t>April 04, 2019 at 02:22PM</t>
  </si>
  <si>
    <t>@Judycastro2</t>
  </si>
  <si>
    <t>http://twitter.com/Judycastro2/status/1113884604635787264</t>
  </si>
  <si>
    <t>@mlag181</t>
  </si>
  <si>
    <t>http://twitter.com/mlag181/status/1113884707803017218</t>
  </si>
  <si>
    <t>April 04, 2019 at 02:23PM</t>
  </si>
  <si>
    <t>@RAMONHERBERT1</t>
  </si>
  <si>
    <t>http://twitter.com/RAMONHERBERT1/status/1113884821137309699</t>
  </si>
  <si>
    <t>@fer_1410</t>
  </si>
  <si>
    <t>http://twitter.com/fer_1410/status/1113911006651011072</t>
  </si>
  <si>
    <t>April 04, 2019 at 04:07PM</t>
  </si>
  <si>
    <t>@itsambrown</t>
  </si>
  <si>
    <t>http://twitter.com/itsambrown/status/1113911109986258950</t>
  </si>
  <si>
    <t>http://twitter.com/LuisaPalaciosS/status/1113911201380077569</t>
  </si>
  <si>
    <t>April 04, 2019 at 04:08PM</t>
  </si>
  <si>
    <t>http://twitter.com/kuervito76/status/1113911274763689990</t>
  </si>
  <si>
    <t>@YaLocalBeanerrr</t>
  </si>
  <si>
    <t>http://twitter.com/YaLocalBeanerrr/status/1113911369965948932</t>
  </si>
  <si>
    <t>April 04, 2019 at 04:09PM</t>
  </si>
  <si>
    <t>http://twitter.com/LuisaPalaciosS/status/1113911382980857857</t>
  </si>
  <si>
    <t>http://twitter.com/Inka_Awki_Capac/status/1113911786569388034</t>
  </si>
  <si>
    <t>April 04, 2019 at 04:10PM</t>
  </si>
  <si>
    <t>@luchoalvarez64</t>
  </si>
  <si>
    <t>http://twitter.com/luchoalvarez64/status/1113912022008254473</t>
  </si>
  <si>
    <t>April 04, 2019 at 04:11PM</t>
  </si>
  <si>
    <t>@pe_giovanny</t>
  </si>
  <si>
    <t>http://twitter.com/pe_giovanny/status/1113912026005422080</t>
  </si>
  <si>
    <t>@holograthicc</t>
  </si>
  <si>
    <t>http://twitter.com/holograthicc/status/1113912056774844417</t>
  </si>
  <si>
    <t>@aeropuerto_</t>
  </si>
  <si>
    <t>http://twitter.com/aeropuerto_/status/1113912074831388672</t>
  </si>
  <si>
    <t>@Lidia197760</t>
  </si>
  <si>
    <t>http://twitter.com/Lidia197760/status/1113912162437746705</t>
  </si>
  <si>
    <t>April 04, 2019 at 04:12PM</t>
  </si>
  <si>
    <t>@DiegoQuispeSanc</t>
  </si>
  <si>
    <t>http://twitter.com/DiegoQuispeSanc/status/1113912179282120704</t>
  </si>
  <si>
    <t>@kismipedro</t>
  </si>
  <si>
    <t>http://twitter.com/kismipedro/status/1113941882697072646</t>
  </si>
  <si>
    <t>April 04, 2019 at 06:10PM</t>
  </si>
  <si>
    <t>@sharo1953</t>
  </si>
  <si>
    <t>http://twitter.com/sharo1953/status/1113942012313657344</t>
  </si>
  <si>
    <t>@ronald_3rs</t>
  </si>
  <si>
    <t>http://twitter.com/ronald_3rs/status/1113942022728114176</t>
  </si>
  <si>
    <t>@Carla_Rojas75</t>
  </si>
  <si>
    <t>http://twitter.com/Carla_Rojas75/status/1113942128038686720</t>
  </si>
  <si>
    <t>April 04, 2019 at 06:11PM</t>
  </si>
  <si>
    <t>@Victor198</t>
  </si>
  <si>
    <t>http://twitter.com/Victor198/status/1113942138088239104</t>
  </si>
  <si>
    <t>http://twitter.com/EmilianoRumiche/status/1113942340748623878</t>
  </si>
  <si>
    <t>April 04, 2019 at 06:12PM</t>
  </si>
  <si>
    <t>http://twitter.com/kuervito76/status/1113942357056065541</t>
  </si>
  <si>
    <t>@Fernando27322</t>
  </si>
  <si>
    <t>http://twitter.com/Fernando27322/status/1113942376706465792</t>
  </si>
  <si>
    <t>http://twitter.com/SignoriTita/status/1113943285024735232</t>
  </si>
  <si>
    <t>April 04, 2019 at 06:15PM</t>
  </si>
  <si>
    <t>http://twitter.com/kuervito76/status/1113943292956303362</t>
  </si>
  <si>
    <t>@drocabas</t>
  </si>
  <si>
    <t>http://twitter.com/drocabas/status/1113943321238482944</t>
  </si>
  <si>
    <t>@Cecilia605040</t>
  </si>
  <si>
    <t>http://twitter.com/Cecilia605040/status/1113943400846381056</t>
  </si>
  <si>
    <t>April 04, 2019 at 06:16PM</t>
  </si>
  <si>
    <t>@lilijl17</t>
  </si>
  <si>
    <t>http://twitter.com/lilijl17/status/1113943551400792066</t>
  </si>
  <si>
    <t>http://twitter.com/kamajara/status/1113970454925139968</t>
  </si>
  <si>
    <t>April 04, 2019 at 08:03PM</t>
  </si>
  <si>
    <t>@JuanEst71164374</t>
  </si>
  <si>
    <t>http://twitter.com/JuanEst71164374/status/1113970715026493441</t>
  </si>
  <si>
    <t>April 04, 2019 at 08:04PM</t>
  </si>
  <si>
    <t>@Reyfortponceol1</t>
  </si>
  <si>
    <t>http://twitter.com/Reyfortponceol1/status/1113970791132090369</t>
  </si>
  <si>
    <t>April 04, 2019 at 08:05PM</t>
  </si>
  <si>
    <t>@PajueloManuel</t>
  </si>
  <si>
    <t>http://twitter.com/PajueloManuel/status/1113970841916772352</t>
  </si>
  <si>
    <t>@Arya_Tyrion</t>
  </si>
  <si>
    <t>http://twitter.com/Arya_Tyrion/status/1113971796389376002</t>
  </si>
  <si>
    <t>April 04, 2019 at 08:09PM</t>
  </si>
  <si>
    <t>@WomenTodayforH1</t>
  </si>
  <si>
    <t>http://twitter.com/WomenTodayforH1/status/1113971840920236032</t>
  </si>
  <si>
    <t>@Carrio8</t>
  </si>
  <si>
    <t>http://twitter.com/Carrio8/status/1113971932381290496</t>
  </si>
  <si>
    <t>http://twitter.com/CheCarolo/status/1113971961531641856</t>
  </si>
  <si>
    <t>http://twitter.com/Carrio8/status/1113971968527695873</t>
  </si>
  <si>
    <t>@09Veroca</t>
  </si>
  <si>
    <t>http://twitter.com/09Veroca/status/1113972002061193217</t>
  </si>
  <si>
    <t>http://twitter.com/girlsynick/status/1113972501430841344</t>
  </si>
  <si>
    <t>April 04, 2019 at 08:11PM</t>
  </si>
  <si>
    <t>@Efrasobe</t>
  </si>
  <si>
    <t>http://twitter.com/Efrasobe/status/1113972731027107841</t>
  </si>
  <si>
    <t>April 04, 2019 at 08:12PM</t>
  </si>
  <si>
    <t>http://twitter.com/WomenTodayforH1/status/1113972743660240896</t>
  </si>
  <si>
    <t>@BIrreplaceable</t>
  </si>
  <si>
    <t>http://twitter.com/BIrreplaceable/status/1113972771338555392</t>
  </si>
  <si>
    <t>@Mari2067</t>
  </si>
  <si>
    <t>http://twitter.com/Mari2067/status/1113973323250192384</t>
  </si>
  <si>
    <t>April 04, 2019 at 08:15PM</t>
  </si>
  <si>
    <t>http://twitter.com/LuisNue87974893/status/1113997177897013248</t>
  </si>
  <si>
    <t>April 04, 2019 at 09:49PM</t>
  </si>
  <si>
    <t>@BarMarquina</t>
  </si>
  <si>
    <t>http://twitter.com/BarMarquina/status/1113997547524186113</t>
  </si>
  <si>
    <t>April 04, 2019 at 09:51PM</t>
  </si>
  <si>
    <t>http://twitter.com/everreynosoh/status/1113997556952989696</t>
  </si>
  <si>
    <t>http://twitter.com/BarMarquina/status/1113997628235075584</t>
  </si>
  <si>
    <t>http://twitter.com/RAMONHERBERT1/status/1113998432593752069</t>
  </si>
  <si>
    <t>April 04, 2019 at 09:54PM</t>
  </si>
  <si>
    <t>@adolfo_mendez_a</t>
  </si>
  <si>
    <t>http://twitter.com/adolfo_mendez_a/status/1113998574700900352</t>
  </si>
  <si>
    <t>April 04, 2019 at 09:55PM</t>
  </si>
  <si>
    <t>@d_buitron</t>
  </si>
  <si>
    <t>http://twitter.com/d_buitron/status/1113998585463541762</t>
  </si>
  <si>
    <t>@oyukikoji</t>
  </si>
  <si>
    <t>http://twitter.com/oyukikoji/status/1113998808667566080</t>
  </si>
  <si>
    <t>April 04, 2019 at 09:56PM</t>
  </si>
  <si>
    <t>@Marcielmarciano</t>
  </si>
  <si>
    <t>http://twitter.com/Marcielmarciano/status/1113998973763817474</t>
  </si>
  <si>
    <t>April 04, 2019 at 09:57PM</t>
  </si>
  <si>
    <t>@anyce18</t>
  </si>
  <si>
    <t>http://twitter.com/anyce18/status/1113999808002514949</t>
  </si>
  <si>
    <t>April 04, 2019 at 10:00PM</t>
  </si>
  <si>
    <t>http://twitter.com/thomaspasivo/status/1113999866022256644</t>
  </si>
  <si>
    <t>@perusaltado</t>
  </si>
  <si>
    <t>http://twitter.com/perusaltado/status/1113999924423725057</t>
  </si>
  <si>
    <t>@vravosoft</t>
  </si>
  <si>
    <t>http://twitter.com/vravosoft/status/1113999958145892352</t>
  </si>
  <si>
    <t>April 04, 2019 at 10:01PM</t>
  </si>
  <si>
    <t>@SofiaSofiah4</t>
  </si>
  <si>
    <t>http://twitter.com/SofiaSofiah4/status/1113999998461599748</t>
  </si>
  <si>
    <t>@01LoucaDePedra</t>
  </si>
  <si>
    <t>http://twitter.com/01LoucaDePedra/status/1114000029600104448</t>
  </si>
  <si>
    <t>@pepepalaciosq</t>
  </si>
  <si>
    <t>http://twitter.com/pepepalaciosq/status/1114027757497982976</t>
  </si>
  <si>
    <t>April 04, 2019 at 11:51PM</t>
  </si>
  <si>
    <t>http://twitter.com/pepepalaciosq/status/1114027786367315969</t>
  </si>
  <si>
    <t>http://twitter.com/PPKEIKOFREE/status/1114027836715732994</t>
  </si>
  <si>
    <t>http://twitter.com/MijaelGLP/status/1114027847918727168</t>
  </si>
  <si>
    <t>@LC_PER</t>
  </si>
  <si>
    <t>http://twitter.com/LC_PER/status/1114027869938880512</t>
  </si>
  <si>
    <t>@Mikelakest</t>
  </si>
  <si>
    <t>http://twitter.com/Mikelakest/status/1114027946174500864</t>
  </si>
  <si>
    <t>April 04, 2019 at 11:52PM</t>
  </si>
  <si>
    <t>@vargasescribe</t>
  </si>
  <si>
    <t>http://twitter.com/vargasescribe/status/1114028077477179392</t>
  </si>
  <si>
    <t>http://twitter.com/carlossoria_p/status/1114028098645839872</t>
  </si>
  <si>
    <t>http://twitter.com/injusticia100/status/1114028763870838786</t>
  </si>
  <si>
    <t>April 04, 2019 at 11:55PM</t>
  </si>
  <si>
    <t>http://twitter.com/AceSalaverry/status/1114029134315966464</t>
  </si>
  <si>
    <t>April 04, 2019 at 11:56PM</t>
  </si>
  <si>
    <t>http://twitter.com/elcomercio_peru/status/1114029898786426880</t>
  </si>
  <si>
    <t>April 05, 2019</t>
  </si>
  <si>
    <t>@sudamericalibre</t>
  </si>
  <si>
    <t>http://twitter.com/sudamericalibre/status/1114031210358038534</t>
  </si>
  <si>
    <t>April 05, 2019 at 12:05AM</t>
  </si>
  <si>
    <t>http://twitter.com/el_observante_/status/1114031619671769088</t>
  </si>
  <si>
    <t>April 05, 2019 at 12:06AM</t>
  </si>
  <si>
    <t>http://twitter.com/pezuni5256/status/1114036571370606592</t>
  </si>
  <si>
    <t>April 05, 2019 at 12:26AM</t>
  </si>
  <si>
    <t>@FranFerpaco</t>
  </si>
  <si>
    <t>http://twitter.com/FranFerpaco/status/1114036951454244864</t>
  </si>
  <si>
    <t>April 05, 2019 at 12:28AM</t>
  </si>
  <si>
    <t>@anaedpc</t>
  </si>
  <si>
    <t>http://twitter.com/anaedpc/status/1114037313376587777</t>
  </si>
  <si>
    <t>April 05, 2019 at 12:29AM</t>
  </si>
  <si>
    <t>http://twitter.com/pintora67/status/1114037322272710657</t>
  </si>
  <si>
    <t>@F_Ghilardi</t>
  </si>
  <si>
    <t>http://twitter.com/F_Ghilardi/status/1114037573226246144</t>
  </si>
  <si>
    <t>April 05, 2019 at 12:30AM</t>
  </si>
  <si>
    <t>@SoriaEstevez</t>
  </si>
  <si>
    <t>http://twitter.com/SoriaEstevez/status/1114037578515320832</t>
  </si>
  <si>
    <t>http://twitter.com/SoriaEstevez/status/1114037663290535936</t>
  </si>
  <si>
    <t>@PERUANOS21</t>
  </si>
  <si>
    <t>http://twitter.com/PERUANOS21/status/1114037694089367553</t>
  </si>
  <si>
    <t>http://twitter.com/MarioS759/status/1114039075965734913</t>
  </si>
  <si>
    <t>April 05, 2019 at 12:36AM</t>
  </si>
  <si>
    <t>@PiruletePirula</t>
  </si>
  <si>
    <t>http://twitter.com/PiruletePirula/status/1114039261047730177</t>
  </si>
  <si>
    <t>April 05, 2019 at 12:37AM</t>
  </si>
  <si>
    <t>http://twitter.com/mRsPozo1/status/1114039460520394752</t>
  </si>
  <si>
    <t>http://twitter.com/HellenMesones/status/1114042268065959936</t>
  </si>
  <si>
    <t>April 05, 2019 at 12:49AM</t>
  </si>
  <si>
    <t>http://twitter.com/MiguelM45020717/status/1114042632911695873</t>
  </si>
  <si>
    <t>April 05, 2019 at 12:50AM</t>
  </si>
  <si>
    <t>@awquipumahunter</t>
  </si>
  <si>
    <t>http://twitter.com/awquipumahunter/status/1114043321708634115</t>
  </si>
  <si>
    <t>April 05, 2019 at 12:53AM</t>
  </si>
  <si>
    <t>@AliGar1995</t>
  </si>
  <si>
    <t>http://twitter.com/AliGar1995/status/1114048669198766080</t>
  </si>
  <si>
    <t>April 05, 2019 at 01:14AM</t>
  </si>
  <si>
    <t>http://twitter.com/AliGar1995/status/1114048995599552512</t>
  </si>
  <si>
    <t>April 05, 2019 at 01:15AM</t>
  </si>
  <si>
    <t>@Carlosquispec</t>
  </si>
  <si>
    <t>http://twitter.com/Carlosquispec/status/1114049824670633987</t>
  </si>
  <si>
    <t>April 05, 2019 at 01:19AM</t>
  </si>
  <si>
    <t>@parisvi</t>
  </si>
  <si>
    <t>http://twitter.com/parisvi/status/1114051804235431936</t>
  </si>
  <si>
    <t>April 05, 2019 at 01:27AM</t>
  </si>
  <si>
    <t>http://twitter.com/pelusa054/status/1114052821517766656</t>
  </si>
  <si>
    <t>April 05, 2019 at 01:31AM</t>
  </si>
  <si>
    <t>@Mithun29051979</t>
  </si>
  <si>
    <t>http://twitter.com/Mithun29051979/status/1114053463460274177</t>
  </si>
  <si>
    <t>April 05, 2019 at 01:33AM</t>
  </si>
  <si>
    <t>@manoleteximenez</t>
  </si>
  <si>
    <t>http://twitter.com/manoleteximenez/status/1114054233744130048</t>
  </si>
  <si>
    <t>April 05, 2019 at 01:36AM</t>
  </si>
  <si>
    <t>@Tasacaro55Tapia</t>
  </si>
  <si>
    <t>http://twitter.com/Tasacaro55Tapia/status/1114054564129517568</t>
  </si>
  <si>
    <t>April 05, 2019 at 01:38AM</t>
  </si>
  <si>
    <t>@_RafaelSalgado</t>
  </si>
  <si>
    <t>http://twitter.com/_RafaelSalgado/status/1114054782824714241</t>
  </si>
  <si>
    <t>http://twitter.com/Gatitadelsur/status/1114054831747010566</t>
  </si>
  <si>
    <t>April 05, 2019 at 01:39AM</t>
  </si>
  <si>
    <t>@All_insasa</t>
  </si>
  <si>
    <t>http://twitter.com/All_insasa/status/1114055533999341568</t>
  </si>
  <si>
    <t>April 05, 2019 at 01:41AM</t>
  </si>
  <si>
    <t>http://twitter.com/All_insasa/status/1114055790825025536</t>
  </si>
  <si>
    <t>April 05, 2019 at 01:42AM</t>
  </si>
  <si>
    <t>http://twitter.com/willyvmr/status/1114056382368497664</t>
  </si>
  <si>
    <t>April 05, 2019 at 01:45AM</t>
  </si>
  <si>
    <t>@Ismael89283771</t>
  </si>
  <si>
    <t>http://twitter.com/Ismael89283771/status/1114057080372178945</t>
  </si>
  <si>
    <t>April 05, 2019 at 01:48AM</t>
  </si>
  <si>
    <t>@stefany00111</t>
  </si>
  <si>
    <t>http://twitter.com/stefany00111/status/1114057383746113537</t>
  </si>
  <si>
    <t>April 05, 2019 at 01:49AM</t>
  </si>
  <si>
    <t>@imejiapalomimo</t>
  </si>
  <si>
    <t>http://twitter.com/imejiapalomimo/status/1114090902962806784</t>
  </si>
  <si>
    <t>April 05, 2019 at 04:02AM</t>
  </si>
  <si>
    <t>@nemo17molle</t>
  </si>
  <si>
    <t>http://twitter.com/nemo17molle/status/1114092733235384322</t>
  </si>
  <si>
    <t>April 05, 2019 at 04:09AM</t>
  </si>
  <si>
    <t>@ClaudiaMonteag3</t>
  </si>
  <si>
    <t>http://twitter.com/ClaudiaMonteag3/status/1114093033404997632</t>
  </si>
  <si>
    <t>April 05, 2019 at 04:10AM</t>
  </si>
  <si>
    <t>@lwtnsong</t>
  </si>
  <si>
    <t>http://twitter.com/lwtnsong/status/1114093061599109122</t>
  </si>
  <si>
    <t>http://twitter.com/All_insasa/status/1114094083675389957</t>
  </si>
  <si>
    <t>April 05, 2019 at 04:15AM</t>
  </si>
  <si>
    <t>@EdgarTrejoCuent</t>
  </si>
  <si>
    <t>http://twitter.com/EdgarTrejoCuent/status/1114094656948719616</t>
  </si>
  <si>
    <t>April 05, 2019 at 04:17AM</t>
  </si>
  <si>
    <t>@anacarla484</t>
  </si>
  <si>
    <t>http://twitter.com/anacarla484/status/1114095911272165376</t>
  </si>
  <si>
    <t>April 05, 2019 at 04:22AM</t>
  </si>
  <si>
    <t>@AtticusMontag</t>
  </si>
  <si>
    <t>http://twitter.com/AtticusMontag/status/1114096863072985088</t>
  </si>
  <si>
    <t>April 05, 2019 at 04:26AM</t>
  </si>
  <si>
    <t>http://twitter.com/carmendeate1/status/1114098457294385152</t>
  </si>
  <si>
    <t>April 05, 2019 at 04:32AM</t>
  </si>
  <si>
    <t>http://twitter.com/EfrainArca/status/1114098556133154817</t>
  </si>
  <si>
    <t>@OSilenciosa</t>
  </si>
  <si>
    <t>http://twitter.com/OSilenciosa/status/1114098571320725504</t>
  </si>
  <si>
    <t>http://twitter.com/EfrainArca/status/1114098616732463104</t>
  </si>
  <si>
    <t>April 05, 2019 at 04:33AM</t>
  </si>
  <si>
    <t>@mands7k3</t>
  </si>
  <si>
    <t>http://twitter.com/mands7k3/status/1114133667163590657</t>
  </si>
  <si>
    <t>April 05, 2019 at 06:52AM</t>
  </si>
  <si>
    <t>@CarlosCrisanto9</t>
  </si>
  <si>
    <t>http://twitter.com/CarlosCrisanto9/status/1114133762554638337</t>
  </si>
  <si>
    <t>http://twitter.com/fgladys02/status/1114133783068971008</t>
  </si>
  <si>
    <t>@1hijadelaluna</t>
  </si>
  <si>
    <t>http://twitter.com/1hijadelaluna/status/1114134306656522241</t>
  </si>
  <si>
    <t>April 05, 2019 at 06:54AM</t>
  </si>
  <si>
    <t>@Rix7777</t>
  </si>
  <si>
    <t>http://twitter.com/Rix7777/status/1114135289939877888</t>
  </si>
  <si>
    <t>April 05, 2019 at 06:58AM</t>
  </si>
  <si>
    <t>http://twitter.com/peru21noticias/status/1114136664593580032</t>
  </si>
  <si>
    <t>April 05, 2019 at 07:04AM</t>
  </si>
  <si>
    <t>@paomiatorres</t>
  </si>
  <si>
    <t>http://twitter.com/paomiatorres/status/1114136769828667392</t>
  </si>
  <si>
    <t>@princesrosari</t>
  </si>
  <si>
    <t>http://twitter.com/princesrosari/status/1114137019897274368</t>
  </si>
  <si>
    <t>April 05, 2019 at 07:05AM</t>
  </si>
  <si>
    <t>@mangcer</t>
  </si>
  <si>
    <t>http://twitter.com/mangcer/status/1114137145302749184</t>
  </si>
  <si>
    <t>April 05, 2019 at 07:06AM</t>
  </si>
  <si>
    <t>@sinmentiraaqui5</t>
  </si>
  <si>
    <t>http://twitter.com/sinmentiraaqui5/status/1114137159815110656</t>
  </si>
  <si>
    <t>http://twitter.com/rralbert/status/1114137272151085057</t>
  </si>
  <si>
    <t>@Az_Dantesca</t>
  </si>
  <si>
    <t>http://twitter.com/Az_Dantesca/status/1114138141533908998</t>
  </si>
  <si>
    <t>April 05, 2019 at 07:10AM</t>
  </si>
  <si>
    <t>http://twitter.com/carlos1504511/status/1114138270387134464</t>
  </si>
  <si>
    <t>http://twitter.com/princesrosari/status/1114138522917724162</t>
  </si>
  <si>
    <t>April 05, 2019 at 07:11AM</t>
  </si>
  <si>
    <t>@marthamoyano</t>
  </si>
  <si>
    <t>http://twitter.com/marthamoyano/status/1114164647920308224</t>
  </si>
  <si>
    <t>April 05, 2019 at 08:55AM</t>
  </si>
  <si>
    <t>@parradoftmena</t>
  </si>
  <si>
    <t>http://twitter.com/parradoftmena/status/1114164818167128065</t>
  </si>
  <si>
    <t>April 05, 2019 at 08:56AM</t>
  </si>
  <si>
    <t>@dixonpaucar</t>
  </si>
  <si>
    <t>http://twitter.com/dixonpaucar/status/1114165255935012864</t>
  </si>
  <si>
    <t>April 05, 2019 at 08:57AM</t>
  </si>
  <si>
    <t>@kearny2014</t>
  </si>
  <si>
    <t>http://twitter.com/kearny2014/status/1114165379360858112</t>
  </si>
  <si>
    <t>April 05, 2019 at 08:58AM</t>
  </si>
  <si>
    <t>@Perseveranciami</t>
  </si>
  <si>
    <t>http://twitter.com/Perseveranciami/status/1114165697976913922</t>
  </si>
  <si>
    <t>April 05, 2019 at 08:59AM</t>
  </si>
  <si>
    <t>http://twitter.com/lamula/status/1114165726112301056</t>
  </si>
  <si>
    <t>http://twitter.com/sdamazom/status/1114165731556560896</t>
  </si>
  <si>
    <t>http://twitter.com/WalterWdbd/status/1114166087158063104</t>
  </si>
  <si>
    <t>April 05, 2019 at 09:01AM</t>
  </si>
  <si>
    <t>@millenamoraiss_</t>
  </si>
  <si>
    <t>http://twitter.com/millenamoraiss_/status/1114166176249274368</t>
  </si>
  <si>
    <t>@notoriusmatsuda</t>
  </si>
  <si>
    <t>http://twitter.com/notoriusmatsuda/status/1114166186005155840</t>
  </si>
  <si>
    <t>@luchicarrillo22</t>
  </si>
  <si>
    <t>http://twitter.com/luchicarrillo22/status/1114166228694728704</t>
  </si>
  <si>
    <t>@BDPTV</t>
  </si>
  <si>
    <t>http://twitter.com/BDPTV/status/1114166466738315264</t>
  </si>
  <si>
    <t>April 05, 2019 at 09:02AM</t>
  </si>
  <si>
    <t>http://twitter.com/PanamericanaTV/status/1114166467434512384</t>
  </si>
  <si>
    <t>@santosgabi03</t>
  </si>
  <si>
    <t>http://twitter.com/santosgabi03/status/1114166685978828801</t>
  </si>
  <si>
    <t>April 05, 2019 at 09:03AM</t>
  </si>
  <si>
    <t>@jacky15051573</t>
  </si>
  <si>
    <t>http://twitter.com/jacky15051573/status/1114192034850594816</t>
  </si>
  <si>
    <t>April 05, 2019 at 10:44AM</t>
  </si>
  <si>
    <t>http://twitter.com/Peru_Noticias/status/1114192063275384832</t>
  </si>
  <si>
    <t>@maga_regue</t>
  </si>
  <si>
    <t>http://twitter.com/maga_regue/status/1114192387801276417</t>
  </si>
  <si>
    <t>April 05, 2019 at 10:45AM</t>
  </si>
  <si>
    <t>@cocooncacho</t>
  </si>
  <si>
    <t>http://twitter.com/cocooncacho/status/1114192670715518978</t>
  </si>
  <si>
    <t>April 05, 2019 at 10:46AM</t>
  </si>
  <si>
    <t>@vcabalg</t>
  </si>
  <si>
    <t>http://twitter.com/vcabalg/status/1114193347407745025</t>
  </si>
  <si>
    <t>April 05, 2019 at 10:49AM</t>
  </si>
  <si>
    <t>@CibernautasFP</t>
  </si>
  <si>
    <t>http://twitter.com/CibernautasFP/status/1114193816536350720</t>
  </si>
  <si>
    <t>April 05, 2019 at 10:51AM</t>
  </si>
  <si>
    <t>@westieyyo</t>
  </si>
  <si>
    <t>http://twitter.com/westieyyo/status/1114194015467995136</t>
  </si>
  <si>
    <t>April 05, 2019 at 10:52AM</t>
  </si>
  <si>
    <t>@clauudesool</t>
  </si>
  <si>
    <t>http://twitter.com/clauudesool/status/1114194660300349446</t>
  </si>
  <si>
    <t>April 05, 2019 at 10:54AM</t>
  </si>
  <si>
    <t>@guelymit</t>
  </si>
  <si>
    <t>http://twitter.com/guelymit/status/1114195061376471040</t>
  </si>
  <si>
    <t>April 05, 2019 at 10:56AM</t>
  </si>
  <si>
    <t>@marcelohuaita</t>
  </si>
  <si>
    <t>http://twitter.com/marcelohuaita/status/1114195387227758592</t>
  </si>
  <si>
    <t>April 05, 2019 at 10:57AM</t>
  </si>
  <si>
    <t>@Paulinopilco</t>
  </si>
  <si>
    <t>http://twitter.com/Paulinopilco/status/1114195791986483201</t>
  </si>
  <si>
    <t>April 05, 2019 at 10:59AM</t>
  </si>
  <si>
    <t>@AldoVasquezP</t>
  </si>
  <si>
    <t>http://twitter.com/AldoVasquezP/status/1114195922064478209</t>
  </si>
  <si>
    <t>http://twitter.com/Paulinopilco/status/1114195971280375809</t>
  </si>
  <si>
    <t>@iamgaonaxlol</t>
  </si>
  <si>
    <t>http://twitter.com/iamgaonaxlol/status/1114196157192974336</t>
  </si>
  <si>
    <t>April 05, 2019 at 11:00AM</t>
  </si>
  <si>
    <t>@syouthmendes</t>
  </si>
  <si>
    <t>http://twitter.com/syouthmendes/status/1114222707934224384</t>
  </si>
  <si>
    <t>April 05, 2019 at 12:46PM</t>
  </si>
  <si>
    <t>@ALDERRAMAV</t>
  </si>
  <si>
    <t>http://twitter.com/ALDERRAMAV/status/1114223147195228160</t>
  </si>
  <si>
    <t>April 05, 2019 at 12:47PM</t>
  </si>
  <si>
    <t>@Apu_Rimak</t>
  </si>
  <si>
    <t>http://twitter.com/Apu_Rimak/status/1114223311934959616</t>
  </si>
  <si>
    <t>April 05, 2019 at 12:48PM</t>
  </si>
  <si>
    <t>@caldodegallina_</t>
  </si>
  <si>
    <t>http://twitter.com/caldodegallina_/status/1114223620862173184</t>
  </si>
  <si>
    <t>April 05, 2019 at 12:49PM</t>
  </si>
  <si>
    <t>http://twitter.com/SariSant03/status/1114223733269463042</t>
  </si>
  <si>
    <t>April 05, 2019 at 12:50PM</t>
  </si>
  <si>
    <t>http://twitter.com/peru21noticias/status/1114223923372142592</t>
  </si>
  <si>
    <t>@VirtuosoTetsu</t>
  </si>
  <si>
    <t>http://twitter.com/VirtuosoTetsu/status/1114224086723567618</t>
  </si>
  <si>
    <t>April 05, 2019 at 12:51PM</t>
  </si>
  <si>
    <t>http://twitter.com/Agencia_Andina/status/1114224685871398913</t>
  </si>
  <si>
    <t>April 05, 2019 at 12:54PM</t>
  </si>
  <si>
    <t>@ada_rengifo</t>
  </si>
  <si>
    <t>http://twitter.com/ada_rengifo/status/1114224864821432321</t>
  </si>
  <si>
    <t>@cfloresunzaga</t>
  </si>
  <si>
    <t>http://twitter.com/cfloresunzaga/status/1114224902066855936</t>
  </si>
  <si>
    <t>http://twitter.com/vcabalg/status/1114225157688553472</t>
  </si>
  <si>
    <t>April 05, 2019 at 12:55PM</t>
  </si>
  <si>
    <t>http://twitter.com/Peru_Noticias/status/1114225485314174976</t>
  </si>
  <si>
    <t>April 05, 2019 at 12:57PM</t>
  </si>
  <si>
    <t>http://twitter.com/SamyH1982/status/1114225747743395840</t>
  </si>
  <si>
    <t>April 05, 2019 at 12:58PM</t>
  </si>
  <si>
    <t>http://twitter.com/Jess49504626/status/1114250179761328128</t>
  </si>
  <si>
    <t>April 05, 2019 at 02:35PM</t>
  </si>
  <si>
    <t>@Carol_silvaX</t>
  </si>
  <si>
    <t>http://twitter.com/Carol_silvaX/status/1114250917740675074</t>
  </si>
  <si>
    <t>April 05, 2019 at 02:38PM</t>
  </si>
  <si>
    <t>http://twitter.com/chancos/status/1114251557195911168</t>
  </si>
  <si>
    <t>April 05, 2019 at 02:40PM</t>
  </si>
  <si>
    <t>@rdrm2011</t>
  </si>
  <si>
    <t>http://twitter.com/rdrm2011/status/1114252144851419136</t>
  </si>
  <si>
    <t>April 05, 2019 at 02:43PM</t>
  </si>
  <si>
    <t>@littlejunkiee</t>
  </si>
  <si>
    <t>http://twitter.com/littlejunkiee/status/1114252513920913410</t>
  </si>
  <si>
    <t>April 05, 2019 at 02:44PM</t>
  </si>
  <si>
    <t>@cuscopolitan</t>
  </si>
  <si>
    <t>http://twitter.com/cuscopolitan/status/1114252700974292992</t>
  </si>
  <si>
    <t>April 05, 2019 at 02:45PM</t>
  </si>
  <si>
    <t>@txumbi1</t>
  </si>
  <si>
    <t>http://twitter.com/txumbi1/status/1114252966897360896</t>
  </si>
  <si>
    <t>April 05, 2019 at 02:46PM</t>
  </si>
  <si>
    <t>@juanaguardia3</t>
  </si>
  <si>
    <t>http://twitter.com/juanaguardia3/status/1114253199240830977</t>
  </si>
  <si>
    <t>April 05, 2019 at 02:47PM</t>
  </si>
  <si>
    <t>@macusani12345</t>
  </si>
  <si>
    <t>http://twitter.com/macusani12345/status/1114253333110431745</t>
  </si>
  <si>
    <t>@sopeverses</t>
  </si>
  <si>
    <t>http://twitter.com/sopeverses/status/1114253772858056704</t>
  </si>
  <si>
    <t>April 05, 2019 at 02:49PM</t>
  </si>
  <si>
    <t>http://twitter.com/mercedialo/status/1114253790826332162</t>
  </si>
  <si>
    <t>@alebelen98</t>
  </si>
  <si>
    <t>http://twitter.com/alebelen98/status/1114253841896226816</t>
  </si>
  <si>
    <t>@FelipeM24898154</t>
  </si>
  <si>
    <t>http://twitter.com/FelipeM24898154/status/1114254169936945159</t>
  </si>
  <si>
    <t>April 05, 2019 at 02:51PM</t>
  </si>
  <si>
    <t>http://twitter.com/Vogue1913/status/1114254781285933057</t>
  </si>
  <si>
    <t>April 05, 2019 at 02:53PM</t>
  </si>
  <si>
    <t>http://twitter.com/mercedialo/status/1114255159868252162</t>
  </si>
  <si>
    <t>April 05, 2019 at 02:55PM</t>
  </si>
  <si>
    <t>@Pepepalaciosc</t>
  </si>
  <si>
    <t>http://twitter.com/Pepepalaciosc/status/1114286292341280768</t>
  </si>
  <si>
    <t>April 05, 2019 at 04:58PM</t>
  </si>
  <si>
    <t>http://twitter.com/proactivoperu/status/1114286344795082752</t>
  </si>
  <si>
    <t>April 05, 2019 at 04:59PM</t>
  </si>
  <si>
    <t>http://twitter.com/EconomiaECpe/status/1114286591961333761</t>
  </si>
  <si>
    <t>April 05, 2019 at 05:00PM</t>
  </si>
  <si>
    <t>@HiperActivainfo</t>
  </si>
  <si>
    <t>http://twitter.com/HiperActivainfo/status/1114287205298659328</t>
  </si>
  <si>
    <t>April 05, 2019 at 05:02PM</t>
  </si>
  <si>
    <t>http://twitter.com/Pepepalaciosc/status/1114287250639134720</t>
  </si>
  <si>
    <t>@KikeBravoPrado</t>
  </si>
  <si>
    <t>http://twitter.com/KikeBravoPrado/status/1114287252505538561</t>
  </si>
  <si>
    <t>@FRANCISCANTOR</t>
  </si>
  <si>
    <t>http://twitter.com/FRANCISCANTOR/status/1114287309971701761</t>
  </si>
  <si>
    <t>@Kely20942606</t>
  </si>
  <si>
    <t>http://twitter.com/Kely20942606/status/1114287523692515329</t>
  </si>
  <si>
    <t>April 05, 2019 at 05:03PM</t>
  </si>
  <si>
    <t>@frmdg2001</t>
  </si>
  <si>
    <t>http://twitter.com/frmdg2001/status/1114288202456629248</t>
  </si>
  <si>
    <t>April 05, 2019 at 05:06PM</t>
  </si>
  <si>
    <t>@james006_d</t>
  </si>
  <si>
    <t>http://twitter.com/james006_d/status/1114288436150710279</t>
  </si>
  <si>
    <t>April 05, 2019 at 05:07PM</t>
  </si>
  <si>
    <t>@noticias_tvperu</t>
  </si>
  <si>
    <t>http://twitter.com/noticias_tvperu/status/1114288689255985154</t>
  </si>
  <si>
    <t>April 05, 2019 at 05:08PM</t>
  </si>
  <si>
    <t>http://twitter.com/noticiAmerica/status/1114288784529661957</t>
  </si>
  <si>
    <t>@Xtodependiente</t>
  </si>
  <si>
    <t>http://twitter.com/Xtodependiente/status/1114288993980403712</t>
  </si>
  <si>
    <t>April 05, 2019 at 05:09PM</t>
  </si>
  <si>
    <t>http://twitter.com/Politica_LR/status/1114313941109411842</t>
  </si>
  <si>
    <t>April 05, 2019 at 06:48PM</t>
  </si>
  <si>
    <t>@larepublica_pe</t>
  </si>
  <si>
    <t>http://twitter.com/larepublica_pe/status/1114314074920296449</t>
  </si>
  <si>
    <t>April 05, 2019 at 06:49PM</t>
  </si>
  <si>
    <t>@Felipericarte18</t>
  </si>
  <si>
    <t>http://twitter.com/Felipericarte18/status/1114314145195855873</t>
  </si>
  <si>
    <t>@NLepan</t>
  </si>
  <si>
    <t>http://twitter.com/NLepan/status/1114315491995033611</t>
  </si>
  <si>
    <t>April 05, 2019 at 06:54PM</t>
  </si>
  <si>
    <t>http://twitter.com/nograbonilla/status/1114316504252788736</t>
  </si>
  <si>
    <t>April 05, 2019 at 06:58PM</t>
  </si>
  <si>
    <t>@maryce50</t>
  </si>
  <si>
    <t>http://twitter.com/maryce50/status/1114316729058983936</t>
  </si>
  <si>
    <t>April 05, 2019 at 06:59PM</t>
  </si>
  <si>
    <t>@EduCruz1109</t>
  </si>
  <si>
    <t>http://twitter.com/EduCruz1109/status/1114316738609414146</t>
  </si>
  <si>
    <t>@AndresParedesG</t>
  </si>
  <si>
    <t>http://twitter.com/AndresParedesG/status/1114316948278583296</t>
  </si>
  <si>
    <t>April 05, 2019 at 07:00PM</t>
  </si>
  <si>
    <t>@Rolandoperezin1</t>
  </si>
  <si>
    <t>http://twitter.com/Rolandoperezin1/status/1114317893590814722</t>
  </si>
  <si>
    <t>April 05, 2019 at 07:04PM</t>
  </si>
  <si>
    <t>@ANDRESAR16</t>
  </si>
  <si>
    <t>http://twitter.com/ANDRESAR16/status/1114318884423778305</t>
  </si>
  <si>
    <t>April 05, 2019 at 07:08PM</t>
  </si>
  <si>
    <t>http://twitter.com/jorazem/status/1114318997602865152</t>
  </si>
  <si>
    <t>@loveszmcrls</t>
  </si>
  <si>
    <t>http://twitter.com/loveszmcrls/status/1114319070680186880</t>
  </si>
  <si>
    <t>April 05, 2019 at 07:09PM</t>
  </si>
  <si>
    <t>@jxstcuchu</t>
  </si>
  <si>
    <t>http://twitter.com/jxstcuchu/status/1114319111281049600</t>
  </si>
  <si>
    <t>@itsniallgrier</t>
  </si>
  <si>
    <t>http://twitter.com/itsniallgrier/status/1114319313840803840</t>
  </si>
  <si>
    <t>April 05, 2019 at 07:10PM</t>
  </si>
  <si>
    <t>@peruvianito</t>
  </si>
  <si>
    <t>http://twitter.com/peruvianito/status/1114344131092938753</t>
  </si>
  <si>
    <t>April 05, 2019 at 08:48PM</t>
  </si>
  <si>
    <t>@psiuthamy</t>
  </si>
  <si>
    <t>http://twitter.com/psiuthamy/status/1114345328222834688</t>
  </si>
  <si>
    <t>April 05, 2019 at 08:53PM</t>
  </si>
  <si>
    <t>@lyka0427</t>
  </si>
  <si>
    <t>http://twitter.com/lyka0427/status/1114345390491435009</t>
  </si>
  <si>
    <t>@jorgeaa1353</t>
  </si>
  <si>
    <t>http://twitter.com/jorgeaa1353/status/1114345464395173888</t>
  </si>
  <si>
    <t>@medelin_torres</t>
  </si>
  <si>
    <t>http://twitter.com/medelin_torres/status/1114345786358341632</t>
  </si>
  <si>
    <t>April 05, 2019 at 08:55PM</t>
  </si>
  <si>
    <t>http://twitter.com/DeltaMdelta/status/1114345997537296386</t>
  </si>
  <si>
    <t>April 05, 2019 at 08:56PM</t>
  </si>
  <si>
    <t>http://twitter.com/MezoneRives/status/1114346023244181504</t>
  </si>
  <si>
    <t>@LizbethVelezGad</t>
  </si>
  <si>
    <t>http://twitter.com/LizbethVelezGad/status/1114346053732532224</t>
  </si>
  <si>
    <t>http://twitter.com/MezoneRives/status/1114346103388950528</t>
  </si>
  <si>
    <t>@luchotarazona2</t>
  </si>
  <si>
    <t>http://twitter.com/luchotarazona2/status/1114346158640566277</t>
  </si>
  <si>
    <t>http://twitter.com/medelin_torres/status/1114346870808174592</t>
  </si>
  <si>
    <t>April 05, 2019 at 08:59PM</t>
  </si>
  <si>
    <t>http://twitter.com/Rolandoperezin1/status/1114348327288619010</t>
  </si>
  <si>
    <t>April 05, 2019 at 09:05PM</t>
  </si>
  <si>
    <t>@LenaSoles</t>
  </si>
  <si>
    <t>http://twitter.com/LenaSoles/status/1114349141025488896</t>
  </si>
  <si>
    <t>April 05, 2019 at 09:08PM</t>
  </si>
  <si>
    <t>@Elenardea</t>
  </si>
  <si>
    <t>http://twitter.com/Elenardea/status/1114369744398766080</t>
  </si>
  <si>
    <t>April 05, 2019 at 10:30PM</t>
  </si>
  <si>
    <t>@bancadablanca</t>
  </si>
  <si>
    <t>http://twitter.com/bancadablanca/status/1114369908199108608</t>
  </si>
  <si>
    <t>April 05, 2019 at 10:31PM</t>
  </si>
  <si>
    <t>@Geaafamily</t>
  </si>
  <si>
    <t>http://twitter.com/Geaafamily/status/1114370529228619777</t>
  </si>
  <si>
    <t>April 05, 2019 at 10:33PM</t>
  </si>
  <si>
    <t>@FlabiaVigo</t>
  </si>
  <si>
    <t>http://twitter.com/FlabiaVigo/status/1114371484947025920</t>
  </si>
  <si>
    <t>April 05, 2019 at 10:37PM</t>
  </si>
  <si>
    <t>@moebiugz</t>
  </si>
  <si>
    <t>http://twitter.com/moebiugz/status/1114371957896642561</t>
  </si>
  <si>
    <t>April 05, 2019 at 10:39PM</t>
  </si>
  <si>
    <t>@Alberin15</t>
  </si>
  <si>
    <t>http://twitter.com/Alberin15/status/1114371973344317440</t>
  </si>
  <si>
    <t>@salvaradosan</t>
  </si>
  <si>
    <t>http://twitter.com/salvaradosan/status/1114372185152544768</t>
  </si>
  <si>
    <t>April 05, 2019 at 10:40PM</t>
  </si>
  <si>
    <t>http://twitter.com/bancadablanca/status/1114372304576950272</t>
  </si>
  <si>
    <t>http://twitter.com/salvaradosan/status/1114372380502253569</t>
  </si>
  <si>
    <t>@juliussobrino</t>
  </si>
  <si>
    <t>http://twitter.com/juliussobrino/status/1114372677077282818</t>
  </si>
  <si>
    <t>April 05, 2019 at 10:42PM</t>
  </si>
  <si>
    <t>@Enrique20689794</t>
  </si>
  <si>
    <t>http://twitter.com/Enrique20689794/status/1114373119517634561</t>
  </si>
  <si>
    <t>April 05, 2019 at 10:43PM</t>
  </si>
  <si>
    <t>@ChirinosSatt</t>
  </si>
  <si>
    <t>http://twitter.com/ChirinosSatt/status/1114373632820748290</t>
  </si>
  <si>
    <t>April 05, 2019 at 10:45PM</t>
  </si>
  <si>
    <t>@vixente_1974</t>
  </si>
  <si>
    <t>http://twitter.com/vixente_1974/status/1114373955828244481</t>
  </si>
  <si>
    <t>April 05, 2019 at 10:47PM</t>
  </si>
  <si>
    <t>@Ricardogonsam</t>
  </si>
  <si>
    <t>http://twitter.com/Ricardogonsam/status/1114374360616378368</t>
  </si>
  <si>
    <t>April 05, 2019 at 10:48PM</t>
  </si>
  <si>
    <t>http://twitter.com/ISialer/status/1114374847486812161</t>
  </si>
  <si>
    <t>April 05, 2019 at 10:50PM</t>
  </si>
  <si>
    <t>@josecastillofer</t>
  </si>
  <si>
    <t>http://twitter.com/josecastillofer/status/1114394837271359488</t>
  </si>
  <si>
    <t>April 06, 2019 at 12:10AM</t>
  </si>
  <si>
    <t>http://twitter.com/eml229/status/1114395070009049088</t>
  </si>
  <si>
    <t>April 06, 2019 at 12:11AM</t>
  </si>
  <si>
    <t>http://twitter.com/Maroma2/status/1114396439038316544</t>
  </si>
  <si>
    <t>April 06, 2019 at 12:16AM</t>
  </si>
  <si>
    <t>@ROSARIOMZYO</t>
  </si>
  <si>
    <t>http://twitter.com/ROSARIOMZYO/status/1114396784061767680</t>
  </si>
  <si>
    <t>April 06, 2019 at 12:17AM</t>
  </si>
  <si>
    <t>@chanheegirI</t>
  </si>
  <si>
    <t>http://twitter.com/chanheegirI/status/1114397185934753793</t>
  </si>
  <si>
    <t>April 06, 2019 at 12:19AM</t>
  </si>
  <si>
    <t>@garciasifuente1</t>
  </si>
  <si>
    <t>http://twitter.com/garciasifuente1/status/1114397993187278848</t>
  </si>
  <si>
    <t>April 06, 2019 at 12:22AM</t>
  </si>
  <si>
    <t>@GacetaUcayalina</t>
  </si>
  <si>
    <t>http://twitter.com/GacetaUcayalina/status/1114398034962595840</t>
  </si>
  <si>
    <t>@KristhianWA</t>
  </si>
  <si>
    <t>http://twitter.com/KristhianWA/status/1114398430523162624</t>
  </si>
  <si>
    <t>April 06, 2019 at 12:24AM</t>
  </si>
  <si>
    <t>@CarlosMW312</t>
  </si>
  <si>
    <t>http://twitter.com/CarlosMW312/status/1114399418533515264</t>
  </si>
  <si>
    <t>April 06, 2019 at 12:28AM</t>
  </si>
  <si>
    <t>@kageyemo</t>
  </si>
  <si>
    <t>http://twitter.com/kageyemo/status/1114399593876328448</t>
  </si>
  <si>
    <t>April 06, 2019 at 12:29AM</t>
  </si>
  <si>
    <t>http://twitter.com/Peru_Noticias/status/1114400102842552320</t>
  </si>
  <si>
    <t>April 06, 2019 at 12:31AM</t>
  </si>
  <si>
    <t>@NinaDelMar2</t>
  </si>
  <si>
    <t>http://twitter.com/NinaDelMar2/status/1114400531701800960</t>
  </si>
  <si>
    <t>April 06, 2019 at 12:32AM</t>
  </si>
  <si>
    <t>http://twitter.com/silviahupiu/status/1114401102815014913</t>
  </si>
  <si>
    <t>April 06, 2019 at 12:35AM</t>
  </si>
  <si>
    <t>http://twitter.com/mRsPozo1/status/1114401275481853952</t>
  </si>
  <si>
    <t>http://twitter.com/silviahupiu/status/1114401349729439744</t>
  </si>
  <si>
    <t>April 06, 2019 at 12:36AM</t>
  </si>
  <si>
    <t>http://twitter.com/SamyH1982/status/1114428097036718082</t>
  </si>
  <si>
    <t>April 06, 2019 at 02:22AM</t>
  </si>
  <si>
    <t>@takkyyon</t>
  </si>
  <si>
    <t>http://twitter.com/takkyyon/status/1114429270636601344</t>
  </si>
  <si>
    <t>April 06, 2019 at 02:26AM</t>
  </si>
  <si>
    <t>@CristyMongeR</t>
  </si>
  <si>
    <t>http://twitter.com/CristyMongeR/status/1114429788746395648</t>
  </si>
  <si>
    <t>April 06, 2019 at 02:29AM</t>
  </si>
  <si>
    <t>@ingriiid13_</t>
  </si>
  <si>
    <t>http://twitter.com/ingriiid13_/status/1114430674851827713</t>
  </si>
  <si>
    <t>April 06, 2019 at 02:32AM</t>
  </si>
  <si>
    <t>@luferco34</t>
  </si>
  <si>
    <t>http://twitter.com/luferco34/status/1114430825427132416</t>
  </si>
  <si>
    <t>April 06, 2019 at 02:33AM</t>
  </si>
  <si>
    <t>@PabloCastroLima</t>
  </si>
  <si>
    <t>http://twitter.com/PabloCastroLima/status/1114431259453874177</t>
  </si>
  <si>
    <t>April 06, 2019 at 02:34AM</t>
  </si>
  <si>
    <t>@laurammate</t>
  </si>
  <si>
    <t>http://twitter.com/laurammate/status/1114431385719197696</t>
  </si>
  <si>
    <t>April 06, 2019 at 02:35AM</t>
  </si>
  <si>
    <t>@equisna</t>
  </si>
  <si>
    <t>http://twitter.com/equisna/status/1114431715295006720</t>
  </si>
  <si>
    <t>April 06, 2019 at 02:36AM</t>
  </si>
  <si>
    <t>@christianfunk04</t>
  </si>
  <si>
    <t>http://twitter.com/christianfunk04/status/1114432938538688512</t>
  </si>
  <si>
    <t>April 06, 2019 at 02:41AM</t>
  </si>
  <si>
    <t>@afoutezalimon</t>
  </si>
  <si>
    <t>http://twitter.com/afoutezalimon/status/1114433385299099650</t>
  </si>
  <si>
    <t>April 06, 2019 at 02:43AM</t>
  </si>
  <si>
    <t>@abstractofilia</t>
  </si>
  <si>
    <t>http://twitter.com/abstractofilia/status/1114435372753276928</t>
  </si>
  <si>
    <t>April 06, 2019 at 02:51AM</t>
  </si>
  <si>
    <t>@martamm08</t>
  </si>
  <si>
    <t>http://twitter.com/martamm08/status/1114435972945588224</t>
  </si>
  <si>
    <t>April 06, 2019 at 02:53AM</t>
  </si>
  <si>
    <t>@palacixs_</t>
  </si>
  <si>
    <t>http://twitter.com/palacixs_/status/1114437329580642304</t>
  </si>
  <si>
    <t>April 06, 2019 at 02:58AM</t>
  </si>
  <si>
    <t>@sandruski_5</t>
  </si>
  <si>
    <t>http://twitter.com/sandruski_5/status/1114469662547431424</t>
  </si>
  <si>
    <t>April 06, 2019 at 05:07AM</t>
  </si>
  <si>
    <t>@ragoalmaiers</t>
  </si>
  <si>
    <t>http://twitter.com/ragoalmaiers/status/1114469889358618624</t>
  </si>
  <si>
    <t>April 06, 2019 at 05:08AM</t>
  </si>
  <si>
    <t>http://twitter.com/LEVI0SAMENDES/status/1114470499764068352</t>
  </si>
  <si>
    <t>April 06, 2019 at 05:10AM</t>
  </si>
  <si>
    <t>@CarlosSRumbo</t>
  </si>
  <si>
    <t>http://twitter.com/CarlosSRumbo/status/1114470766752468992</t>
  </si>
  <si>
    <t>April 06, 2019 at 05:11AM</t>
  </si>
  <si>
    <t>@mononoke74</t>
  </si>
  <si>
    <t>http://twitter.com/mononoke74/status/1114470860822282240</t>
  </si>
  <si>
    <t>April 06, 2019 at 05:12AM</t>
  </si>
  <si>
    <t>@_judcc</t>
  </si>
  <si>
    <t>http://twitter.com/_judcc/status/1114470916275281921</t>
  </si>
  <si>
    <t>@_kelp</t>
  </si>
  <si>
    <t>http://twitter.com/_kelp/status/1114470986269765632</t>
  </si>
  <si>
    <t>http://twitter.com/InfostellePeru/status/1114471122811203584</t>
  </si>
  <si>
    <t>April 06, 2019 at 05:13AM</t>
  </si>
  <si>
    <t>@anaistilinski</t>
  </si>
  <si>
    <t>http://twitter.com/anaistilinski/status/1114471205254438912</t>
  </si>
  <si>
    <t>@fucknmadness</t>
  </si>
  <si>
    <t>http://twitter.com/fucknmadness/status/1114471410729197568</t>
  </si>
  <si>
    <t>April 06, 2019 at 05:14AM</t>
  </si>
  <si>
    <t>@Chekpasabaneado</t>
  </si>
  <si>
    <t>http://twitter.com/Chekpasabaneado/status/1114471420338348032</t>
  </si>
  <si>
    <t>http://twitter.com/Chekpasabaneado/status/1114471550034554881</t>
  </si>
  <si>
    <t>@Beaa_triz99</t>
  </si>
  <si>
    <t>http://twitter.com/Beaa_triz99/status/1114473148827807746</t>
  </si>
  <si>
    <t>April 06, 2019 at 05:21AM</t>
  </si>
  <si>
    <t>@clariitapalmou</t>
  </si>
  <si>
    <t>http://twitter.com/clariitapalmou/status/1114500151354306561</t>
  </si>
  <si>
    <t>April 06, 2019 at 07:08AM</t>
  </si>
  <si>
    <t>@mepabl0nas</t>
  </si>
  <si>
    <t>http://twitter.com/mepabl0nas/status/1114500212402290689</t>
  </si>
  <si>
    <t>@Juan_Yauca</t>
  </si>
  <si>
    <t>http://twitter.com/Juan_Yauca/status/1114500416648155138</t>
  </si>
  <si>
    <t>April 06, 2019 at 07:09AM</t>
  </si>
  <si>
    <t>@emmaesar</t>
  </si>
  <si>
    <t>http://twitter.com/emmaesar/status/1114500753266302977</t>
  </si>
  <si>
    <t>April 06, 2019 at 07:11AM</t>
  </si>
  <si>
    <t>http://twitter.com/amesacha/status/1114500764951633921</t>
  </si>
  <si>
    <t>@EdeNaziHazard</t>
  </si>
  <si>
    <t>http://twitter.com/EdeNaziHazard/status/1114500850943184896</t>
  </si>
  <si>
    <t>@Isabelmaribs</t>
  </si>
  <si>
    <t>http://twitter.com/Isabelmaribs/status/1114501253080461312</t>
  </si>
  <si>
    <t>April 06, 2019 at 07:12AM</t>
  </si>
  <si>
    <t>http://twitter.com/xafu/status/1114501451433353216</t>
  </si>
  <si>
    <t>April 06, 2019 at 07:13AM</t>
  </si>
  <si>
    <t>@juanapancha1</t>
  </si>
  <si>
    <t>http://twitter.com/juanapancha1/status/1114501652982190080</t>
  </si>
  <si>
    <t>April 06, 2019 at 07:14AM</t>
  </si>
  <si>
    <t>@aspauzarazuri</t>
  </si>
  <si>
    <t>http://twitter.com/aspauzarazuri/status/1114501778299596800</t>
  </si>
  <si>
    <t>April 06, 2019 at 07:15AM</t>
  </si>
  <si>
    <t>@lilac_lauu</t>
  </si>
  <si>
    <t>http://twitter.com/lilac_lauu/status/1114501916598374400</t>
  </si>
  <si>
    <t>http://twitter.com/gizlaine2/status/1114502090066472962</t>
  </si>
  <si>
    <t>April 06, 2019 at 07:16AM</t>
  </si>
  <si>
    <t>@NoTePutoRalles</t>
  </si>
  <si>
    <t>http://twitter.com/NoTePutoRalles/status/1114502131900350464</t>
  </si>
  <si>
    <t>@JGuignier</t>
  </si>
  <si>
    <t>http://twitter.com/JGuignier/status/1114532304985239552</t>
  </si>
  <si>
    <t>April 06, 2019 at 09:16AM</t>
  </si>
  <si>
    <t>@Azhura__</t>
  </si>
  <si>
    <t>http://twitter.com/Azhura__/status/1114532330511712257</t>
  </si>
  <si>
    <t>@buena_diabla</t>
  </si>
  <si>
    <t>http://twitter.com/buena_diabla/status/1114532403643604992</t>
  </si>
  <si>
    <t>@yoni3556_luis</t>
  </si>
  <si>
    <t>http://twitter.com/yoni3556_luis/status/1114532424765984768</t>
  </si>
  <si>
    <t>@angelmixu</t>
  </si>
  <si>
    <t>http://twitter.com/angelmixu/status/1114532568404086784</t>
  </si>
  <si>
    <t>April 06, 2019 at 09:17AM</t>
  </si>
  <si>
    <t>@CosplayerWidow</t>
  </si>
  <si>
    <t>http://twitter.com/CosplayerWidow/status/1114532590537539584</t>
  </si>
  <si>
    <t>@marinaftsrm</t>
  </si>
  <si>
    <t>http://twitter.com/marinaftsrm/status/1114532593691705344</t>
  </si>
  <si>
    <t>@Timeforfreedom_</t>
  </si>
  <si>
    <t>http://twitter.com/Timeforfreedom_/status/1114532614193451008</t>
  </si>
  <si>
    <t>http://twitter.com/Eda2005Del/status/1114532625463508993</t>
  </si>
  <si>
    <t>@Alex_is_OP</t>
  </si>
  <si>
    <t>http://twitter.com/Alex_is_OP/status/1114532693927243781</t>
  </si>
  <si>
    <t>http://twitter.com/parradoftmena/status/1114532700596076545</t>
  </si>
  <si>
    <t>@unknoweather</t>
  </si>
  <si>
    <t>http://twitter.com/unknoweather/status/1114532825582243840</t>
  </si>
  <si>
    <t>April 06, 2019 at 09:18AM</t>
  </si>
  <si>
    <t>@Adrii4561</t>
  </si>
  <si>
    <t>http://twitter.com/Adrii4561/status/1114532951121891328</t>
  </si>
  <si>
    <t>@CaptainDxnvrs</t>
  </si>
  <si>
    <t>http://twitter.com/CaptainDxnvrs/status/1114533053299396620</t>
  </si>
  <si>
    <t>April 06, 2019 at 09:19AM</t>
  </si>
  <si>
    <t>@Anjhela18</t>
  </si>
  <si>
    <t>http://twitter.com/Anjhela18/status/1114562425590833152</t>
  </si>
  <si>
    <t>April 06, 2019 at 11:16AM</t>
  </si>
  <si>
    <t>@Juanje_</t>
  </si>
  <si>
    <t>http://twitter.com/Juanje_/status/1114562477138829312</t>
  </si>
  <si>
    <t>@nereaahurtado</t>
  </si>
  <si>
    <t>http://twitter.com/nereaahurtado/status/1114562728528678912</t>
  </si>
  <si>
    <t>April 06, 2019 at 11:17AM</t>
  </si>
  <si>
    <t>@Loirox25</t>
  </si>
  <si>
    <t>http://twitter.com/Loirox25/status/1114562738519515136</t>
  </si>
  <si>
    <t>@noeliamorcillo5</t>
  </si>
  <si>
    <t>http://twitter.com/noeliamorcillo5/status/1114562874624471040</t>
  </si>
  <si>
    <t>http://twitter.com/SamyH1982/status/1114562906543263745</t>
  </si>
  <si>
    <t>http://twitter.com/SamyH1982/status/1114562908543959040</t>
  </si>
  <si>
    <t>http://twitter.com/larepublica_pe/status/1114562917096206336</t>
  </si>
  <si>
    <t>April 06, 2019 at 11:18AM</t>
  </si>
  <si>
    <t>@HERAL07</t>
  </si>
  <si>
    <t>http://twitter.com/HERAL07/status/1114562939795722241</t>
  </si>
  <si>
    <t>@Kirachigo</t>
  </si>
  <si>
    <t>http://twitter.com/Kirachigo/status/1114563055344549888</t>
  </si>
  <si>
    <t>@juiyoongi</t>
  </si>
  <si>
    <t>http://twitter.com/juiyoongi/status/1114563095014277120</t>
  </si>
  <si>
    <t>http://twitter.com/homerorm7/status/1114563107471413248</t>
  </si>
  <si>
    <t>http://twitter.com/Consy2017/status/1114563137620140033</t>
  </si>
  <si>
    <t>@julyssaforever</t>
  </si>
  <si>
    <t>http://twitter.com/julyssaforever/status/1114589167126757376</t>
  </si>
  <si>
    <t>April 06, 2019 at 01:02PM</t>
  </si>
  <si>
    <t>@cviguria</t>
  </si>
  <si>
    <t>http://twitter.com/cviguria/status/1114589255563718658</t>
  </si>
  <si>
    <t>@Publimetrope</t>
  </si>
  <si>
    <t>http://twitter.com/Publimetrope/status/1114589312996212737</t>
  </si>
  <si>
    <t>@RichardRossiMo1</t>
  </si>
  <si>
    <t>http://twitter.com/RichardRossiMo1/status/1114590005786054656</t>
  </si>
  <si>
    <t>April 06, 2019 at 01:05PM</t>
  </si>
  <si>
    <t>@MikaFacile</t>
  </si>
  <si>
    <t>http://twitter.com/MikaFacile/status/1114590845624299520</t>
  </si>
  <si>
    <t>April 06, 2019 at 01:09PM</t>
  </si>
  <si>
    <t>@70chano5</t>
  </si>
  <si>
    <t>http://twitter.com/70chano5/status/1114590930294718464</t>
  </si>
  <si>
    <t>@Albalopez6215</t>
  </si>
  <si>
    <t>http://twitter.com/Albalopez6215/status/1114591206124728320</t>
  </si>
  <si>
    <t>April 06, 2019 at 01:10PM</t>
  </si>
  <si>
    <t>@Khabarov5k</t>
  </si>
  <si>
    <t>http://twitter.com/Khabarov5k/status/1114591222033731584</t>
  </si>
  <si>
    <t>@Gustavo02208978</t>
  </si>
  <si>
    <t>http://twitter.com/Gustavo02208978/status/1114591484924309505</t>
  </si>
  <si>
    <t>April 06, 2019 at 01:11PM</t>
  </si>
  <si>
    <t>http://twitter.com/josop55/status/1114591714554130436</t>
  </si>
  <si>
    <t>April 06, 2019 at 01:12PM</t>
  </si>
  <si>
    <t>@NANCYKRISTAL</t>
  </si>
  <si>
    <t>http://twitter.com/NANCYKRISTAL/status/1114592043010019330</t>
  </si>
  <si>
    <t>April 06, 2019 at 01:13PM</t>
  </si>
  <si>
    <t>@ArroyoRocio23</t>
  </si>
  <si>
    <t>http://twitter.com/ArroyoRocio23/status/1114592055194464257</t>
  </si>
  <si>
    <t>http://twitter.com/SariSant03/status/1114592073280311296</t>
  </si>
  <si>
    <t>http://twitter.com/LiberalNoProgre/status/1114621973664022532</t>
  </si>
  <si>
    <t>April 06, 2019 at 03:12PM</t>
  </si>
  <si>
    <t>http://twitter.com/ErickDiax/status/1114621995143053312</t>
  </si>
  <si>
    <t>http://twitter.com/lamula/status/1114622129742467074</t>
  </si>
  <si>
    <t>April 06, 2019 at 03:13PM</t>
  </si>
  <si>
    <t>@violet_nane</t>
  </si>
  <si>
    <t>http://twitter.com/violet_nane/status/1114622227050311681</t>
  </si>
  <si>
    <t>http://twitter.com/JA_ERNAU/status/1114622260629856256</t>
  </si>
  <si>
    <t>http://twitter.com/PanamericanaTV/status/1114622406667243520</t>
  </si>
  <si>
    <t>April 06, 2019 at 03:14PM</t>
  </si>
  <si>
    <t>@MrHikkigaya</t>
  </si>
  <si>
    <t>http://twitter.com/MrHikkigaya/status/1114622418855911424</t>
  </si>
  <si>
    <t>@Pelukas01</t>
  </si>
  <si>
    <t>http://twitter.com/Pelukas01/status/1114622564096249856</t>
  </si>
  <si>
    <t>April 06, 2019 at 03:15PM</t>
  </si>
  <si>
    <t>@PulpinPolitico</t>
  </si>
  <si>
    <t>http://twitter.com/PulpinPolitico/status/1114622822003798016</t>
  </si>
  <si>
    <t>April 06, 2019 at 03:16PM</t>
  </si>
  <si>
    <t>http://twitter.com/cviguria/status/1114622923803897857</t>
  </si>
  <si>
    <t>@rcubag</t>
  </si>
  <si>
    <t>http://twitter.com/rcubag/status/1114623192155475968</t>
  </si>
  <si>
    <t>April 06, 2019 at 03:17PM</t>
  </si>
  <si>
    <t>@NotSowilo</t>
  </si>
  <si>
    <t>http://twitter.com/NotSowilo/status/1114623255380406272</t>
  </si>
  <si>
    <t>http://twitter.com/StorinoAragon/status/1114623384510521344</t>
  </si>
  <si>
    <t>April 06, 2019 at 03:18PM</t>
  </si>
  <si>
    <t>@TheRepliKant</t>
  </si>
  <si>
    <t>http://twitter.com/TheRepliKant/status/1114623510339629058</t>
  </si>
  <si>
    <t>@ggukftkim</t>
  </si>
  <si>
    <t>http://twitter.com/ggukftkim/status/1114650583368126464</t>
  </si>
  <si>
    <t>April 06, 2019 at 05:06PM</t>
  </si>
  <si>
    <t>@M_Viieiraa</t>
  </si>
  <si>
    <t>http://twitter.com/M_Viieiraa/status/1114652037302583296</t>
  </si>
  <si>
    <t>April 06, 2019 at 05:12PM</t>
  </si>
  <si>
    <t>http://twitter.com/matuk/status/1114652053190606849</t>
  </si>
  <si>
    <t>@JuanRibeyromano</t>
  </si>
  <si>
    <t>http://twitter.com/JuanRibeyromano/status/1114652071393988608</t>
  </si>
  <si>
    <t>@marycard26</t>
  </si>
  <si>
    <t>http://twitter.com/marycard26/status/1114652079522492417</t>
  </si>
  <si>
    <t>@EsterRubio2</t>
  </si>
  <si>
    <t>http://twitter.com/EsterRubio2/status/1114652176264175617</t>
  </si>
  <si>
    <t>http://twitter.com/Politica_LR/status/1114652236808970240</t>
  </si>
  <si>
    <t>http://twitter.com/anyce18/status/1114652604254969856</t>
  </si>
  <si>
    <t>April 06, 2019 at 05:14PM</t>
  </si>
  <si>
    <t>@_enumerado</t>
  </si>
  <si>
    <t>http://twitter.com/_enumerado/status/1114652847092764673</t>
  </si>
  <si>
    <t>April 06, 2019 at 05:15PM</t>
  </si>
  <si>
    <t>http://twitter.com/anatari33/status/1114652997860986880</t>
  </si>
  <si>
    <t>@femalepowerx</t>
  </si>
  <si>
    <t>http://twitter.com/femalepowerx/status/1114653002244284418</t>
  </si>
  <si>
    <t>@PeruPressTv</t>
  </si>
  <si>
    <t>http://twitter.com/PeruPressTv/status/1114653008095252480</t>
  </si>
  <si>
    <t>April 06, 2019 at 05:16PM</t>
  </si>
  <si>
    <t>@ester_LG</t>
  </si>
  <si>
    <t>http://twitter.com/ester_LG/status/1114680732075610112</t>
  </si>
  <si>
    <t>April 06, 2019 at 07:06PM</t>
  </si>
  <si>
    <t>@PalmaGloria</t>
  </si>
  <si>
    <t>http://twitter.com/PalmaGloria/status/1114680826514558977</t>
  </si>
  <si>
    <t>@Zelatod</t>
  </si>
  <si>
    <t>http://twitter.com/Zelatod/status/1114680967967457285</t>
  </si>
  <si>
    <t>April 06, 2019 at 07:07PM</t>
  </si>
  <si>
    <t>http://twitter.com/CiudaPachacutec/status/1114681021050556418</t>
  </si>
  <si>
    <t>@dellanottesfera</t>
  </si>
  <si>
    <t>http://twitter.com/dellanottesfera/status/1114681205969100800</t>
  </si>
  <si>
    <t>April 06, 2019 at 07:08PM</t>
  </si>
  <si>
    <t>@Marglem_</t>
  </si>
  <si>
    <t>http://twitter.com/Marglem_/status/1114681276689199105</t>
  </si>
  <si>
    <t>@elleon_15</t>
  </si>
  <si>
    <t>http://twitter.com/elleon_15/status/1114681567107080192</t>
  </si>
  <si>
    <t>April 06, 2019 at 07:09PM</t>
  </si>
  <si>
    <t>http://twitter.com/AceSalaverry/status/1114681752671457280</t>
  </si>
  <si>
    <t>April 06, 2019 at 07:10PM</t>
  </si>
  <si>
    <t>@alvarocervantes</t>
  </si>
  <si>
    <t>http://twitter.com/alvarocervantes/status/1114682114228871168</t>
  </si>
  <si>
    <t>April 06, 2019 at 07:11PM</t>
  </si>
  <si>
    <t>@dyoboxian</t>
  </si>
  <si>
    <t>http://twitter.com/dyoboxian/status/1114682343246192641</t>
  </si>
  <si>
    <t>April 06, 2019 at 07:12PM</t>
  </si>
  <si>
    <t>@Javi_arbii</t>
  </si>
  <si>
    <t>http://twitter.com/Javi_arbii/status/1114682664764809216</t>
  </si>
  <si>
    <t>April 06, 2019 at 07:13PM</t>
  </si>
  <si>
    <t>@conf_episcopal</t>
  </si>
  <si>
    <t>http://twitter.com/conf_episcopal/status/1114682735434637312</t>
  </si>
  <si>
    <t>April 06, 2019 at 07:14PM</t>
  </si>
  <si>
    <t>@EduardoZegT</t>
  </si>
  <si>
    <t>http://twitter.com/EduardoZegT/status/1114682828388798465</t>
  </si>
  <si>
    <t>http://twitter.com/Peru_Noticias/status/1114682906222501888</t>
  </si>
  <si>
    <t>@Las_Chiquititas</t>
  </si>
  <si>
    <t>http://twitter.com/Las_Chiquititas/status/1114713580421701632</t>
  </si>
  <si>
    <t>April 06, 2019 at 09:16PM</t>
  </si>
  <si>
    <t>@RaulAlcmun</t>
  </si>
  <si>
    <t>http://twitter.com/RaulAlcmun/status/1114713630384304129</t>
  </si>
  <si>
    <t>@CesarRevolledo</t>
  </si>
  <si>
    <t>http://twitter.com/CesarRevolledo/status/1114713632087183360</t>
  </si>
  <si>
    <t>@raulasencio3</t>
  </si>
  <si>
    <t>http://twitter.com/raulasencio3/status/1114713644665856001</t>
  </si>
  <si>
    <t>@Oswaldo96150822</t>
  </si>
  <si>
    <t>http://twitter.com/Oswaldo96150822/status/1114713661048856582</t>
  </si>
  <si>
    <t>April 06, 2019 at 09:17PM</t>
  </si>
  <si>
    <t>@juanaponte1939</t>
  </si>
  <si>
    <t>http://twitter.com/juanaponte1939/status/1114713666824355840</t>
  </si>
  <si>
    <t>http://twitter.com/Oswaldo96150822/status/1114713733283102720</t>
  </si>
  <si>
    <t>http://twitter.com/PeruPressTv/status/1114713822428901377</t>
  </si>
  <si>
    <t>@redlyon_</t>
  </si>
  <si>
    <t>http://twitter.com/redlyon_/status/1114713981342687232</t>
  </si>
  <si>
    <t>April 06, 2019 at 09:18PM</t>
  </si>
  <si>
    <t>http://twitter.com/wizagp/status/1114714025659703296</t>
  </si>
  <si>
    <t>http://twitter.com/wizagp/status/1114714095289135107</t>
  </si>
  <si>
    <t>@waqrawiri7</t>
  </si>
  <si>
    <t>http://twitter.com/waqrawiri7/status/1114714125714718720</t>
  </si>
  <si>
    <t>@CarmenRozas3</t>
  </si>
  <si>
    <t>http://twitter.com/CarmenRozas3/status/1114714125949706241</t>
  </si>
  <si>
    <t>@ohornaf</t>
  </si>
  <si>
    <t>http://twitter.com/ohornaf/status/1114714163748716544</t>
  </si>
  <si>
    <t>April 06, 2019 at 09:19PM</t>
  </si>
  <si>
    <t>@RositaFlores12</t>
  </si>
  <si>
    <t>http://twitter.com/RositaFlores12/status/1114741618173730816</t>
  </si>
  <si>
    <t>April 06, 2019 at 11:08PM</t>
  </si>
  <si>
    <t>@gcb9222</t>
  </si>
  <si>
    <t>http://twitter.com/gcb9222/status/1114741646078431233</t>
  </si>
  <si>
    <t>@Fioreaquije</t>
  </si>
  <si>
    <t>http://twitter.com/Fioreaquije/status/1114741719277494272</t>
  </si>
  <si>
    <t>@40karatslady</t>
  </si>
  <si>
    <t>http://twitter.com/40karatslady/status/1114741739213008897</t>
  </si>
  <si>
    <t>http://twitter.com/TaliaLVE/status/1114741873330073600</t>
  </si>
  <si>
    <t>April 06, 2019 at 11:09PM</t>
  </si>
  <si>
    <t>http://twitter.com/TaliaLVE/status/1114741912777502721</t>
  </si>
  <si>
    <t>http://twitter.com/RositaFlores12/status/1114742090242695168</t>
  </si>
  <si>
    <t>@Noktambuleante</t>
  </si>
  <si>
    <t>http://twitter.com/Noktambuleante/status/1114742233129996290</t>
  </si>
  <si>
    <t>April 06, 2019 at 11:10PM</t>
  </si>
  <si>
    <t>http://twitter.com/rgonzalesm/status/1114742543391035392</t>
  </si>
  <si>
    <t>April 06, 2019 at 11:11PM</t>
  </si>
  <si>
    <t>@dianacastro2809</t>
  </si>
  <si>
    <t>http://twitter.com/dianacastro2809/status/1114742547450957831</t>
  </si>
  <si>
    <t>@MichaelGamezB</t>
  </si>
  <si>
    <t>http://twitter.com/MichaelGamezB/status/1114742650362634240</t>
  </si>
  <si>
    <t>April 06, 2019 at 11:12PM</t>
  </si>
  <si>
    <t>http://twitter.com/AceSalaverry/status/1114743027812241409</t>
  </si>
  <si>
    <t>April 06, 2019 at 11:13PM</t>
  </si>
  <si>
    <t>@silviav69702394</t>
  </si>
  <si>
    <t>http://twitter.com/silviav69702394/status/1114743181529288707</t>
  </si>
  <si>
    <t>April 06, 2019 at 11:14PM</t>
  </si>
  <si>
    <t>@rupertomacha</t>
  </si>
  <si>
    <t>http://twitter.com/rupertomacha/status/1114743432101101568</t>
  </si>
  <si>
    <t>April 06, 2019 at 11:15PM</t>
  </si>
  <si>
    <t>@TiconaNorma</t>
  </si>
  <si>
    <t>http://twitter.com/TiconaNorma/status/1114743662590795776</t>
  </si>
  <si>
    <t>April 06, 2019 at 11:16PM</t>
  </si>
  <si>
    <t>@Ivammaru</t>
  </si>
  <si>
    <t>http://twitter.com/Ivammaru/status/1114764140093030400</t>
  </si>
  <si>
    <t>April 07, 2019 at 12:37AM</t>
  </si>
  <si>
    <t>@danielat185v</t>
  </si>
  <si>
    <t>http://twitter.com/danielat185v/status/1114764685503541249</t>
  </si>
  <si>
    <t>April 07, 2019 at 12:39AM</t>
  </si>
  <si>
    <t>@GloriaMonteneg</t>
  </si>
  <si>
    <t>http://twitter.com/GloriaMonteneg/status/1114764798913327104</t>
  </si>
  <si>
    <t>April 07, 2019 at 12:40AM</t>
  </si>
  <si>
    <t>http://twitter.com/silviahupiu/status/1114764899274641408</t>
  </si>
  <si>
    <t>http://twitter.com/nelly19070419/status/1114765585047609344</t>
  </si>
  <si>
    <t>April 07, 2019 at 12:43AM</t>
  </si>
  <si>
    <t>@medmariomiguel</t>
  </si>
  <si>
    <t>http://twitter.com/medmariomiguel/status/1114766149990920192</t>
  </si>
  <si>
    <t>April 07, 2019 at 12:45AM</t>
  </si>
  <si>
    <t>@LoreVM</t>
  </si>
  <si>
    <t>http://twitter.com/LoreVM/status/1114766626304536579</t>
  </si>
  <si>
    <t>April 07, 2019 at 12:47AM</t>
  </si>
  <si>
    <t>@mari_bRuiz</t>
  </si>
  <si>
    <t>http://twitter.com/mari_bRuiz/status/1114767290925559808</t>
  </si>
  <si>
    <t>April 07, 2019 at 12:50AM</t>
  </si>
  <si>
    <t>@BaltazarMoretti</t>
  </si>
  <si>
    <t>http://twitter.com/BaltazarMoretti/status/1114767404347871232</t>
  </si>
  <si>
    <t>@martinluma</t>
  </si>
  <si>
    <t>http://twitter.com/martinluma/status/1114768507026268160</t>
  </si>
  <si>
    <t>April 07, 2019 at 12:54AM</t>
  </si>
  <si>
    <t>@luisvalera11</t>
  </si>
  <si>
    <t>http://twitter.com/luisvalera11/status/1114769015426170881</t>
  </si>
  <si>
    <t>April 07, 2019 at 12:56AM</t>
  </si>
  <si>
    <t>http://twitter.com/40Matos/status/1114770150660636672</t>
  </si>
  <si>
    <t>April 07, 2019 at 01:01AM</t>
  </si>
  <si>
    <t>@Lruizost</t>
  </si>
  <si>
    <t>http://twitter.com/Lruizost/status/1114770374187802624</t>
  </si>
  <si>
    <t>April 07, 2019 at 01:02AM</t>
  </si>
  <si>
    <t>http://twitter.com/malita0550/status/1114770610666844161</t>
  </si>
  <si>
    <t>April 07, 2019 at 01:03AM</t>
  </si>
  <si>
    <t>http://twitter.com/ucinoticias_pe/status/1114771014049832960</t>
  </si>
  <si>
    <t>April 07, 2019 at 01:04AM</t>
  </si>
  <si>
    <t>@chang_olivares</t>
  </si>
  <si>
    <t>http://twitter.com/chang_olivares/status/1114771277561122816</t>
  </si>
  <si>
    <t>April 07, 2019 at 01:05AM</t>
  </si>
  <si>
    <t>@leoncio1404</t>
  </si>
  <si>
    <t>http://twitter.com/leoncio1404/status/1114797912012328960</t>
  </si>
  <si>
    <t>April 07, 2019 at 02:51AM</t>
  </si>
  <si>
    <t>@Marcos_2001_</t>
  </si>
  <si>
    <t>http://twitter.com/Marcos_2001_/status/1114798870729457664</t>
  </si>
  <si>
    <t>April 07, 2019 at 02:55AM</t>
  </si>
  <si>
    <t>@DavidJonnees</t>
  </si>
  <si>
    <t>http://twitter.com/DavidJonnees/status/1114798932075450369</t>
  </si>
  <si>
    <t>@JorgeAguirre9</t>
  </si>
  <si>
    <t>http://twitter.com/JorgeAguirre9/status/1114799724694056960</t>
  </si>
  <si>
    <t>April 07, 2019 at 02:59AM</t>
  </si>
  <si>
    <t>@LadyGamer_of</t>
  </si>
  <si>
    <t>http://twitter.com/LadyGamer_of/status/1114799914347896832</t>
  </si>
  <si>
    <t>@srtanvarro</t>
  </si>
  <si>
    <t>http://twitter.com/srtanvarro/status/1114800172612108290</t>
  </si>
  <si>
    <t>April 07, 2019 at 03:00AM</t>
  </si>
  <si>
    <t>@ArribaAlianza3</t>
  </si>
  <si>
    <t>http://twitter.com/ArribaAlianza3/status/1114800431262248965</t>
  </si>
  <si>
    <t>April 07, 2019 at 03:01AM</t>
  </si>
  <si>
    <t>@Gabriela_Malla</t>
  </si>
  <si>
    <t>http://twitter.com/Gabriela_Malla/status/1114800575688970240</t>
  </si>
  <si>
    <t>April 07, 2019 at 03:02AM</t>
  </si>
  <si>
    <t>@DeisBcn</t>
  </si>
  <si>
    <t>http://twitter.com/DeisBcn/status/1114800705519476736</t>
  </si>
  <si>
    <t>@MikiRv51999</t>
  </si>
  <si>
    <t>http://twitter.com/MikiRv51999/status/1114800761060380677</t>
  </si>
  <si>
    <t>April 07, 2019 at 03:03AM</t>
  </si>
  <si>
    <t>@Mayumaca</t>
  </si>
  <si>
    <t>http://twitter.com/Mayumaca/status/1114800803645218816</t>
  </si>
  <si>
    <t>@uttnaylisa</t>
  </si>
  <si>
    <t>http://twitter.com/uttnaylisa/status/1114801060403662848</t>
  </si>
  <si>
    <t>April 07, 2019 at 03:04AM</t>
  </si>
  <si>
    <t>@elmundodechris</t>
  </si>
  <si>
    <t>http://twitter.com/elmundodechris/status/1114802467131330560</t>
  </si>
  <si>
    <t>April 07, 2019 at 03:09AM</t>
  </si>
  <si>
    <t>@javierledesmare</t>
  </si>
  <si>
    <t>http://twitter.com/javierledesmare/status/1114829303433375745</t>
  </si>
  <si>
    <t>April 07, 2019 at 04:56AM</t>
  </si>
  <si>
    <t>@ElChotoAlbino</t>
  </si>
  <si>
    <t>http://twitter.com/ElChotoAlbino/status/1114829660314066944</t>
  </si>
  <si>
    <t>April 07, 2019 at 04:57AM</t>
  </si>
  <si>
    <t>http://twitter.com/teresaarbulu/status/1114830044260634625</t>
  </si>
  <si>
    <t>April 07, 2019 at 04:59AM</t>
  </si>
  <si>
    <t>@averarita</t>
  </si>
  <si>
    <t>http://twitter.com/averarita/status/1114830182714572800</t>
  </si>
  <si>
    <t>April 07, 2019 at 05:00AM</t>
  </si>
  <si>
    <t>@Manuel_de_BCN</t>
  </si>
  <si>
    <t>http://twitter.com/Manuel_de_BCN/status/1114830518074396672</t>
  </si>
  <si>
    <t>April 07, 2019 at 05:01AM</t>
  </si>
  <si>
    <t>@Celoviedo</t>
  </si>
  <si>
    <t>http://twitter.com/Celoviedo/status/1114831082774573056</t>
  </si>
  <si>
    <t>April 07, 2019 at 05:03AM</t>
  </si>
  <si>
    <t>@Naethda</t>
  </si>
  <si>
    <t>http://twitter.com/Naethda/status/1114831096716365825</t>
  </si>
  <si>
    <t>@marcso1111</t>
  </si>
  <si>
    <t>http://twitter.com/marcso1111/status/1114831236239904774</t>
  </si>
  <si>
    <t>April 07, 2019 at 05:04AM</t>
  </si>
  <si>
    <t>@rosasynebulosas</t>
  </si>
  <si>
    <t>http://twitter.com/rosasynebulosas/status/1114832189768781825</t>
  </si>
  <si>
    <t>April 07, 2019 at 05:08AM</t>
  </si>
  <si>
    <t>@paaauulss</t>
  </si>
  <si>
    <t>http://twitter.com/paaauulss/status/1114832648755658752</t>
  </si>
  <si>
    <t>April 07, 2019 at 05:09AM</t>
  </si>
  <si>
    <t>@rosiotigre</t>
  </si>
  <si>
    <t>http://twitter.com/rosiotigre/status/1114833105364377602</t>
  </si>
  <si>
    <t>April 07, 2019 at 05:11AM</t>
  </si>
  <si>
    <t>@jaiikaa20</t>
  </si>
  <si>
    <t>http://twitter.com/jaiikaa20/status/1114833204312182785</t>
  </si>
  <si>
    <t>April 07, 2019 at 05:12AM</t>
  </si>
  <si>
    <t>@Dowudo</t>
  </si>
  <si>
    <t>http://twitter.com/Dowudo/status/1114833287703355397</t>
  </si>
  <si>
    <t>@aleexitus</t>
  </si>
  <si>
    <t>http://twitter.com/aleexitus/status/1114833349015556096</t>
  </si>
  <si>
    <t>@SrMickeyMouse28</t>
  </si>
  <si>
    <t>http://twitter.com/SrMickeyMouse28/status/1114833421325537281</t>
  </si>
  <si>
    <t>@fxckist</t>
  </si>
  <si>
    <t>http://twitter.com/fxckist/status/1114833628641529856</t>
  </si>
  <si>
    <t>April 07, 2019 at 05:13AM</t>
  </si>
  <si>
    <t>@luismedinah</t>
  </si>
  <si>
    <t>http://twitter.com/luismedinah/status/1114864074981085191</t>
  </si>
  <si>
    <t>April 07, 2019 at 07:14AM</t>
  </si>
  <si>
    <t>http://twitter.com/MARLENYSUAREZG/status/1114864154651660288</t>
  </si>
  <si>
    <t>April 07, 2019 at 07:15AM</t>
  </si>
  <si>
    <t>http://twitter.com/HenryRa28091268/status/1114864283052138496</t>
  </si>
  <si>
    <t>@Asgeir08</t>
  </si>
  <si>
    <t>http://twitter.com/Asgeir08/status/1114864535289192449</t>
  </si>
  <si>
    <t>April 07, 2019 at 07:16AM</t>
  </si>
  <si>
    <t>http://twitter.com/danielfbv/status/1114864540846575618</t>
  </si>
  <si>
    <t>http://twitter.com/isabeldiceesto/status/1114864573608337408</t>
  </si>
  <si>
    <t>@UnRusoEnBolas</t>
  </si>
  <si>
    <t>http://twitter.com/UnRusoEnBolas/status/1114864589164961793</t>
  </si>
  <si>
    <t>@RHV_03</t>
  </si>
  <si>
    <t>http://twitter.com/RHV_03/status/1114864612556595200</t>
  </si>
  <si>
    <t>@PopiPopito</t>
  </si>
  <si>
    <t>http://twitter.com/PopiPopito/status/1114864617421930496</t>
  </si>
  <si>
    <t>@Marie3769</t>
  </si>
  <si>
    <t>http://twitter.com/Marie3769/status/1114864643497967616</t>
  </si>
  <si>
    <t>http://twitter.com/danielfbv/status/1114864811454730241</t>
  </si>
  <si>
    <t>April 07, 2019 at 07:17AM</t>
  </si>
  <si>
    <t>@edusky_</t>
  </si>
  <si>
    <t>http://twitter.com/edusky_/status/1114864813539196929</t>
  </si>
  <si>
    <t>@Nayarabora1</t>
  </si>
  <si>
    <t>http://twitter.com/Nayarabora1/status/1114864850881138694</t>
  </si>
  <si>
    <t>@alexortiz1511</t>
  </si>
  <si>
    <t>http://twitter.com/alexortiz1511/status/1114864909291085825</t>
  </si>
  <si>
    <t>April 07, 2019 at 07:18AM</t>
  </si>
  <si>
    <t>@maeba1218</t>
  </si>
  <si>
    <t>http://twitter.com/maeba1218/status/1114864975128997888</t>
  </si>
  <si>
    <t>@CristinaNoyes</t>
  </si>
  <si>
    <t>http://twitter.com/CristinaNoyes/status/1114894650093993984</t>
  </si>
  <si>
    <t>April 07, 2019 at 09:16AM</t>
  </si>
  <si>
    <t>http://twitter.com/RPPNoticias/status/1114894755744354305</t>
  </si>
  <si>
    <t>@Gaaillard_</t>
  </si>
  <si>
    <t>http://twitter.com/Gaaillard_/status/1114894756327362561</t>
  </si>
  <si>
    <t>http://twitter.com/carlos1504511/status/1114894765957554176</t>
  </si>
  <si>
    <t>@quepasabil</t>
  </si>
  <si>
    <t>http://twitter.com/quepasabil/status/1114894851177365505</t>
  </si>
  <si>
    <t>April 07, 2019 at 09:17AM</t>
  </si>
  <si>
    <t>@heinzroque</t>
  </si>
  <si>
    <t>http://twitter.com/heinzroque/status/1114894879757361152</t>
  </si>
  <si>
    <t>@andri000me_2</t>
  </si>
  <si>
    <t>http://twitter.com/andri000me_2/status/1114894884182212608</t>
  </si>
  <si>
    <t>@GabriellaLen1</t>
  </si>
  <si>
    <t>http://twitter.com/GabriellaLen1/status/1114894912984629254</t>
  </si>
  <si>
    <t>@Kurukuru1408</t>
  </si>
  <si>
    <t>http://twitter.com/Kurukuru1408/status/1114894981146251265</t>
  </si>
  <si>
    <t>@btsartists_</t>
  </si>
  <si>
    <t>http://twitter.com/btsartists_/status/1114895095801708546</t>
  </si>
  <si>
    <t>@laurimm05</t>
  </si>
  <si>
    <t>http://twitter.com/laurimm05/status/1114895134695591937</t>
  </si>
  <si>
    <t>April 07, 2019 at 09:18AM</t>
  </si>
  <si>
    <t>http://twitter.com/ComoEnLaCombi/status/1114895192589520897</t>
  </si>
  <si>
    <t>@VeriCaducat_</t>
  </si>
  <si>
    <t>http://twitter.com/VeriCaducat_/status/1114895546043518983</t>
  </si>
  <si>
    <t>April 07, 2019 at 09:19AM</t>
  </si>
  <si>
    <t>@mediosperuanos</t>
  </si>
  <si>
    <t>http://twitter.com/mediosperuanos/status/1114895558370562054</t>
  </si>
  <si>
    <t>@atarilmao</t>
  </si>
  <si>
    <t>http://twitter.com/atarilmao/status/1114923599981424640</t>
  </si>
  <si>
    <t>April 07, 2019 at 11:11AM</t>
  </si>
  <si>
    <t>@gilmarpa</t>
  </si>
  <si>
    <t>http://twitter.com/gilmarpa/status/1114923605983485952</t>
  </si>
  <si>
    <t>@celingarcia</t>
  </si>
  <si>
    <t>http://twitter.com/celingarcia/status/1114923836716269573</t>
  </si>
  <si>
    <t>April 07, 2019 at 11:12AM</t>
  </si>
  <si>
    <t>@JuliResp</t>
  </si>
  <si>
    <t>http://twitter.com/JuliResp/status/1114923880509059072</t>
  </si>
  <si>
    <t>@mire_fdez</t>
  </si>
  <si>
    <t>http://twitter.com/mire_fdez/status/1114923910405996545</t>
  </si>
  <si>
    <t>@itszaynx</t>
  </si>
  <si>
    <t>http://twitter.com/itszaynx/status/1114923985056227328</t>
  </si>
  <si>
    <t>@ruhm_online</t>
  </si>
  <si>
    <t>http://twitter.com/ruhm_online/status/1114924057928060934</t>
  </si>
  <si>
    <t>April 07, 2019 at 11:13AM</t>
  </si>
  <si>
    <t>@Anna01881338</t>
  </si>
  <si>
    <t>http://twitter.com/Anna01881338/status/1114924133886976001</t>
  </si>
  <si>
    <t>@juancar23432181</t>
  </si>
  <si>
    <t>http://twitter.com/juancar23432181/status/1114924287088123906</t>
  </si>
  <si>
    <t>@Shirojinka</t>
  </si>
  <si>
    <t>http://twitter.com/Shirojinka/status/1114924332847902726</t>
  </si>
  <si>
    <t>April 07, 2019 at 11:14AM</t>
  </si>
  <si>
    <t>@soyladiestra</t>
  </si>
  <si>
    <t>http://twitter.com/soyladiestra/status/1114924412975894535</t>
  </si>
  <si>
    <t>http://twitter.com/Rollhando/status/1114924655012401152</t>
  </si>
  <si>
    <t>April 07, 2019 at 11:15AM</t>
  </si>
  <si>
    <t>@GaboooTM</t>
  </si>
  <si>
    <t>http://twitter.com/GaboooTM/status/1114924837082996739</t>
  </si>
  <si>
    <t>April 07, 2019 at 11:16AM</t>
  </si>
  <si>
    <t>@informateperu</t>
  </si>
  <si>
    <t>http://twitter.com/informateperu/status/1114952343555117056</t>
  </si>
  <si>
    <t>April 07, 2019 at 01:05PM</t>
  </si>
  <si>
    <t>http://twitter.com/Jhonney2020/status/1114952389696589824</t>
  </si>
  <si>
    <t>@nicoalessandrap</t>
  </si>
  <si>
    <t>http://twitter.com/nicoalessandrap/status/1114952421795618823</t>
  </si>
  <si>
    <t>@utilitiesperu</t>
  </si>
  <si>
    <t>http://twitter.com/utilitiesperu/status/1114952693985030147</t>
  </si>
  <si>
    <t>April 07, 2019 at 01:06PM</t>
  </si>
  <si>
    <t>@ClauxVince</t>
  </si>
  <si>
    <t>http://twitter.com/ClauxVince/status/1114952734761988096</t>
  </si>
  <si>
    <t>April 07, 2019 at 01:07PM</t>
  </si>
  <si>
    <t>http://twitter.com/malita0550/status/1114952874566606853</t>
  </si>
  <si>
    <t>http://twitter.com/danielfbv/status/1114953064790876160</t>
  </si>
  <si>
    <t>April 07, 2019 at 01:08PM</t>
  </si>
  <si>
    <t>@Regui97</t>
  </si>
  <si>
    <t>http://twitter.com/Regui97/status/1114953203437776896</t>
  </si>
  <si>
    <t>@rollinthorne</t>
  </si>
  <si>
    <t>http://twitter.com/rollinthorne/status/1114953448468905984</t>
  </si>
  <si>
    <t>April 07, 2019 at 01:09PM</t>
  </si>
  <si>
    <t>@AlfonsoMDelgado</t>
  </si>
  <si>
    <t>http://twitter.com/AlfonsoMDelgado/status/1114953526487261184</t>
  </si>
  <si>
    <t>April 07, 2019 at 01:10PM</t>
  </si>
  <si>
    <t>@MinCulturaPe</t>
  </si>
  <si>
    <t>http://twitter.com/MinCulturaPe/status/1114953747719950337</t>
  </si>
  <si>
    <t>April 07, 2019 at 01:11PM</t>
  </si>
  <si>
    <t>http://twitter.com/ClynCampos/status/1114953808533233665</t>
  </si>
  <si>
    <t>@JrMiningNews</t>
  </si>
  <si>
    <t>http://twitter.com/JrMiningNews/status/1114953973176459265</t>
  </si>
  <si>
    <t>@LerodrenirJane</t>
  </si>
  <si>
    <t>http://twitter.com/LerodrenirJane/status/1114982289644163072</t>
  </si>
  <si>
    <t>April 07, 2019 at 03:04PM</t>
  </si>
  <si>
    <t>@LauraMasanet</t>
  </si>
  <si>
    <t>http://twitter.com/LauraMasanet/status/1114982507882131457</t>
  </si>
  <si>
    <t>April 07, 2019 at 03:05PM</t>
  </si>
  <si>
    <t>@ferinnato</t>
  </si>
  <si>
    <t>http://twitter.com/ferinnato/status/1114982622286024705</t>
  </si>
  <si>
    <t>@paskenreal</t>
  </si>
  <si>
    <t>http://twitter.com/paskenreal/status/1114982658302459906</t>
  </si>
  <si>
    <t>http://twitter.com/Gestionpe/status/1114983004974264326</t>
  </si>
  <si>
    <t>April 07, 2019 at 03:07PM</t>
  </si>
  <si>
    <t>@sweetmistery7</t>
  </si>
  <si>
    <t>http://twitter.com/sweetmistery7/status/1114983124096749569</t>
  </si>
  <si>
    <t>@AndreRojas2016</t>
  </si>
  <si>
    <t>http://twitter.com/AndreRojas2016/status/1114983750587301888</t>
  </si>
  <si>
    <t>April 07, 2019 at 03:10PM</t>
  </si>
  <si>
    <t>@julinhahu</t>
  </si>
  <si>
    <t>http://twitter.com/julinhahu/status/1114983765296730114</t>
  </si>
  <si>
    <t>@hugonopo</t>
  </si>
  <si>
    <t>http://twitter.com/hugonopo/status/1114983900172955648</t>
  </si>
  <si>
    <t>@Latina_Noticias</t>
  </si>
  <si>
    <t>http://twitter.com/Latina_Noticias/status/1114983935224606720</t>
  </si>
  <si>
    <t>April 07, 2019 at 03:11PM</t>
  </si>
  <si>
    <t>@DinoLoft</t>
  </si>
  <si>
    <t>http://twitter.com/DinoLoft/status/1114984298958946304</t>
  </si>
  <si>
    <t>April 07, 2019 at 03:12PM</t>
  </si>
  <si>
    <t>@NOTIELMOMENTO</t>
  </si>
  <si>
    <t>http://twitter.com/NOTIELMOMENTO/status/1114984330261090305</t>
  </si>
  <si>
    <t>@Marimery_97</t>
  </si>
  <si>
    <t>http://twitter.com/Marimery_97/status/1114984528211337216</t>
  </si>
  <si>
    <t>April 07, 2019 at 03:13PM</t>
  </si>
  <si>
    <t>http://twitter.com/nellywarmi/status/1115014034380742656</t>
  </si>
  <si>
    <t>April 07, 2019 at 05:10PM</t>
  </si>
  <si>
    <t>http://twitter.com/soyladiestra/status/1115014167222730756</t>
  </si>
  <si>
    <t>April 07, 2019 at 05:11PM</t>
  </si>
  <si>
    <t>@Natizmez</t>
  </si>
  <si>
    <t>http://twitter.com/Natizmez/status/1115014257689624576</t>
  </si>
  <si>
    <t>http://twitter.com/Paramount_miss/status/1115014291881648129</t>
  </si>
  <si>
    <t>@Asuzena13</t>
  </si>
  <si>
    <t>http://twitter.com/Asuzena13/status/1115014566394703872</t>
  </si>
  <si>
    <t>April 07, 2019 at 05:12PM</t>
  </si>
  <si>
    <t>http://twitter.com/VictorP51418565/status/1115014662880407560</t>
  </si>
  <si>
    <t>April 07, 2019 at 05:13PM</t>
  </si>
  <si>
    <t>@judithmxrtinezz</t>
  </si>
  <si>
    <t>http://twitter.com/judithmxrtinezz/status/1115014989226676224</t>
  </si>
  <si>
    <t>April 07, 2019 at 05:14PM</t>
  </si>
  <si>
    <t>@Homegwarts</t>
  </si>
  <si>
    <t>http://twitter.com/Homegwarts/status/1115015315430232064</t>
  </si>
  <si>
    <t>April 07, 2019 at 05:15PM</t>
  </si>
  <si>
    <t>http://twitter.com/Jorgedelama/status/1115015395436638208</t>
  </si>
  <si>
    <t>April 07, 2019 at 05:16PM</t>
  </si>
  <si>
    <t>@houishwn</t>
  </si>
  <si>
    <t>http://twitter.com/houishwn/status/1115015554593693696</t>
  </si>
  <si>
    <t>@IsraelMR13</t>
  </si>
  <si>
    <t>http://twitter.com/IsraelMR13/status/1115015655655395328</t>
  </si>
  <si>
    <t>April 07, 2019 at 05:17PM</t>
  </si>
  <si>
    <t>http://twitter.com/william759/status/1115015857611124736</t>
  </si>
  <si>
    <t>@simples_humanos</t>
  </si>
  <si>
    <t>http://twitter.com/simples_humanos/status/1115015993443717120</t>
  </si>
  <si>
    <t>April 07, 2019 at 05:18PM</t>
  </si>
  <si>
    <t>@PaulinaRoberta</t>
  </si>
  <si>
    <t>http://twitter.com/PaulinaRoberta/status/1115041521324253184</t>
  </si>
  <si>
    <t>April 07, 2019 at 06:59PM</t>
  </si>
  <si>
    <t>@enzzobarrena</t>
  </si>
  <si>
    <t>http://twitter.com/enzzobarrena/status/1115041836224086018</t>
  </si>
  <si>
    <t>April 07, 2019 at 07:01PM</t>
  </si>
  <si>
    <t>@PsicoterapiaO</t>
  </si>
  <si>
    <t>http://twitter.com/PsicoterapiaO/status/1115041869933830144</t>
  </si>
  <si>
    <t>@eduardoguerrah</t>
  </si>
  <si>
    <t>http://twitter.com/eduardoguerrah/status/1115041897679028224</t>
  </si>
  <si>
    <t>@puritacancha</t>
  </si>
  <si>
    <t>http://twitter.com/puritacancha/status/1115041935918424065</t>
  </si>
  <si>
    <t>@MiguelNique</t>
  </si>
  <si>
    <t>http://twitter.com/MiguelNique/status/1115042010904264705</t>
  </si>
  <si>
    <t>@99marichu</t>
  </si>
  <si>
    <t>http://twitter.com/99marichu/status/1115042024103657474</t>
  </si>
  <si>
    <t>@MarioArboledaO1</t>
  </si>
  <si>
    <t>http://twitter.com/MarioArboledaO1/status/1115042199312510977</t>
  </si>
  <si>
    <t>April 07, 2019 at 07:02PM</t>
  </si>
  <si>
    <t>@Gauchada_ls</t>
  </si>
  <si>
    <t>http://twitter.com/Gauchada_ls/status/1115042316761423873</t>
  </si>
  <si>
    <t>http://twitter.com/cesarvillarm/status/1115042400903155712</t>
  </si>
  <si>
    <t>April 07, 2019 at 07:03PM</t>
  </si>
  <si>
    <t>@josemargsilva</t>
  </si>
  <si>
    <t>http://twitter.com/josemargsilva/status/1115042443785842688</t>
  </si>
  <si>
    <t>@GuardianYoshi</t>
  </si>
  <si>
    <t>http://twitter.com/GuardianYoshi/status/1115042816449761280</t>
  </si>
  <si>
    <t>April 07, 2019 at 07:04PM</t>
  </si>
  <si>
    <t>http://twitter.com/heisenmuark/status/1115043101872132096</t>
  </si>
  <si>
    <t>April 07, 2019 at 07:06PM</t>
  </si>
  <si>
    <t>http://twitter.com/kismipedro/status/1115043164832669696</t>
  </si>
  <si>
    <t>@ALEJAND07145226</t>
  </si>
  <si>
    <t>http://twitter.com/ALEJAND07145226/status/1115043651053342720</t>
  </si>
  <si>
    <t>April 07, 2019 at 07:08PM</t>
  </si>
  <si>
    <t>http://twitter.com/anatari33/status/1115073842949447680</t>
  </si>
  <si>
    <t>April 07, 2019 at 09:08PM</t>
  </si>
  <si>
    <t>@Decruz2162</t>
  </si>
  <si>
    <t>http://twitter.com/Decruz2162/status/1115073873362542593</t>
  </si>
  <si>
    <t>@shikakix</t>
  </si>
  <si>
    <t>http://twitter.com/shikakix/status/1115073898205339648</t>
  </si>
  <si>
    <t>@Iraqundo</t>
  </si>
  <si>
    <t>http://twitter.com/Iraqundo/status/1115073924377796615</t>
  </si>
  <si>
    <t>@JorgeEs47082874</t>
  </si>
  <si>
    <t>http://twitter.com/JorgeEs47082874/status/1115073926399504384</t>
  </si>
  <si>
    <t>http://twitter.com/heisenmuark/status/1115073976974422016</t>
  </si>
  <si>
    <t>@angelneyra2016</t>
  </si>
  <si>
    <t>http://twitter.com/angelneyra2016/status/1115074056519323654</t>
  </si>
  <si>
    <t>April 07, 2019 at 09:09PM</t>
  </si>
  <si>
    <t>http://twitter.com/geopoliting/status/1115074099339038720</t>
  </si>
  <si>
    <t>http://twitter.com/mediosperuanos/status/1115074541586386945</t>
  </si>
  <si>
    <t>April 07, 2019 at 09:11PM</t>
  </si>
  <si>
    <t>@PSIUM</t>
  </si>
  <si>
    <t>http://twitter.com/PSIUM/status/1115074889143209985</t>
  </si>
  <si>
    <t>April 07, 2019 at 09:12PM</t>
  </si>
  <si>
    <t>@cefr67</t>
  </si>
  <si>
    <t>http://twitter.com/cefr67/status/1115075025688776704</t>
  </si>
  <si>
    <t>@MagnoRengifo</t>
  </si>
  <si>
    <t>http://twitter.com/MagnoRengifo/status/1115075076054028289</t>
  </si>
  <si>
    <t>April 07, 2019 at 09:13PM</t>
  </si>
  <si>
    <t>@sadorarere</t>
  </si>
  <si>
    <t>http://twitter.com/sadorarere/status/1115075080667709441</t>
  </si>
  <si>
    <t>@peruvianhappy</t>
  </si>
  <si>
    <t>http://twitter.com/peruvianhappy/status/1115075162242678784</t>
  </si>
  <si>
    <t>http://twitter.com/guillermoenuso/status/1115075306010873860</t>
  </si>
  <si>
    <t>April 07, 2019 at 09:14PM</t>
  </si>
  <si>
    <t>@LuzC417</t>
  </si>
  <si>
    <t>http://twitter.com/LuzC417/status/1115097840840323072</t>
  </si>
  <si>
    <t>April 07, 2019 at 10:43PM</t>
  </si>
  <si>
    <t>@DelPresidente</t>
  </si>
  <si>
    <t>http://twitter.com/DelPresidente/status/1115097857537781760</t>
  </si>
  <si>
    <t>http://twitter.com/Omar_Pinedo/status/1115098154649698304</t>
  </si>
  <si>
    <t>April 07, 2019 at 10:44PM</t>
  </si>
  <si>
    <t>@SolCn</t>
  </si>
  <si>
    <t>http://twitter.com/SolCn/status/1115098240020566016</t>
  </si>
  <si>
    <t>April 07, 2019 at 10:45PM</t>
  </si>
  <si>
    <t>@CATORRE66418246</t>
  </si>
  <si>
    <t>http://twitter.com/CATORRE66418246/status/1115098293711724551</t>
  </si>
  <si>
    <t>http://twitter.com/CATORRE66418246/status/1115098507201761280</t>
  </si>
  <si>
    <t>April 07, 2019 at 10:46PM</t>
  </si>
  <si>
    <t>@CcSanave</t>
  </si>
  <si>
    <t>http://twitter.com/CcSanave/status/1115099700724629504</t>
  </si>
  <si>
    <t>April 07, 2019 at 10:51PM</t>
  </si>
  <si>
    <t>http://twitter.com/ormusverum/status/1115099762473218048</t>
  </si>
  <si>
    <t>@lazafer</t>
  </si>
  <si>
    <t>http://twitter.com/lazafer/status/1115099832799068160</t>
  </si>
  <si>
    <t>@MargaritaElia11</t>
  </si>
  <si>
    <t>http://twitter.com/MargaritaElia11/status/1115099917448634369</t>
  </si>
  <si>
    <t>http://twitter.com/JorgeEv27674587/status/1115100108251643904</t>
  </si>
  <si>
    <t>April 07, 2019 at 10:52PM</t>
  </si>
  <si>
    <t>@PARAISOHUACHO</t>
  </si>
  <si>
    <t>http://twitter.com/PARAISOHUACHO/status/1115100348929183749</t>
  </si>
  <si>
    <t>April 07, 2019 at 10:53PM</t>
  </si>
  <si>
    <t>http://twitter.com/Consy2017/status/1115126941097574402</t>
  </si>
  <si>
    <t>April 08, 2019 at 12:39AM</t>
  </si>
  <si>
    <t>@Galieh_29</t>
  </si>
  <si>
    <t>http://twitter.com/Galieh_29/status/1115127047196532736</t>
  </si>
  <si>
    <t>@alif3h</t>
  </si>
  <si>
    <t>http://twitter.com/alif3h/status/1115128183785832448</t>
  </si>
  <si>
    <t>April 08, 2019 at 12:44AM</t>
  </si>
  <si>
    <t>@thalitadepaiva1</t>
  </si>
  <si>
    <t>http://twitter.com/thalitadepaiva1/status/1115128451894325249</t>
  </si>
  <si>
    <t>April 08, 2019 at 12:45AM</t>
  </si>
  <si>
    <t>@marrsupio</t>
  </si>
  <si>
    <t>http://twitter.com/marrsupio/status/1115129246555488256</t>
  </si>
  <si>
    <t>April 08, 2019 at 12:48AM</t>
  </si>
  <si>
    <t>@LuisOre_INA</t>
  </si>
  <si>
    <t>http://twitter.com/LuisOre_INA/status/1115129503179771904</t>
  </si>
  <si>
    <t>April 08, 2019 at 12:49AM</t>
  </si>
  <si>
    <t>@ranSKAphobia</t>
  </si>
  <si>
    <t>http://twitter.com/ranSKAphobia/status/1115129940834304000</t>
  </si>
  <si>
    <t>April 08, 2019 at 12:51AM</t>
  </si>
  <si>
    <t>@CACPRODUCCIONES</t>
  </si>
  <si>
    <t>http://twitter.com/CACPRODUCCIONES/status/1115130366509981696</t>
  </si>
  <si>
    <t>April 08, 2019 at 12:52AM</t>
  </si>
  <si>
    <t>http://twitter.com/kuervito76/status/1115130851124240385</t>
  </si>
  <si>
    <t>April 08, 2019 at 12:54AM</t>
  </si>
  <si>
    <t>@ThabitSenior</t>
  </si>
  <si>
    <t>http://twitter.com/ThabitSenior/status/1115130892140388354</t>
  </si>
  <si>
    <t>@kidrauhrI</t>
  </si>
  <si>
    <t>http://twitter.com/kidrauhrI/status/1115131362913280000</t>
  </si>
  <si>
    <t>April 08, 2019 at 12:56AM</t>
  </si>
  <si>
    <t>@BaseMetals</t>
  </si>
  <si>
    <t>http://twitter.com/BaseMetals/status/1115131786454028288</t>
  </si>
  <si>
    <t>April 08, 2019 at 12:58AM</t>
  </si>
  <si>
    <t>@suzymx</t>
  </si>
  <si>
    <t>http://twitter.com/suzymx/status/1115132070848811008</t>
  </si>
  <si>
    <t>April 08, 2019 at 12:59AM</t>
  </si>
  <si>
    <t>@Khaleesi_TK</t>
  </si>
  <si>
    <t>http://twitter.com/Khaleesi_TK/status/1115136071023702018</t>
  </si>
  <si>
    <t>April 08, 2019 at 01:15AM</t>
  </si>
  <si>
    <t>@adjin_</t>
  </si>
  <si>
    <t>http://twitter.com/adjin_/status/1115136831635382274</t>
  </si>
  <si>
    <t>April 08, 2019 at 01:18AM</t>
  </si>
  <si>
    <t>http://twitter.com/Jof_chavez/status/1115137161047625728</t>
  </si>
  <si>
    <t>April 08, 2019 at 01:19AM</t>
  </si>
  <si>
    <t>http://twitter.com/maldittagordura/status/1115137363871711232</t>
  </si>
  <si>
    <t>April 08, 2019 at 01:20AM</t>
  </si>
  <si>
    <t>@Hann_Magan</t>
  </si>
  <si>
    <t>http://twitter.com/Hann_Magan/status/1115137840457895942</t>
  </si>
  <si>
    <t>April 08, 2019 at 01:22AM</t>
  </si>
  <si>
    <t>@elliotrg9</t>
  </si>
  <si>
    <t>http://twitter.com/elliotrg9/status/1115137869734133760</t>
  </si>
  <si>
    <t>http://twitter.com/exitosape/status/1115138860105777152</t>
  </si>
  <si>
    <t>April 08, 2019 at 01:26AM</t>
  </si>
  <si>
    <t>http://twitter.com/Maroma2/status/1115139003970408449</t>
  </si>
  <si>
    <t>April 08, 2019 at 01:27AM</t>
  </si>
  <si>
    <t>@Marina_ODP</t>
  </si>
  <si>
    <t>http://twitter.com/Marina_ODP/status/1115139407315652608</t>
  </si>
  <si>
    <t>April 08, 2019 at 01:28AM</t>
  </si>
  <si>
    <t>http://twitter.com/kuervito76/status/1115139849940545536</t>
  </si>
  <si>
    <t>April 08, 2019 at 01:30AM</t>
  </si>
  <si>
    <t>@Dirtyshoes5</t>
  </si>
  <si>
    <t>http://twitter.com/Dirtyshoes5/status/1115140167277457409</t>
  </si>
  <si>
    <t>April 08, 2019 at 01:31AM</t>
  </si>
  <si>
    <t>@C3metal</t>
  </si>
  <si>
    <t>http://twitter.com/C3metal/status/1115140484610052096</t>
  </si>
  <si>
    <t>April 08, 2019 at 01:33AM</t>
  </si>
  <si>
    <t>http://twitter.com/CheCarolo/status/1115140757005000704</t>
  </si>
  <si>
    <t>April 08, 2019 at 01:34AM</t>
  </si>
  <si>
    <t>http://twitter.com/Jof_chavez/status/1115141856818487296</t>
  </si>
  <si>
    <t>April 08, 2019 at 01:38AM</t>
  </si>
  <si>
    <t>@RezaIsnaini</t>
  </si>
  <si>
    <t>http://twitter.com/RezaIsnaini/status/1115141926238339072</t>
  </si>
  <si>
    <t>@rocio_vulih</t>
  </si>
  <si>
    <t>http://twitter.com/rocio_vulih/status/1115155509378736128</t>
  </si>
  <si>
    <t>April 08, 2019 at 02:32AM</t>
  </si>
  <si>
    <t>@eriicEA</t>
  </si>
  <si>
    <t>http://twitter.com/eriicEA/status/1115155692875390976</t>
  </si>
  <si>
    <t>April 08, 2019 at 02:33AM</t>
  </si>
  <si>
    <t>@porto0507</t>
  </si>
  <si>
    <t>http://twitter.com/porto0507/status/1115155777910657024</t>
  </si>
  <si>
    <t>@cxmmngirl</t>
  </si>
  <si>
    <t>http://twitter.com/cxmmngirl/status/1115157777612251136</t>
  </si>
  <si>
    <t>April 08, 2019 at 02:41AM</t>
  </si>
  <si>
    <t>@anngie0902</t>
  </si>
  <si>
    <t>http://twitter.com/anngie0902/status/1115158335152476160</t>
  </si>
  <si>
    <t>April 08, 2019 at 02:44AM</t>
  </si>
  <si>
    <t>@hanibal835</t>
  </si>
  <si>
    <t>http://twitter.com/hanibal835/status/1115159767268384768</t>
  </si>
  <si>
    <t>April 08, 2019 at 02:49AM</t>
  </si>
  <si>
    <t>http://twitter.com/osescalante/status/1115160207888343043</t>
  </si>
  <si>
    <t>April 08, 2019 at 02:51AM</t>
  </si>
  <si>
    <t>@drijpg</t>
  </si>
  <si>
    <t>http://twitter.com/drijpg/status/1115163178529370112</t>
  </si>
  <si>
    <t>April 08, 2019 at 03:03AM</t>
  </si>
  <si>
    <t>@yojose1981</t>
  </si>
  <si>
    <t>http://twitter.com/yojose1981/status/1115163430552571904</t>
  </si>
  <si>
    <t>April 08, 2019 at 03:04AM</t>
  </si>
  <si>
    <t>http://twitter.com/exitosape/status/1115164144397967360</t>
  </si>
  <si>
    <t>April 08, 2019 at 03:07AM</t>
  </si>
  <si>
    <t>http://twitter.com/oskarbuto/status/1115165283096899591</t>
  </si>
  <si>
    <t>April 08, 2019 at 03:11AM</t>
  </si>
  <si>
    <t>http://twitter.com/teresaarbulu/status/1115166383879393280</t>
  </si>
  <si>
    <t>April 08, 2019 at 03:15AM</t>
  </si>
  <si>
    <t>@EnglishTeaGrl</t>
  </si>
  <si>
    <t>http://twitter.com/EnglishTeaGrl/status/1115166829931110400</t>
  </si>
  <si>
    <t>April 08, 2019 at 03:17AM</t>
  </si>
  <si>
    <t>@bisha699</t>
  </si>
  <si>
    <t>http://twitter.com/bisha699/status/1115195644224741377</t>
  </si>
  <si>
    <t>April 08, 2019 at 05:12AM</t>
  </si>
  <si>
    <t>http://twitter.com/SadithLopezRios/status/1115196853677645824</t>
  </si>
  <si>
    <t>April 08, 2019 at 05:17AM</t>
  </si>
  <si>
    <t>@AUGUSTO86321713</t>
  </si>
  <si>
    <t>http://twitter.com/AUGUSTO86321713/status/1115197665166467074</t>
  </si>
  <si>
    <t>April 08, 2019 at 05:20AM</t>
  </si>
  <si>
    <t>@larsainz</t>
  </si>
  <si>
    <t>http://twitter.com/larsainz/status/1115197818635988992</t>
  </si>
  <si>
    <t>http://twitter.com/larsainz/status/1115197950752370688</t>
  </si>
  <si>
    <t>April 08, 2019 at 05:21AM</t>
  </si>
  <si>
    <t>@Imaliyadw</t>
  </si>
  <si>
    <t>http://twitter.com/Imaliyadw/status/1115197981710360576</t>
  </si>
  <si>
    <t>@AgenceFides</t>
  </si>
  <si>
    <t>http://twitter.com/AgenceFides/status/1115198365359202304</t>
  </si>
  <si>
    <t>April 08, 2019 at 05:23AM</t>
  </si>
  <si>
    <t>@ofsmexico</t>
  </si>
  <si>
    <t>http://twitter.com/ofsmexico/status/1115199054177361921</t>
  </si>
  <si>
    <t>April 08, 2019 at 05:25AM</t>
  </si>
  <si>
    <t>@otreborpretell</t>
  </si>
  <si>
    <t>http://twitter.com/otreborpretell/status/1115199174314614790</t>
  </si>
  <si>
    <t>April 08, 2019 at 05:26AM</t>
  </si>
  <si>
    <t>http://twitter.com/otreborpretell/status/1115199704126509063</t>
  </si>
  <si>
    <t>April 08, 2019 at 05:28AM</t>
  </si>
  <si>
    <t>@alba10mg</t>
  </si>
  <si>
    <t>http://twitter.com/alba10mg/status/1115199777120059392</t>
  </si>
  <si>
    <t>@MedeaAbanto</t>
  </si>
  <si>
    <t>http://twitter.com/MedeaAbanto/status/1115199884414550016</t>
  </si>
  <si>
    <t>April 08, 2019 at 05:29AM</t>
  </si>
  <si>
    <t>@JL_ValeraC</t>
  </si>
  <si>
    <t>http://twitter.com/JL_ValeraC/status/1115234683158257664</t>
  </si>
  <si>
    <t>April 08, 2019 at 07:47AM</t>
  </si>
  <si>
    <t>http://twitter.com/lecorbucier6838/status/1115234938012479488</t>
  </si>
  <si>
    <t>April 08, 2019 at 07:48AM</t>
  </si>
  <si>
    <t>@stramandalopes</t>
  </si>
  <si>
    <t>http://twitter.com/stramandalopes/status/1115235175951163395</t>
  </si>
  <si>
    <t>April 08, 2019 at 07:49AM</t>
  </si>
  <si>
    <t>@VivianaAusejo</t>
  </si>
  <si>
    <t>http://twitter.com/VivianaAusejo/status/1115235452968214528</t>
  </si>
  <si>
    <t>April 08, 2019 at 07:50AM</t>
  </si>
  <si>
    <t>@mponceg16</t>
  </si>
  <si>
    <t>http://twitter.com/mponceg16/status/1115235690474692608</t>
  </si>
  <si>
    <t>April 08, 2019 at 07:51AM</t>
  </si>
  <si>
    <t>http://twitter.com/diariocorreo/status/1115235865364717568</t>
  </si>
  <si>
    <t>April 08, 2019 at 07:52AM</t>
  </si>
  <si>
    <t>@JakSchool45JKT</t>
  </si>
  <si>
    <t>http://twitter.com/JakSchool45JKT/status/1115236104536383488</t>
  </si>
  <si>
    <t>April 08, 2019 at 07:53AM</t>
  </si>
  <si>
    <t>http://twitter.com/mangcer/status/1115236210916626432</t>
  </si>
  <si>
    <t>@JennyferGiselle</t>
  </si>
  <si>
    <t>http://twitter.com/JennyferGiselle/status/1115236303703089152</t>
  </si>
  <si>
    <t>http://twitter.com/NarcizoMirna/status/1115236318630621185</t>
  </si>
  <si>
    <t>@nataliaurbina13</t>
  </si>
  <si>
    <t>http://twitter.com/nataliaurbina13/status/1115236327279165441</t>
  </si>
  <si>
    <t>@Jcn19_DJ</t>
  </si>
  <si>
    <t>http://twitter.com/Jcn19_DJ/status/1115266827037417475</t>
  </si>
  <si>
    <t>April 08, 2019 at 09:55AM</t>
  </si>
  <si>
    <t>@CuscoChinchero3</t>
  </si>
  <si>
    <t>http://twitter.com/CuscoChinchero3/status/1115266829595893761</t>
  </si>
  <si>
    <t>@arkadin1</t>
  </si>
  <si>
    <t>http://twitter.com/arkadin1/status/1115266988107026434</t>
  </si>
  <si>
    <t>@lh99197572</t>
  </si>
  <si>
    <t>http://twitter.com/lh99197572/status/1115267153236721664</t>
  </si>
  <si>
    <t>April 08, 2019 at 09:56AM</t>
  </si>
  <si>
    <t>http://twitter.com/arkadin1/status/1115267306525949952</t>
  </si>
  <si>
    <t>April 08, 2019 at 09:57AM</t>
  </si>
  <si>
    <t>http://twitter.com/SariSant03/status/1115267374704410624</t>
  </si>
  <si>
    <t>http://twitter.com/Rom_mel2/status/1115267654430814209</t>
  </si>
  <si>
    <t>April 08, 2019 at 09:58AM</t>
  </si>
  <si>
    <t>@elvira_baldeon</t>
  </si>
  <si>
    <t>http://twitter.com/elvira_baldeon/status/1115267889681129473</t>
  </si>
  <si>
    <t>April 08, 2019 at 09:59AM</t>
  </si>
  <si>
    <t>@tonamolas</t>
  </si>
  <si>
    <t>http://twitter.com/tonamolas/status/1115267983796994048</t>
  </si>
  <si>
    <t>@marianflores123</t>
  </si>
  <si>
    <t>http://twitter.com/marianflores123/status/1115268028676100096</t>
  </si>
  <si>
    <t>http://twitter.com/Politico_pe/status/1115268060099690497</t>
  </si>
  <si>
    <t>April 08, 2019 at 10:00AM</t>
  </si>
  <si>
    <t>@rubensolo25</t>
  </si>
  <si>
    <t>http://twitter.com/rubensolo25/status/1115268064159961088</t>
  </si>
  <si>
    <t>@Caranlazo</t>
  </si>
  <si>
    <t>http://twitter.com/Caranlazo/status/1115268088008671232</t>
  </si>
  <si>
    <t>@LaiaHernndez5</t>
  </si>
  <si>
    <t>http://twitter.com/LaiaHernndez5/status/1115268121043054594</t>
  </si>
  <si>
    <t>http://twitter.com/amesacha/status/1115268178043703297</t>
  </si>
  <si>
    <t>@SonidoErrante</t>
  </si>
  <si>
    <t>http://twitter.com/SonidoErrante/status/1115295661493301248</t>
  </si>
  <si>
    <t>April 08, 2019 at 11:49AM</t>
  </si>
  <si>
    <t>@oscar07vllf</t>
  </si>
  <si>
    <t>http://twitter.com/oscar07vllf/status/1115295700835864577</t>
  </si>
  <si>
    <t>http://twitter.com/FlabiaVigo/status/1115295815164137472</t>
  </si>
  <si>
    <t>April 08, 2019 at 11:50AM</t>
  </si>
  <si>
    <t>@jcalderonv74</t>
  </si>
  <si>
    <t>http://twitter.com/jcalderonv74/status/1115295857971212288</t>
  </si>
  <si>
    <t>@HumbertoPando19</t>
  </si>
  <si>
    <t>http://twitter.com/HumbertoPando19/status/1115295913906458626</t>
  </si>
  <si>
    <t>@tuput</t>
  </si>
  <si>
    <t>http://twitter.com/tuput/status/1115296459027623936</t>
  </si>
  <si>
    <t>April 08, 2019 at 11:52AM</t>
  </si>
  <si>
    <t>@CROGMIE</t>
  </si>
  <si>
    <t>http://twitter.com/CROGMIE/status/1115296709133910017</t>
  </si>
  <si>
    <t>April 08, 2019 at 11:53AM</t>
  </si>
  <si>
    <t>@aaronbenitezz</t>
  </si>
  <si>
    <t>http://twitter.com/aaronbenitezz/status/1115296855179583494</t>
  </si>
  <si>
    <t>April 08, 2019 at 11:54AM</t>
  </si>
  <si>
    <t>@diegoblazquez16</t>
  </si>
  <si>
    <t>http://twitter.com/diegoblazquez16/status/1115296867284287488</t>
  </si>
  <si>
    <t>@ross_elenaa</t>
  </si>
  <si>
    <t>http://twitter.com/ross_elenaa/status/1115296964084686848</t>
  </si>
  <si>
    <t>@germanvivarm1</t>
  </si>
  <si>
    <t>http://twitter.com/germanvivarm1/status/1115297088898772997</t>
  </si>
  <si>
    <t>April 08, 2019 at 11:55AM</t>
  </si>
  <si>
    <t>@Fabianasd</t>
  </si>
  <si>
    <t>http://twitter.com/Fabianasd/status/1115297194213629954</t>
  </si>
  <si>
    <t>http://twitter.com/arno_anibal/status/1115297288958689284</t>
  </si>
  <si>
    <t>April 08, 2019 at 11:56AM</t>
  </si>
  <si>
    <t>http://twitter.com/Publimetrope/status/1115325939150249985</t>
  </si>
  <si>
    <t>April 08, 2019 at 01:50PM</t>
  </si>
  <si>
    <t>@egallegos7</t>
  </si>
  <si>
    <t>http://twitter.com/egallegos7/status/1115326263437271042</t>
  </si>
  <si>
    <t>April 08, 2019 at 01:51PM</t>
  </si>
  <si>
    <t>@NewArguedas</t>
  </si>
  <si>
    <t>http://twitter.com/NewArguedas/status/1115326617276932096</t>
  </si>
  <si>
    <t>April 08, 2019 at 01:52PM</t>
  </si>
  <si>
    <t>@alchilon</t>
  </si>
  <si>
    <t>http://twitter.com/alchilon/status/1115327031137402880</t>
  </si>
  <si>
    <t>April 08, 2019 at 01:54PM</t>
  </si>
  <si>
    <t>@pablicoso</t>
  </si>
  <si>
    <t>http://twitter.com/pablicoso/status/1115327209160552448</t>
  </si>
  <si>
    <t>April 08, 2019 at 01:55PM</t>
  </si>
  <si>
    <t>@LordJimjr</t>
  </si>
  <si>
    <t>http://twitter.com/LordJimjr/status/1115327370125352960</t>
  </si>
  <si>
    <t>@aaanamartineeez</t>
  </si>
  <si>
    <t>http://twitter.com/aaanamartineeez/status/1115327461431099392</t>
  </si>
  <si>
    <t>April 08, 2019 at 01:56PM</t>
  </si>
  <si>
    <t>@uribenschmuel</t>
  </si>
  <si>
    <t>http://twitter.com/uribenschmuel/status/1115327640863412225</t>
  </si>
  <si>
    <t>@LordFolkken</t>
  </si>
  <si>
    <t>http://twitter.com/LordFolkken/status/1115327655056953350</t>
  </si>
  <si>
    <t>http://twitter.com/larepublica_pe/status/1115327687445368832</t>
  </si>
  <si>
    <t>http://twitter.com/Eddy21Maggi/status/1115327713286467585</t>
  </si>
  <si>
    <t>April 08, 2019 at 01:57PM</t>
  </si>
  <si>
    <t>http://twitter.com/geopoliting/status/1115327768215138304</t>
  </si>
  <si>
    <t>@POLITICATOTALpe</t>
  </si>
  <si>
    <t>http://twitter.com/POLITICATOTALpe/status/1115328056800026626</t>
  </si>
  <si>
    <t>April 08, 2019 at 01:58PM</t>
  </si>
  <si>
    <t>@Ranulin</t>
  </si>
  <si>
    <t>http://twitter.com/Ranulin/status/1115328105659416579</t>
  </si>
  <si>
    <t>@Sra_Tumnus</t>
  </si>
  <si>
    <t>http://twitter.com/Sra_Tumnus/status/1115355263463231491</t>
  </si>
  <si>
    <t>April 08, 2019 at 03:46PM</t>
  </si>
  <si>
    <t>@onidsad</t>
  </si>
  <si>
    <t>http://twitter.com/onidsad/status/1115355375329513474</t>
  </si>
  <si>
    <t>@Arroba_TVPERU</t>
  </si>
  <si>
    <t>http://twitter.com/Arroba_TVPERU/status/1115355383416094723</t>
  </si>
  <si>
    <t>April 08, 2019 at 03:47PM</t>
  </si>
  <si>
    <t>@beaminm</t>
  </si>
  <si>
    <t>http://twitter.com/beaminm/status/1115355383504072704</t>
  </si>
  <si>
    <t>http://twitter.com/mponceg16/status/1115355500227379200</t>
  </si>
  <si>
    <t>@HalconObservad2</t>
  </si>
  <si>
    <t>http://twitter.com/HalconObservad2/status/1115355566401040385</t>
  </si>
  <si>
    <t>@LuisCruzE13</t>
  </si>
  <si>
    <t>http://twitter.com/LuisCruzE13/status/1115355868579627011</t>
  </si>
  <si>
    <t>April 08, 2019 at 03:48PM</t>
  </si>
  <si>
    <t>http://twitter.com/AccionDeAmparo/status/1115356062402715654</t>
  </si>
  <si>
    <t>April 08, 2019 at 03:49PM</t>
  </si>
  <si>
    <t>@ariaddneta</t>
  </si>
  <si>
    <t>http://twitter.com/ariaddneta/status/1115356109584334849</t>
  </si>
  <si>
    <t>@Braulio37144716</t>
  </si>
  <si>
    <t>http://twitter.com/Braulio37144716/status/1115356186767966208</t>
  </si>
  <si>
    <t>April 08, 2019 at 03:50PM</t>
  </si>
  <si>
    <t>@CentenoRenata</t>
  </si>
  <si>
    <t>http://twitter.com/CentenoRenata/status/1115356489210847232</t>
  </si>
  <si>
    <t>April 08, 2019 at 03:51PM</t>
  </si>
  <si>
    <t>@krmakrma</t>
  </si>
  <si>
    <t>http://twitter.com/krmakrma/status/1115356945551175680</t>
  </si>
  <si>
    <t>April 08, 2019 at 03:53PM</t>
  </si>
  <si>
    <t>@MarinaFrancos1</t>
  </si>
  <si>
    <t>http://twitter.com/MarinaFrancos1/status/1115356953394515968</t>
  </si>
  <si>
    <t>@GisellaSotelo</t>
  </si>
  <si>
    <t>http://twitter.com/GisellaSotelo/status/1115357694666264576</t>
  </si>
  <si>
    <t>April 08, 2019 at 03:56PM</t>
  </si>
  <si>
    <t>http://twitter.com/veroca327/status/1115386831720407042</t>
  </si>
  <si>
    <t>April 08, 2019 at 05:51PM</t>
  </si>
  <si>
    <t>@hugo11__</t>
  </si>
  <si>
    <t>http://twitter.com/hugo11__/status/1115386879501832193</t>
  </si>
  <si>
    <t>April 08, 2019 at 05:52PM</t>
  </si>
  <si>
    <t>http://twitter.com/canalN_/status/1115387119898382342</t>
  </si>
  <si>
    <t>April 08, 2019 at 05:53PM</t>
  </si>
  <si>
    <t>http://twitter.com/Alicia94784200/status/1115387223594106880</t>
  </si>
  <si>
    <t>http://twitter.com/carlos1504511/status/1115387307467640838</t>
  </si>
  <si>
    <t>http://twitter.com/LiberalNoProgre/status/1115387312156958721</t>
  </si>
  <si>
    <t>http://twitter.com/Eda2005Del/status/1115387318427373568</t>
  </si>
  <si>
    <t>http://twitter.com/Alicia94784200/status/1115387321317195780</t>
  </si>
  <si>
    <t>http://twitter.com/Ivammaru/status/1115387751854223367</t>
  </si>
  <si>
    <t>April 08, 2019 at 05:55PM</t>
  </si>
  <si>
    <t>@PeruDebeCambiar</t>
  </si>
  <si>
    <t>http://twitter.com/PeruDebeCambiar/status/1115387758770569216</t>
  </si>
  <si>
    <t>http://twitter.com/kuervito76/status/1115387778404093952</t>
  </si>
  <si>
    <t>@LMSaraviaC</t>
  </si>
  <si>
    <t>http://twitter.com/LMSaraviaC/status/1115388025637416960</t>
  </si>
  <si>
    <t>April 08, 2019 at 05:56PM</t>
  </si>
  <si>
    <t>http://twitter.com/rgalarreta/status/1115388193937948673</t>
  </si>
  <si>
    <t>April 08, 2019 at 05:57PM</t>
  </si>
  <si>
    <t>@castalva123</t>
  </si>
  <si>
    <t>http://twitter.com/castalva123/status/1115388628325359616</t>
  </si>
  <si>
    <t>April 08, 2019 at 05:59PM</t>
  </si>
  <si>
    <t>@irigoin_igor</t>
  </si>
  <si>
    <t>http://twitter.com/irigoin_igor/status/1115388755257561088</t>
  </si>
  <si>
    <t>@RichardArcePeru</t>
  </si>
  <si>
    <t>http://twitter.com/RichardArcePeru/status/1115416735157510145</t>
  </si>
  <si>
    <t>April 08, 2019 at 07:50PM</t>
  </si>
  <si>
    <t>http://twitter.com/BorisMujica/status/1115416867169013761</t>
  </si>
  <si>
    <t>April 08, 2019 at 07:51PM</t>
  </si>
  <si>
    <t>@JuanBresciaBena</t>
  </si>
  <si>
    <t>http://twitter.com/JuanBresciaBena/status/1115416887414939649</t>
  </si>
  <si>
    <t>@Cluzcar</t>
  </si>
  <si>
    <t>http://twitter.com/Cluzcar/status/1115416966993522693</t>
  </si>
  <si>
    <t>@R2D2Y2</t>
  </si>
  <si>
    <t>http://twitter.com/R2D2Y2/status/1115417088556982273</t>
  </si>
  <si>
    <t>April 08, 2019 at 07:52PM</t>
  </si>
  <si>
    <t>@zmluchoa</t>
  </si>
  <si>
    <t>http://twitter.com/zmluchoa/status/1115417465423630337</t>
  </si>
  <si>
    <t>April 08, 2019 at 07:53PM</t>
  </si>
  <si>
    <t>http://twitter.com/purocachitos/status/1115417467898167302</t>
  </si>
  <si>
    <t>@CarlosLGP7</t>
  </si>
  <si>
    <t>http://twitter.com/CarlosLGP7/status/1115417676640178176</t>
  </si>
  <si>
    <t>April 08, 2019 at 07:54PM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</si>
</sst>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ont>
    <font>
      <u/>
      <sz val="10"/>
      <color rgb="FF0000FF"/>
      <name val="Arial"/>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twitter.com/grupormperugma1/status/1112712140320894976" TargetMode="External"/><Relationship Id="rId299" Type="http://schemas.openxmlformats.org/officeDocument/2006/relationships/hyperlink" Target="http://twitter.com/RipoRicardo/status/1112765656464871424" TargetMode="External"/><Relationship Id="rId21" Type="http://schemas.openxmlformats.org/officeDocument/2006/relationships/hyperlink" Target="http://twitter.com/tailisesantoos/status/1112680653198381058" TargetMode="External"/><Relationship Id="rId63" Type="http://schemas.openxmlformats.org/officeDocument/2006/relationships/hyperlink" Target="http://twitter.com/MinervaSRM/status/1112693551761104896" TargetMode="External"/><Relationship Id="rId159" Type="http://schemas.openxmlformats.org/officeDocument/2006/relationships/hyperlink" Target="http://twitter.com/kassey21/status/1112725854411472896" TargetMode="External"/><Relationship Id="rId324" Type="http://schemas.openxmlformats.org/officeDocument/2006/relationships/hyperlink" Target="http://twitter.com/Omar_Pinedo/status/1112775423220477953" TargetMode="External"/><Relationship Id="rId366" Type="http://schemas.openxmlformats.org/officeDocument/2006/relationships/hyperlink" Target="http://twitter.com/brendast2/status/1112785861161246721" TargetMode="External"/><Relationship Id="rId170" Type="http://schemas.openxmlformats.org/officeDocument/2006/relationships/hyperlink" Target="http://twitter.com/c3sarmv/status/1112730258858479617" TargetMode="External"/><Relationship Id="rId226" Type="http://schemas.openxmlformats.org/officeDocument/2006/relationships/hyperlink" Target="http://twitter.com/Dantuzum/status/1112747116143828993" TargetMode="External"/><Relationship Id="rId433" Type="http://schemas.openxmlformats.org/officeDocument/2006/relationships/hyperlink" Target="http://twitter.com/fernando_roman1/status/1112803925130870791" TargetMode="External"/><Relationship Id="rId268" Type="http://schemas.openxmlformats.org/officeDocument/2006/relationships/hyperlink" Target="http://twitter.com/alansalinas/status/1112757837061480455" TargetMode="External"/><Relationship Id="rId475" Type="http://schemas.openxmlformats.org/officeDocument/2006/relationships/hyperlink" Target="http://twitter.com/safra_manuel/status/1112821890282815491" TargetMode="External"/><Relationship Id="rId32" Type="http://schemas.openxmlformats.org/officeDocument/2006/relationships/hyperlink" Target="http://twitter.com/JrgrupoService/status/1112682571366846465" TargetMode="External"/><Relationship Id="rId74" Type="http://schemas.openxmlformats.org/officeDocument/2006/relationships/hyperlink" Target="http://twitter.com/minero_peru/status/1112699233289859072" TargetMode="External"/><Relationship Id="rId128" Type="http://schemas.openxmlformats.org/officeDocument/2006/relationships/hyperlink" Target="http://twitter.com/cataramonas/status/1112712972181430272" TargetMode="External"/><Relationship Id="rId335" Type="http://schemas.openxmlformats.org/officeDocument/2006/relationships/hyperlink" Target="http://twitter.com/PeruNews/status/1112777605193842690" TargetMode="External"/><Relationship Id="rId377" Type="http://schemas.openxmlformats.org/officeDocument/2006/relationships/hyperlink" Target="http://twitter.com/LinceAntiTuco/status/1112788073123930114" TargetMode="External"/><Relationship Id="rId500" Type="http://schemas.openxmlformats.org/officeDocument/2006/relationships/hyperlink" Target="http://twitter.com/Elisa11E/status/1112828984499171329" TargetMode="External"/><Relationship Id="rId5" Type="http://schemas.openxmlformats.org/officeDocument/2006/relationships/hyperlink" Target="http://twitter.com/KingserAyala/status/1112677051172093952" TargetMode="External"/><Relationship Id="rId181" Type="http://schemas.openxmlformats.org/officeDocument/2006/relationships/hyperlink" Target="http://twitter.com/degohm/status/1112731026860789761" TargetMode="External"/><Relationship Id="rId237" Type="http://schemas.openxmlformats.org/officeDocument/2006/relationships/hyperlink" Target="http://twitter.com/marlebenavid/status/1112750072540876802" TargetMode="External"/><Relationship Id="rId402" Type="http://schemas.openxmlformats.org/officeDocument/2006/relationships/hyperlink" Target="http://twitter.com/palomatorkasa/status/1112792937664897024" TargetMode="External"/><Relationship Id="rId279" Type="http://schemas.openxmlformats.org/officeDocument/2006/relationships/hyperlink" Target="http://twitter.com/ExpresoPeru/status/1112760851084312576" TargetMode="External"/><Relationship Id="rId444" Type="http://schemas.openxmlformats.org/officeDocument/2006/relationships/hyperlink" Target="http://twitter.com/AleCd7/status/1112806695003144198" TargetMode="External"/><Relationship Id="rId486" Type="http://schemas.openxmlformats.org/officeDocument/2006/relationships/hyperlink" Target="http://twitter.com/propria_afar/status/1112824622423162880" TargetMode="External"/><Relationship Id="rId43" Type="http://schemas.openxmlformats.org/officeDocument/2006/relationships/hyperlink" Target="http://twitter.com/alexkaddir/status/1112685915942633472" TargetMode="External"/><Relationship Id="rId139" Type="http://schemas.openxmlformats.org/officeDocument/2006/relationships/hyperlink" Target="http://twitter.com/racsoprimero/status/1112716934204870656" TargetMode="External"/><Relationship Id="rId290" Type="http://schemas.openxmlformats.org/officeDocument/2006/relationships/hyperlink" Target="http://twitter.com/noticiAmerica/status/1112762890271027200" TargetMode="External"/><Relationship Id="rId304" Type="http://schemas.openxmlformats.org/officeDocument/2006/relationships/hyperlink" Target="http://twitter.com/KeithSlack1/status/1112767484212506625" TargetMode="External"/><Relationship Id="rId346" Type="http://schemas.openxmlformats.org/officeDocument/2006/relationships/hyperlink" Target="http://twitter.com/netoflix3/status/1112779845036015616" TargetMode="External"/><Relationship Id="rId388" Type="http://schemas.openxmlformats.org/officeDocument/2006/relationships/hyperlink" Target="http://twitter.com/CarolHidalgoRu2/status/1112789467297931270" TargetMode="External"/><Relationship Id="rId85" Type="http://schemas.openxmlformats.org/officeDocument/2006/relationships/hyperlink" Target="http://twitter.com/esaguz/status/1112700348576210944" TargetMode="External"/><Relationship Id="rId150" Type="http://schemas.openxmlformats.org/officeDocument/2006/relationships/hyperlink" Target="http://twitter.com/willmercastillo/status/1112722858202013697" TargetMode="External"/><Relationship Id="rId192" Type="http://schemas.openxmlformats.org/officeDocument/2006/relationships/hyperlink" Target="http://twitter.com/LSixtomolina/status/1112734644376662023" TargetMode="External"/><Relationship Id="rId206" Type="http://schemas.openxmlformats.org/officeDocument/2006/relationships/hyperlink" Target="http://twitter.com/Perusupport/status/1112739230957096960" TargetMode="External"/><Relationship Id="rId413" Type="http://schemas.openxmlformats.org/officeDocument/2006/relationships/hyperlink" Target="http://twitter.com/nipio_es/status/1112800460073787392" TargetMode="External"/><Relationship Id="rId248" Type="http://schemas.openxmlformats.org/officeDocument/2006/relationships/hyperlink" Target="http://twitter.com/chancos/status/1112750951318937600" TargetMode="External"/><Relationship Id="rId455" Type="http://schemas.openxmlformats.org/officeDocument/2006/relationships/hyperlink" Target="http://twitter.com/max2910wtf/status/1112811274369486849" TargetMode="External"/><Relationship Id="rId497" Type="http://schemas.openxmlformats.org/officeDocument/2006/relationships/hyperlink" Target="http://twitter.com/SODOMCO/status/1112828613806706690" TargetMode="External"/><Relationship Id="rId12" Type="http://schemas.openxmlformats.org/officeDocument/2006/relationships/hyperlink" Target="http://twitter.com/RConSentido/status/1112678517949513729" TargetMode="External"/><Relationship Id="rId108" Type="http://schemas.openxmlformats.org/officeDocument/2006/relationships/hyperlink" Target="http://twitter.com/CarlosL_PERU/status/1112707032262549504" TargetMode="External"/><Relationship Id="rId315" Type="http://schemas.openxmlformats.org/officeDocument/2006/relationships/hyperlink" Target="http://twitter.com/Miluska_you/status/1112769307740651527" TargetMode="External"/><Relationship Id="rId357" Type="http://schemas.openxmlformats.org/officeDocument/2006/relationships/hyperlink" Target="http://twitter.com/agente1977c/status/1112782327179079687" TargetMode="External"/><Relationship Id="rId54" Type="http://schemas.openxmlformats.org/officeDocument/2006/relationships/hyperlink" Target="http://twitter.com/agjimenezm/status/1112690569661345792" TargetMode="External"/><Relationship Id="rId96" Type="http://schemas.openxmlformats.org/officeDocument/2006/relationships/hyperlink" Target="http://twitter.com/rosamespule/status/1112703757815607296" TargetMode="External"/><Relationship Id="rId161" Type="http://schemas.openxmlformats.org/officeDocument/2006/relationships/hyperlink" Target="http://twitter.com/VerdadDigitalsv/status/1112726101380468736" TargetMode="External"/><Relationship Id="rId217" Type="http://schemas.openxmlformats.org/officeDocument/2006/relationships/hyperlink" Target="http://twitter.com/mercedialo/status/1112742260590952448" TargetMode="External"/><Relationship Id="rId399" Type="http://schemas.openxmlformats.org/officeDocument/2006/relationships/hyperlink" Target="http://twitter.com/miguelinomen53/status/1112792538610626565" TargetMode="External"/><Relationship Id="rId259" Type="http://schemas.openxmlformats.org/officeDocument/2006/relationships/hyperlink" Target="http://twitter.com/peruenlanoticia/status/1112754965746016260" TargetMode="External"/><Relationship Id="rId424" Type="http://schemas.openxmlformats.org/officeDocument/2006/relationships/hyperlink" Target="http://twitter.com/El_Manu11/status/1112802893596450816" TargetMode="External"/><Relationship Id="rId466" Type="http://schemas.openxmlformats.org/officeDocument/2006/relationships/hyperlink" Target="http://twitter.com/AccionDeAmparo/status/1112815153844838401" TargetMode="External"/><Relationship Id="rId23" Type="http://schemas.openxmlformats.org/officeDocument/2006/relationships/hyperlink" Target="http://twitter.com/CaudiaAngelica/status/1112681168548364288" TargetMode="External"/><Relationship Id="rId119" Type="http://schemas.openxmlformats.org/officeDocument/2006/relationships/hyperlink" Target="http://twitter.com/cocherochero/status/1112712376875433984" TargetMode="External"/><Relationship Id="rId270" Type="http://schemas.openxmlformats.org/officeDocument/2006/relationships/hyperlink" Target="http://twitter.com/tonyventur/status/1112757967747719168" TargetMode="External"/><Relationship Id="rId326" Type="http://schemas.openxmlformats.org/officeDocument/2006/relationships/hyperlink" Target="http://twitter.com/marygut33145724/status/1112776189318492163" TargetMode="External"/><Relationship Id="rId65" Type="http://schemas.openxmlformats.org/officeDocument/2006/relationships/hyperlink" Target="http://twitter.com/kausachumperu/status/1112693820590821377" TargetMode="External"/><Relationship Id="rId130" Type="http://schemas.openxmlformats.org/officeDocument/2006/relationships/hyperlink" Target="http://twitter.com/anna__hard/status/1112716428954779649" TargetMode="External"/><Relationship Id="rId368" Type="http://schemas.openxmlformats.org/officeDocument/2006/relationships/hyperlink" Target="http://twitter.com/ricartealmeida/status/1112786316444532738" TargetMode="External"/><Relationship Id="rId172" Type="http://schemas.openxmlformats.org/officeDocument/2006/relationships/hyperlink" Target="http://twitter.com/LimaesNuestra/status/1112730322033172480" TargetMode="External"/><Relationship Id="rId228" Type="http://schemas.openxmlformats.org/officeDocument/2006/relationships/hyperlink" Target="http://twitter.com/jaimedelcastill/status/1112747334658674688" TargetMode="External"/><Relationship Id="rId435" Type="http://schemas.openxmlformats.org/officeDocument/2006/relationships/hyperlink" Target="http://twitter.com/JuanCarlosLL/status/1112804090499588097" TargetMode="External"/><Relationship Id="rId477" Type="http://schemas.openxmlformats.org/officeDocument/2006/relationships/hyperlink" Target="http://twitter.com/Americo_PC/status/1112822264901365760" TargetMode="External"/><Relationship Id="rId281" Type="http://schemas.openxmlformats.org/officeDocument/2006/relationships/hyperlink" Target="http://twitter.com/PanamericanaTV/status/1112760971070709766" TargetMode="External"/><Relationship Id="rId337" Type="http://schemas.openxmlformats.org/officeDocument/2006/relationships/hyperlink" Target="http://twitter.com/Kalin_gl/status/1112778836440240131" TargetMode="External"/><Relationship Id="rId34" Type="http://schemas.openxmlformats.org/officeDocument/2006/relationships/hyperlink" Target="http://twitter.com/ReynosoRaf/status/1112684511907610624" TargetMode="External"/><Relationship Id="rId76" Type="http://schemas.openxmlformats.org/officeDocument/2006/relationships/hyperlink" Target="http://twitter.com/MilagrosLeivaG/status/1112699421605707776" TargetMode="External"/><Relationship Id="rId141" Type="http://schemas.openxmlformats.org/officeDocument/2006/relationships/hyperlink" Target="http://twitter.com/tonyventur/status/1112717154229649408" TargetMode="External"/><Relationship Id="rId379" Type="http://schemas.openxmlformats.org/officeDocument/2006/relationships/hyperlink" Target="http://twitter.com/Rodrigonzalezru/status/1112788292334837760" TargetMode="External"/><Relationship Id="rId7" Type="http://schemas.openxmlformats.org/officeDocument/2006/relationships/hyperlink" Target="http://twitter.com/jorgejhms/status/1112677193933561859" TargetMode="External"/><Relationship Id="rId183" Type="http://schemas.openxmlformats.org/officeDocument/2006/relationships/hyperlink" Target="http://twitter.com/CarJesus589/status/1112731437483130881" TargetMode="External"/><Relationship Id="rId239" Type="http://schemas.openxmlformats.org/officeDocument/2006/relationships/hyperlink" Target="http://twitter.com/Stephen0610/status/1112750324740046848" TargetMode="External"/><Relationship Id="rId390" Type="http://schemas.openxmlformats.org/officeDocument/2006/relationships/hyperlink" Target="http://twitter.com/delaselvasu/status/1112790901946871811" TargetMode="External"/><Relationship Id="rId404" Type="http://schemas.openxmlformats.org/officeDocument/2006/relationships/hyperlink" Target="http://twitter.com/ArtemioPalo/status/1112798434245922817" TargetMode="External"/><Relationship Id="rId446" Type="http://schemas.openxmlformats.org/officeDocument/2006/relationships/hyperlink" Target="http://twitter.com/ccaroc2011/status/1112809184876167169" TargetMode="External"/><Relationship Id="rId250" Type="http://schemas.openxmlformats.org/officeDocument/2006/relationships/hyperlink" Target="http://twitter.com/Ore_ZZeta/status/1112753939315912704" TargetMode="External"/><Relationship Id="rId292" Type="http://schemas.openxmlformats.org/officeDocument/2006/relationships/hyperlink" Target="http://twitter.com/ExpresoPeru/status/1112765269758435328" TargetMode="External"/><Relationship Id="rId306" Type="http://schemas.openxmlformats.org/officeDocument/2006/relationships/hyperlink" Target="http://twitter.com/hermes1948/status/1112767944629673984" TargetMode="External"/><Relationship Id="rId488" Type="http://schemas.openxmlformats.org/officeDocument/2006/relationships/hyperlink" Target="http://twitter.com/CheCarolo/status/1112827431424065536" TargetMode="External"/><Relationship Id="rId45" Type="http://schemas.openxmlformats.org/officeDocument/2006/relationships/hyperlink" Target="http://twitter.com/sdamazom/status/1112685997727330304" TargetMode="External"/><Relationship Id="rId87" Type="http://schemas.openxmlformats.org/officeDocument/2006/relationships/hyperlink" Target="http://twitter.com/LuisMiguel_GD/status/1112700702365757479" TargetMode="External"/><Relationship Id="rId110" Type="http://schemas.openxmlformats.org/officeDocument/2006/relationships/hyperlink" Target="http://twitter.com/Rom_mel2/status/1112707169365962753" TargetMode="External"/><Relationship Id="rId348" Type="http://schemas.openxmlformats.org/officeDocument/2006/relationships/hyperlink" Target="http://twitter.com/Agencia_Andina/status/1112780411292315648" TargetMode="External"/><Relationship Id="rId152" Type="http://schemas.openxmlformats.org/officeDocument/2006/relationships/hyperlink" Target="http://twitter.com/3100Rafa/status/1112723670382854144" TargetMode="External"/><Relationship Id="rId194" Type="http://schemas.openxmlformats.org/officeDocument/2006/relationships/hyperlink" Target="http://twitter.com/Agencia_Andina/status/1112734748261212162" TargetMode="External"/><Relationship Id="rId208" Type="http://schemas.openxmlformats.org/officeDocument/2006/relationships/hyperlink" Target="http://twitter.com/GuerrilleroDice/status/1112739415716040704" TargetMode="External"/><Relationship Id="rId415" Type="http://schemas.openxmlformats.org/officeDocument/2006/relationships/hyperlink" Target="http://twitter.com/epicyasuni/status/1112800869253308418" TargetMode="External"/><Relationship Id="rId457" Type="http://schemas.openxmlformats.org/officeDocument/2006/relationships/hyperlink" Target="http://twitter.com/pruperu/status/1112811430825390080" TargetMode="External"/><Relationship Id="rId261" Type="http://schemas.openxmlformats.org/officeDocument/2006/relationships/hyperlink" Target="http://twitter.com/chungoybatan/status/1112755035610451973" TargetMode="External"/><Relationship Id="rId499" Type="http://schemas.openxmlformats.org/officeDocument/2006/relationships/hyperlink" Target="http://twitter.com/InfostellePeru/status/1112828852374573056" TargetMode="External"/><Relationship Id="rId14" Type="http://schemas.openxmlformats.org/officeDocument/2006/relationships/hyperlink" Target="http://twitter.com/vrpt7/status/1112678715878789121" TargetMode="External"/><Relationship Id="rId56" Type="http://schemas.openxmlformats.org/officeDocument/2006/relationships/hyperlink" Target="http://twitter.com/LuluChaD2/status/1112691014370643968" TargetMode="External"/><Relationship Id="rId317" Type="http://schemas.openxmlformats.org/officeDocument/2006/relationships/hyperlink" Target="http://twitter.com/martinbelaundem/status/1112774089524088833" TargetMode="External"/><Relationship Id="rId359" Type="http://schemas.openxmlformats.org/officeDocument/2006/relationships/hyperlink" Target="http://twitter.com/newsjsPE/status/1112783540448575489" TargetMode="External"/><Relationship Id="rId98" Type="http://schemas.openxmlformats.org/officeDocument/2006/relationships/hyperlink" Target="http://twitter.com/pepevilaala/status/1112703860303372288" TargetMode="External"/><Relationship Id="rId121" Type="http://schemas.openxmlformats.org/officeDocument/2006/relationships/hyperlink" Target="http://twitter.com/frank_ludena/status/1112712473927475205" TargetMode="External"/><Relationship Id="rId163" Type="http://schemas.openxmlformats.org/officeDocument/2006/relationships/hyperlink" Target="http://twitter.com/PFranciscana/status/1112726304527433729" TargetMode="External"/><Relationship Id="rId219" Type="http://schemas.openxmlformats.org/officeDocument/2006/relationships/hyperlink" Target="http://twitter.com/JuanCarlosSC/status/1112742435992461314" TargetMode="External"/><Relationship Id="rId370" Type="http://schemas.openxmlformats.org/officeDocument/2006/relationships/hyperlink" Target="http://twitter.com/xiopink89/status/1112786496669564930" TargetMode="External"/><Relationship Id="rId426" Type="http://schemas.openxmlformats.org/officeDocument/2006/relationships/hyperlink" Target="http://twitter.com/MilagrosLeivaG/status/1112803011422834689" TargetMode="External"/><Relationship Id="rId230" Type="http://schemas.openxmlformats.org/officeDocument/2006/relationships/hyperlink" Target="http://twitter.com/alvarosarco/status/1112747369035116547" TargetMode="External"/><Relationship Id="rId468" Type="http://schemas.openxmlformats.org/officeDocument/2006/relationships/hyperlink" Target="http://twitter.com/JuanJesusFidhel/status/1112815465590607872" TargetMode="External"/><Relationship Id="rId25" Type="http://schemas.openxmlformats.org/officeDocument/2006/relationships/hyperlink" Target="http://twitter.com/mariapiaev/status/1112681520005697536" TargetMode="External"/><Relationship Id="rId67" Type="http://schemas.openxmlformats.org/officeDocument/2006/relationships/hyperlink" Target="http://twitter.com/VozLiberal/status/1112694387358748673" TargetMode="External"/><Relationship Id="rId272" Type="http://schemas.openxmlformats.org/officeDocument/2006/relationships/hyperlink" Target="http://twitter.com/ccondorchua/status/1112758092737974275" TargetMode="External"/><Relationship Id="rId328" Type="http://schemas.openxmlformats.org/officeDocument/2006/relationships/hyperlink" Target="http://twitter.com/Patriciapim28/status/1112776349394128896" TargetMode="External"/><Relationship Id="rId132" Type="http://schemas.openxmlformats.org/officeDocument/2006/relationships/hyperlink" Target="http://twitter.com/Paramount_miss/status/1112716487985451010" TargetMode="External"/><Relationship Id="rId174" Type="http://schemas.openxmlformats.org/officeDocument/2006/relationships/hyperlink" Target="http://twitter.com/SandritaCcori/status/1112730408985202689" TargetMode="External"/><Relationship Id="rId381" Type="http://schemas.openxmlformats.org/officeDocument/2006/relationships/hyperlink" Target="http://twitter.com/THEWARRON/status/1112788492235534337" TargetMode="External"/><Relationship Id="rId241" Type="http://schemas.openxmlformats.org/officeDocument/2006/relationships/hyperlink" Target="http://twitter.com/StorinoAragon/status/1112750381132640256" TargetMode="External"/><Relationship Id="rId437" Type="http://schemas.openxmlformats.org/officeDocument/2006/relationships/hyperlink" Target="http://twitter.com/unlolazo_/status/1112804682030833666" TargetMode="External"/><Relationship Id="rId479" Type="http://schemas.openxmlformats.org/officeDocument/2006/relationships/hyperlink" Target="http://twitter.com/Ojo_Publico/status/1112822660554260480" TargetMode="External"/><Relationship Id="rId36" Type="http://schemas.openxmlformats.org/officeDocument/2006/relationships/hyperlink" Target="http://twitter.com/guapocanela/status/1112684852380385281" TargetMode="External"/><Relationship Id="rId283" Type="http://schemas.openxmlformats.org/officeDocument/2006/relationships/hyperlink" Target="http://twitter.com/LezamaJaime/status/1112761446067245057" TargetMode="External"/><Relationship Id="rId339" Type="http://schemas.openxmlformats.org/officeDocument/2006/relationships/hyperlink" Target="http://twitter.com/heey_Tibes/status/1112778984192966656" TargetMode="External"/><Relationship Id="rId490" Type="http://schemas.openxmlformats.org/officeDocument/2006/relationships/hyperlink" Target="http://twitter.com/marisolgarcia11/status/1112828058594103297" TargetMode="External"/><Relationship Id="rId78" Type="http://schemas.openxmlformats.org/officeDocument/2006/relationships/hyperlink" Target="http://twitter.com/ArequipaLlantas/status/1112699639046770688" TargetMode="External"/><Relationship Id="rId101" Type="http://schemas.openxmlformats.org/officeDocument/2006/relationships/hyperlink" Target="http://twitter.com/Jess49504626/status/1112704549586956290" TargetMode="External"/><Relationship Id="rId143" Type="http://schemas.openxmlformats.org/officeDocument/2006/relationships/hyperlink" Target="http://twitter.com/Wilmr_Damian/status/1112722205127966720" TargetMode="External"/><Relationship Id="rId185" Type="http://schemas.openxmlformats.org/officeDocument/2006/relationships/hyperlink" Target="http://twitter.com/carlosdfghjkl/status/1112734160580419585" TargetMode="External"/><Relationship Id="rId350" Type="http://schemas.openxmlformats.org/officeDocument/2006/relationships/hyperlink" Target="http://twitter.com/thefourdara/status/1112780783712862209" TargetMode="External"/><Relationship Id="rId406" Type="http://schemas.openxmlformats.org/officeDocument/2006/relationships/hyperlink" Target="http://twitter.com/crownthelau/status/1112798730430889989" TargetMode="External"/><Relationship Id="rId9" Type="http://schemas.openxmlformats.org/officeDocument/2006/relationships/hyperlink" Target="http://twitter.com/Augusto2412/status/1112677869900177409" TargetMode="External"/><Relationship Id="rId210" Type="http://schemas.openxmlformats.org/officeDocument/2006/relationships/hyperlink" Target="http://twitter.com/henry_quispe/status/1112741931245817856" TargetMode="External"/><Relationship Id="rId392" Type="http://schemas.openxmlformats.org/officeDocument/2006/relationships/hyperlink" Target="http://twitter.com/JMelendezCelis/status/1112791157535399936" TargetMode="External"/><Relationship Id="rId448" Type="http://schemas.openxmlformats.org/officeDocument/2006/relationships/hyperlink" Target="http://twitter.com/thomaspasivo/status/1112809606743552000" TargetMode="External"/><Relationship Id="rId252" Type="http://schemas.openxmlformats.org/officeDocument/2006/relationships/hyperlink" Target="http://twitter.com/tenta_fjhotmail/status/1112754182912700421" TargetMode="External"/><Relationship Id="rId294" Type="http://schemas.openxmlformats.org/officeDocument/2006/relationships/hyperlink" Target="http://twitter.com/luislchihuan/status/1112765403024052226" TargetMode="External"/><Relationship Id="rId308" Type="http://schemas.openxmlformats.org/officeDocument/2006/relationships/hyperlink" Target="http://twitter.com/InfostellePeru/status/1112768000262852608" TargetMode="External"/><Relationship Id="rId47" Type="http://schemas.openxmlformats.org/officeDocument/2006/relationships/hyperlink" Target="http://twitter.com/EquidadMd/status/1112689701977292800" TargetMode="External"/><Relationship Id="rId89" Type="http://schemas.openxmlformats.org/officeDocument/2006/relationships/hyperlink" Target="http://twitter.com/dgrados/status/1112703070541148160" TargetMode="External"/><Relationship Id="rId112" Type="http://schemas.openxmlformats.org/officeDocument/2006/relationships/hyperlink" Target="http://twitter.com/Tito77412965/status/1112707769004494849" TargetMode="External"/><Relationship Id="rId154" Type="http://schemas.openxmlformats.org/officeDocument/2006/relationships/hyperlink" Target="http://twitter.com/psychopatita/status/1112723990223704066" TargetMode="External"/><Relationship Id="rId361" Type="http://schemas.openxmlformats.org/officeDocument/2006/relationships/hyperlink" Target="http://twitter.com/handkettcurlhu1/status/1112785393466925056" TargetMode="External"/><Relationship Id="rId196" Type="http://schemas.openxmlformats.org/officeDocument/2006/relationships/hyperlink" Target="http://twitter.com/yoisy01/status/1112735146032148484" TargetMode="External"/><Relationship Id="rId417" Type="http://schemas.openxmlformats.org/officeDocument/2006/relationships/hyperlink" Target="http://twitter.com/WayraNoticias/status/1112801074069598209" TargetMode="External"/><Relationship Id="rId459" Type="http://schemas.openxmlformats.org/officeDocument/2006/relationships/hyperlink" Target="http://twitter.com/pintora67/status/1112813624970633222" TargetMode="External"/><Relationship Id="rId16" Type="http://schemas.openxmlformats.org/officeDocument/2006/relationships/hyperlink" Target="http://twitter.com/Antonio50714420/status/1112678990274134021" TargetMode="External"/><Relationship Id="rId221" Type="http://schemas.openxmlformats.org/officeDocument/2006/relationships/hyperlink" Target="http://twitter.com/pedces/status/1112742464622874624" TargetMode="External"/><Relationship Id="rId263" Type="http://schemas.openxmlformats.org/officeDocument/2006/relationships/hyperlink" Target="http://twitter.com/Jhope1611/status/1112757270826356737" TargetMode="External"/><Relationship Id="rId319" Type="http://schemas.openxmlformats.org/officeDocument/2006/relationships/hyperlink" Target="http://twitter.com/jptolentino3/status/1112774498414194688" TargetMode="External"/><Relationship Id="rId470" Type="http://schemas.openxmlformats.org/officeDocument/2006/relationships/hyperlink" Target="http://twitter.com/YsmeldaI/status/1112815492673175552" TargetMode="External"/><Relationship Id="rId58" Type="http://schemas.openxmlformats.org/officeDocument/2006/relationships/hyperlink" Target="http://twitter.com/goomez/status/1112691211259789314" TargetMode="External"/><Relationship Id="rId123" Type="http://schemas.openxmlformats.org/officeDocument/2006/relationships/hyperlink" Target="http://twitter.com/QoriKatari/status/1112712684972240896" TargetMode="External"/><Relationship Id="rId330" Type="http://schemas.openxmlformats.org/officeDocument/2006/relationships/hyperlink" Target="http://twitter.com/choquecurat/status/1112776520198651905" TargetMode="External"/><Relationship Id="rId165" Type="http://schemas.openxmlformats.org/officeDocument/2006/relationships/hyperlink" Target="http://twitter.com/JennerMycall/status/1112726420705460224" TargetMode="External"/><Relationship Id="rId372" Type="http://schemas.openxmlformats.org/officeDocument/2006/relationships/hyperlink" Target="http://twitter.com/xiopink89/status/1112786825352040448" TargetMode="External"/><Relationship Id="rId428" Type="http://schemas.openxmlformats.org/officeDocument/2006/relationships/hyperlink" Target="http://twitter.com/PepeMoquillaza/status/1112803073972424706" TargetMode="External"/><Relationship Id="rId232" Type="http://schemas.openxmlformats.org/officeDocument/2006/relationships/hyperlink" Target="http://twitter.com/Xhristian19/status/1112747566469402624" TargetMode="External"/><Relationship Id="rId274" Type="http://schemas.openxmlformats.org/officeDocument/2006/relationships/hyperlink" Target="http://twitter.com/ExpresoPeru/status/1112758633715167234" TargetMode="External"/><Relationship Id="rId481" Type="http://schemas.openxmlformats.org/officeDocument/2006/relationships/hyperlink" Target="http://twitter.com/ultraclaw/status/1112823131079622656" TargetMode="External"/><Relationship Id="rId27" Type="http://schemas.openxmlformats.org/officeDocument/2006/relationships/hyperlink" Target="http://twitter.com/CaudiaAngelica/status/1112681906418659328" TargetMode="External"/><Relationship Id="rId69" Type="http://schemas.openxmlformats.org/officeDocument/2006/relationships/hyperlink" Target="http://twitter.com/pintora67/status/1112694577452978176" TargetMode="External"/><Relationship Id="rId134" Type="http://schemas.openxmlformats.org/officeDocument/2006/relationships/hyperlink" Target="http://twitter.com/zicozocialvol2/status/1112716551692668933" TargetMode="External"/><Relationship Id="rId80" Type="http://schemas.openxmlformats.org/officeDocument/2006/relationships/hyperlink" Target="http://twitter.com/mardewe/status/1112699677454016513" TargetMode="External"/><Relationship Id="rId176" Type="http://schemas.openxmlformats.org/officeDocument/2006/relationships/hyperlink" Target="http://twitter.com/a_ibk/status/1112730471505358849" TargetMode="External"/><Relationship Id="rId341" Type="http://schemas.openxmlformats.org/officeDocument/2006/relationships/hyperlink" Target="http://twitter.com/eddyoe47/status/1112779146164363264" TargetMode="External"/><Relationship Id="rId383" Type="http://schemas.openxmlformats.org/officeDocument/2006/relationships/hyperlink" Target="http://twitter.com/anama_balaguer/status/1112788608077819904" TargetMode="External"/><Relationship Id="rId439" Type="http://schemas.openxmlformats.org/officeDocument/2006/relationships/hyperlink" Target="http://twitter.com/Nea_97/status/1112805511659970560" TargetMode="External"/><Relationship Id="rId201" Type="http://schemas.openxmlformats.org/officeDocument/2006/relationships/hyperlink" Target="http://twitter.com/FELUCO17/status/1112739116020654080" TargetMode="External"/><Relationship Id="rId243" Type="http://schemas.openxmlformats.org/officeDocument/2006/relationships/hyperlink" Target="http://twitter.com/ISialer/status/1112750413709631493" TargetMode="External"/><Relationship Id="rId285" Type="http://schemas.openxmlformats.org/officeDocument/2006/relationships/hyperlink" Target="http://twitter.com/GoFuentes_/status/1112761564715720705" TargetMode="External"/><Relationship Id="rId450" Type="http://schemas.openxmlformats.org/officeDocument/2006/relationships/hyperlink" Target="http://twitter.com/pezuni5256/status/1112809928861868033" TargetMode="External"/><Relationship Id="rId38" Type="http://schemas.openxmlformats.org/officeDocument/2006/relationships/hyperlink" Target="http://twitter.com/josop55/status/1112685117082869760" TargetMode="External"/><Relationship Id="rId103" Type="http://schemas.openxmlformats.org/officeDocument/2006/relationships/hyperlink" Target="http://twitter.com/LuisaPalaciosS/status/1112706485308608512" TargetMode="External"/><Relationship Id="rId310" Type="http://schemas.openxmlformats.org/officeDocument/2006/relationships/hyperlink" Target="http://twitter.com/_danielarce/status/1112768132131799045" TargetMode="External"/><Relationship Id="rId492" Type="http://schemas.openxmlformats.org/officeDocument/2006/relationships/hyperlink" Target="http://twitter.com/Jorgedelama/status/1112828342732980224" TargetMode="External"/><Relationship Id="rId91" Type="http://schemas.openxmlformats.org/officeDocument/2006/relationships/hyperlink" Target="http://twitter.com/ManuelhuntersS/status/1112703248404828160" TargetMode="External"/><Relationship Id="rId145" Type="http://schemas.openxmlformats.org/officeDocument/2006/relationships/hyperlink" Target="http://twitter.com/CarlosAranaMant/status/1112722361613197312" TargetMode="External"/><Relationship Id="rId187" Type="http://schemas.openxmlformats.org/officeDocument/2006/relationships/hyperlink" Target="http://twitter.com/OmarAliagaLoje/status/1112734463405051909" TargetMode="External"/><Relationship Id="rId352" Type="http://schemas.openxmlformats.org/officeDocument/2006/relationships/hyperlink" Target="http://twitter.com/osalgulama/status/1112781447839039488" TargetMode="External"/><Relationship Id="rId394" Type="http://schemas.openxmlformats.org/officeDocument/2006/relationships/hyperlink" Target="http://twitter.com/dexmoda_/status/1112791486473568261" TargetMode="External"/><Relationship Id="rId408" Type="http://schemas.openxmlformats.org/officeDocument/2006/relationships/hyperlink" Target="http://twitter.com/elmontonero_pe/status/1112799291871944704" TargetMode="External"/><Relationship Id="rId212" Type="http://schemas.openxmlformats.org/officeDocument/2006/relationships/hyperlink" Target="http://twitter.com/rosamespule/status/1112742168110776320" TargetMode="External"/><Relationship Id="rId254" Type="http://schemas.openxmlformats.org/officeDocument/2006/relationships/hyperlink" Target="http://twitter.com/belaessencia/status/1112754283492052994" TargetMode="External"/><Relationship Id="rId49" Type="http://schemas.openxmlformats.org/officeDocument/2006/relationships/hyperlink" Target="http://twitter.com/Suzzanita/status/1112689848031166464" TargetMode="External"/><Relationship Id="rId114" Type="http://schemas.openxmlformats.org/officeDocument/2006/relationships/hyperlink" Target="http://twitter.com/sheilitaugarte/status/1112707939566055424" TargetMode="External"/><Relationship Id="rId296" Type="http://schemas.openxmlformats.org/officeDocument/2006/relationships/hyperlink" Target="http://twitter.com/Luisito08675936/status/1112765491624452097" TargetMode="External"/><Relationship Id="rId461" Type="http://schemas.openxmlformats.org/officeDocument/2006/relationships/hyperlink" Target="http://twitter.com/LuluChaD2/status/1112814261145755649" TargetMode="External"/><Relationship Id="rId60" Type="http://schemas.openxmlformats.org/officeDocument/2006/relationships/hyperlink" Target="http://twitter.com/jcpuertas/status/1112691364544892929" TargetMode="External"/><Relationship Id="rId156" Type="http://schemas.openxmlformats.org/officeDocument/2006/relationships/hyperlink" Target="http://twitter.com/LlaczaGalarza/status/1112725736576745472" TargetMode="External"/><Relationship Id="rId198" Type="http://schemas.openxmlformats.org/officeDocument/2006/relationships/hyperlink" Target="http://twitter.com/CooperAccionPER/status/1112738893399351296" TargetMode="External"/><Relationship Id="rId321" Type="http://schemas.openxmlformats.org/officeDocument/2006/relationships/hyperlink" Target="http://twitter.com/Visionhuaraz/status/1112774837334929409" TargetMode="External"/><Relationship Id="rId363" Type="http://schemas.openxmlformats.org/officeDocument/2006/relationships/hyperlink" Target="http://twitter.com/hugo_eddi/status/1112785652381351937" TargetMode="External"/><Relationship Id="rId419" Type="http://schemas.openxmlformats.org/officeDocument/2006/relationships/hyperlink" Target="http://twitter.com/rawrmerooo/status/1112801970824364039" TargetMode="External"/><Relationship Id="rId223" Type="http://schemas.openxmlformats.org/officeDocument/2006/relationships/hyperlink" Target="http://twitter.com/guajiro1942/status/1112746846001209345" TargetMode="External"/><Relationship Id="rId430" Type="http://schemas.openxmlformats.org/officeDocument/2006/relationships/hyperlink" Target="http://twitter.com/primerafuente1/status/1112803251756433410" TargetMode="External"/><Relationship Id="rId18" Type="http://schemas.openxmlformats.org/officeDocument/2006/relationships/hyperlink" Target="http://twitter.com/MaquinasEmpac/status/1112680321235877888" TargetMode="External"/><Relationship Id="rId265" Type="http://schemas.openxmlformats.org/officeDocument/2006/relationships/hyperlink" Target="http://twitter.com/JSachun/status/1112757374706728966" TargetMode="External"/><Relationship Id="rId472" Type="http://schemas.openxmlformats.org/officeDocument/2006/relationships/hyperlink" Target="http://twitter.com/paulaaz__/status/1112817493259796480" TargetMode="External"/><Relationship Id="rId125" Type="http://schemas.openxmlformats.org/officeDocument/2006/relationships/hyperlink" Target="http://twitter.com/Politica_LR/status/1112712840933228544" TargetMode="External"/><Relationship Id="rId167" Type="http://schemas.openxmlformats.org/officeDocument/2006/relationships/hyperlink" Target="http://twitter.com/peru21noticias/status/1112727023255019520" TargetMode="External"/><Relationship Id="rId332" Type="http://schemas.openxmlformats.org/officeDocument/2006/relationships/hyperlink" Target="http://twitter.com/Politico_pe/status/1112776645172031488" TargetMode="External"/><Relationship Id="rId374" Type="http://schemas.openxmlformats.org/officeDocument/2006/relationships/hyperlink" Target="http://twitter.com/LinceAntiTuco/status/1112787393298526208" TargetMode="External"/><Relationship Id="rId71" Type="http://schemas.openxmlformats.org/officeDocument/2006/relationships/hyperlink" Target="http://twitter.com/MarthaChavezC/status/1112695555132669952" TargetMode="External"/><Relationship Id="rId234" Type="http://schemas.openxmlformats.org/officeDocument/2006/relationships/hyperlink" Target="http://twitter.com/Roberto455111/status/1112747645657858048" TargetMode="External"/><Relationship Id="rId2" Type="http://schemas.openxmlformats.org/officeDocument/2006/relationships/hyperlink" Target="http://twitter.com/MaquinasEmpac/status/1112676916123697152" TargetMode="External"/><Relationship Id="rId29" Type="http://schemas.openxmlformats.org/officeDocument/2006/relationships/hyperlink" Target="http://twitter.com/marlebenavid/status/1112682011569934337" TargetMode="External"/><Relationship Id="rId276" Type="http://schemas.openxmlformats.org/officeDocument/2006/relationships/hyperlink" Target="http://twitter.com/gizlaine2/status/1112758838669787136" TargetMode="External"/><Relationship Id="rId441" Type="http://schemas.openxmlformats.org/officeDocument/2006/relationships/hyperlink" Target="http://twitter.com/rochi1529/status/1112806117095165952" TargetMode="External"/><Relationship Id="rId483" Type="http://schemas.openxmlformats.org/officeDocument/2006/relationships/hyperlink" Target="http://twitter.com/cristo_hary/status/1112823344699764736" TargetMode="External"/><Relationship Id="rId40" Type="http://schemas.openxmlformats.org/officeDocument/2006/relationships/hyperlink" Target="http://twitter.com/DBR74/status/1112685600241577987" TargetMode="External"/><Relationship Id="rId136" Type="http://schemas.openxmlformats.org/officeDocument/2006/relationships/hyperlink" Target="http://twitter.com/Jikook02371373/status/1112716652351766528" TargetMode="External"/><Relationship Id="rId178" Type="http://schemas.openxmlformats.org/officeDocument/2006/relationships/hyperlink" Target="http://twitter.com/anatari33/status/1112730705883205633" TargetMode="External"/><Relationship Id="rId301" Type="http://schemas.openxmlformats.org/officeDocument/2006/relationships/hyperlink" Target="http://twitter.com/Mavalittos/status/1112765674965946370" TargetMode="External"/><Relationship Id="rId343" Type="http://schemas.openxmlformats.org/officeDocument/2006/relationships/hyperlink" Target="http://twitter.com/mijailrag/status/1112779294848290817" TargetMode="External"/><Relationship Id="rId82" Type="http://schemas.openxmlformats.org/officeDocument/2006/relationships/hyperlink" Target="http://twitter.com/Rom_mel2/status/1112699944052371456" TargetMode="External"/><Relationship Id="rId203" Type="http://schemas.openxmlformats.org/officeDocument/2006/relationships/hyperlink" Target="http://twitter.com/PeruECpe/status/1112739190188503046" TargetMode="External"/><Relationship Id="rId385" Type="http://schemas.openxmlformats.org/officeDocument/2006/relationships/hyperlink" Target="http://twitter.com/LimaAlDia/status/1112788849044983808" TargetMode="External"/><Relationship Id="rId245" Type="http://schemas.openxmlformats.org/officeDocument/2006/relationships/hyperlink" Target="http://twitter.com/SEMANAeconomica/status/1112750483817541632" TargetMode="External"/><Relationship Id="rId287" Type="http://schemas.openxmlformats.org/officeDocument/2006/relationships/hyperlink" Target="http://twitter.com/proactivoperu/status/1112762045462659074" TargetMode="External"/><Relationship Id="rId410" Type="http://schemas.openxmlformats.org/officeDocument/2006/relationships/hyperlink" Target="http://twitter.com/mandrecox/status/1112799936926507008" TargetMode="External"/><Relationship Id="rId452" Type="http://schemas.openxmlformats.org/officeDocument/2006/relationships/hyperlink" Target="http://twitter.com/PabloRiojaCueva/status/1112810062840463361" TargetMode="External"/><Relationship Id="rId494" Type="http://schemas.openxmlformats.org/officeDocument/2006/relationships/hyperlink" Target="http://twitter.com/MIGUELITOPEREZR/status/1112828433967579138" TargetMode="External"/><Relationship Id="rId105" Type="http://schemas.openxmlformats.org/officeDocument/2006/relationships/hyperlink" Target="http://twitter.com/guillecitosan/status/1112706785855574016" TargetMode="External"/><Relationship Id="rId147" Type="http://schemas.openxmlformats.org/officeDocument/2006/relationships/hyperlink" Target="http://twitter.com/mportocarrero/status/1112722645554991104" TargetMode="External"/><Relationship Id="rId312" Type="http://schemas.openxmlformats.org/officeDocument/2006/relationships/hyperlink" Target="http://twitter.com/PedroMartinIQT/status/1112768580041564167" TargetMode="External"/><Relationship Id="rId354" Type="http://schemas.openxmlformats.org/officeDocument/2006/relationships/hyperlink" Target="http://twitter.com/christiansoto77/status/1112781979697778688" TargetMode="External"/><Relationship Id="rId51" Type="http://schemas.openxmlformats.org/officeDocument/2006/relationships/hyperlink" Target="http://twitter.com/guajiro1942/status/1112690044203139073" TargetMode="External"/><Relationship Id="rId93" Type="http://schemas.openxmlformats.org/officeDocument/2006/relationships/hyperlink" Target="http://twitter.com/asfacoba/status/1112703653465505792" TargetMode="External"/><Relationship Id="rId189" Type="http://schemas.openxmlformats.org/officeDocument/2006/relationships/hyperlink" Target="http://twitter.com/rubenlima2017/status/1112734498549043201" TargetMode="External"/><Relationship Id="rId396" Type="http://schemas.openxmlformats.org/officeDocument/2006/relationships/hyperlink" Target="http://twitter.com/tecminera/status/1112791774613864455" TargetMode="External"/><Relationship Id="rId214" Type="http://schemas.openxmlformats.org/officeDocument/2006/relationships/hyperlink" Target="http://twitter.com/ceramosf/status/1112742178269343744" TargetMode="External"/><Relationship Id="rId256" Type="http://schemas.openxmlformats.org/officeDocument/2006/relationships/hyperlink" Target="http://twitter.com/peru21noticias/status/1112754519165804544" TargetMode="External"/><Relationship Id="rId298" Type="http://schemas.openxmlformats.org/officeDocument/2006/relationships/hyperlink" Target="http://twitter.com/fabiolataipe99/status/1112765579662974982" TargetMode="External"/><Relationship Id="rId421" Type="http://schemas.openxmlformats.org/officeDocument/2006/relationships/hyperlink" Target="http://twitter.com/lyudmilaox/status/1112802453550841857" TargetMode="External"/><Relationship Id="rId463" Type="http://schemas.openxmlformats.org/officeDocument/2006/relationships/hyperlink" Target="http://twitter.com/Juliana62077034/status/1112814809752522753" TargetMode="External"/><Relationship Id="rId116" Type="http://schemas.openxmlformats.org/officeDocument/2006/relationships/hyperlink" Target="http://twitter.com/JudyRo94/status/1112712088953196546" TargetMode="External"/><Relationship Id="rId158" Type="http://schemas.openxmlformats.org/officeDocument/2006/relationships/hyperlink" Target="http://twitter.com/iOLiVrE/status/1112725808144150528" TargetMode="External"/><Relationship Id="rId323" Type="http://schemas.openxmlformats.org/officeDocument/2006/relationships/hyperlink" Target="http://twitter.com/LiliaMati/status/1112775212611899392" TargetMode="External"/><Relationship Id="rId20" Type="http://schemas.openxmlformats.org/officeDocument/2006/relationships/hyperlink" Target="http://twitter.com/hablamibarrunto/status/1112680600224350210" TargetMode="External"/><Relationship Id="rId62" Type="http://schemas.openxmlformats.org/officeDocument/2006/relationships/hyperlink" Target="http://twitter.com/cenvall/status/1112693427379023873" TargetMode="External"/><Relationship Id="rId365" Type="http://schemas.openxmlformats.org/officeDocument/2006/relationships/hyperlink" Target="http://twitter.com/yanavico/status/1112785825174089728" TargetMode="External"/><Relationship Id="rId225" Type="http://schemas.openxmlformats.org/officeDocument/2006/relationships/hyperlink" Target="http://twitter.com/FioMarley/status/1112746934488498176" TargetMode="External"/><Relationship Id="rId267" Type="http://schemas.openxmlformats.org/officeDocument/2006/relationships/hyperlink" Target="http://twitter.com/luivillan/status/1112757808821354496" TargetMode="External"/><Relationship Id="rId432" Type="http://schemas.openxmlformats.org/officeDocument/2006/relationships/hyperlink" Target="http://twitter.com/chbtlv67/status/1112803654304587776" TargetMode="External"/><Relationship Id="rId474" Type="http://schemas.openxmlformats.org/officeDocument/2006/relationships/hyperlink" Target="http://twitter.com/amalia_saldana/status/1112821778571702272" TargetMode="External"/><Relationship Id="rId106" Type="http://schemas.openxmlformats.org/officeDocument/2006/relationships/hyperlink" Target="http://twitter.com/demy113/status/1112706817648410624" TargetMode="External"/><Relationship Id="rId127" Type="http://schemas.openxmlformats.org/officeDocument/2006/relationships/hyperlink" Target="http://twitter.com/lucianolopez27/status/1112712880753950722" TargetMode="External"/><Relationship Id="rId313" Type="http://schemas.openxmlformats.org/officeDocument/2006/relationships/hyperlink" Target="http://twitter.com/FUIKAOMAR/status/1112769024025399297" TargetMode="External"/><Relationship Id="rId495" Type="http://schemas.openxmlformats.org/officeDocument/2006/relationships/hyperlink" Target="http://twitter.com/lbarreral/status/1112828528326840321" TargetMode="External"/><Relationship Id="rId10" Type="http://schemas.openxmlformats.org/officeDocument/2006/relationships/hyperlink" Target="http://twitter.com/ApacheDHC/status/1112678298524504065" TargetMode="External"/><Relationship Id="rId31" Type="http://schemas.openxmlformats.org/officeDocument/2006/relationships/hyperlink" Target="http://twitter.com/pedrofrancke/status/1112682399467331584" TargetMode="External"/><Relationship Id="rId52" Type="http://schemas.openxmlformats.org/officeDocument/2006/relationships/hyperlink" Target="http://twitter.com/ucinoticias_pe/status/1112690230132461568" TargetMode="External"/><Relationship Id="rId73" Type="http://schemas.openxmlformats.org/officeDocument/2006/relationships/hyperlink" Target="http://twitter.com/mardewe/status/1112695889947250688" TargetMode="External"/><Relationship Id="rId94" Type="http://schemas.openxmlformats.org/officeDocument/2006/relationships/hyperlink" Target="http://twitter.com/patarevalo/status/1112703658242818048" TargetMode="External"/><Relationship Id="rId148" Type="http://schemas.openxmlformats.org/officeDocument/2006/relationships/hyperlink" Target="http://twitter.com/giserrat/status/1112722687967809536" TargetMode="External"/><Relationship Id="rId169" Type="http://schemas.openxmlformats.org/officeDocument/2006/relationships/hyperlink" Target="http://twitter.com/agildemeisterrh/status/1112730239099199488" TargetMode="External"/><Relationship Id="rId334" Type="http://schemas.openxmlformats.org/officeDocument/2006/relationships/hyperlink" Target="http://twitter.com/Steffenbryson/status/1112777362201038848" TargetMode="External"/><Relationship Id="rId355" Type="http://schemas.openxmlformats.org/officeDocument/2006/relationships/hyperlink" Target="http://twitter.com/Orlandojaimeba1/status/1112782041005867011" TargetMode="External"/><Relationship Id="rId376" Type="http://schemas.openxmlformats.org/officeDocument/2006/relationships/hyperlink" Target="http://twitter.com/Sebasco5/status/1112788063611248641" TargetMode="External"/><Relationship Id="rId397" Type="http://schemas.openxmlformats.org/officeDocument/2006/relationships/hyperlink" Target="http://twitter.com/miguelinomen53/status/1112791886979350528" TargetMode="External"/><Relationship Id="rId4" Type="http://schemas.openxmlformats.org/officeDocument/2006/relationships/hyperlink" Target="http://twitter.com/ArdidDeLaRazon/status/1112676979910823936" TargetMode="External"/><Relationship Id="rId180" Type="http://schemas.openxmlformats.org/officeDocument/2006/relationships/hyperlink" Target="http://twitter.com/DemetrioEng/status/1112730965615562753" TargetMode="External"/><Relationship Id="rId215" Type="http://schemas.openxmlformats.org/officeDocument/2006/relationships/hyperlink" Target="http://twitter.com/filhaadomar/status/1112742179078918146" TargetMode="External"/><Relationship Id="rId236" Type="http://schemas.openxmlformats.org/officeDocument/2006/relationships/hyperlink" Target="http://twitter.com/rulostercos/status/1112750056896151552" TargetMode="External"/><Relationship Id="rId257" Type="http://schemas.openxmlformats.org/officeDocument/2006/relationships/hyperlink" Target="http://twitter.com/arzohuancayo/status/1112754698111590401" TargetMode="External"/><Relationship Id="rId278" Type="http://schemas.openxmlformats.org/officeDocument/2006/relationships/hyperlink" Target="http://twitter.com/homerorm7/status/1112760476570734593" TargetMode="External"/><Relationship Id="rId401" Type="http://schemas.openxmlformats.org/officeDocument/2006/relationships/hyperlink" Target="http://twitter.com/xpotrader/status/1112792692122157058" TargetMode="External"/><Relationship Id="rId422" Type="http://schemas.openxmlformats.org/officeDocument/2006/relationships/hyperlink" Target="http://twitter.com/RoselySevilla/status/1112802764818694144" TargetMode="External"/><Relationship Id="rId443" Type="http://schemas.openxmlformats.org/officeDocument/2006/relationships/hyperlink" Target="http://twitter.com/maycol318/status/1112806526840967169" TargetMode="External"/><Relationship Id="rId464" Type="http://schemas.openxmlformats.org/officeDocument/2006/relationships/hyperlink" Target="http://twitter.com/Maritza67335907/status/1112814913980956673" TargetMode="External"/><Relationship Id="rId303" Type="http://schemas.openxmlformats.org/officeDocument/2006/relationships/hyperlink" Target="http://twitter.com/intheauron/status/1112766215347494913" TargetMode="External"/><Relationship Id="rId485" Type="http://schemas.openxmlformats.org/officeDocument/2006/relationships/hyperlink" Target="http://twitter.com/malcom_x1x/status/1112823846263050240" TargetMode="External"/><Relationship Id="rId42" Type="http://schemas.openxmlformats.org/officeDocument/2006/relationships/hyperlink" Target="http://twitter.com/Peru_Noticias/status/1112685630142713857" TargetMode="External"/><Relationship Id="rId84" Type="http://schemas.openxmlformats.org/officeDocument/2006/relationships/hyperlink" Target="http://twitter.com/minero_peru/status/1112700260688760834" TargetMode="External"/><Relationship Id="rId138" Type="http://schemas.openxmlformats.org/officeDocument/2006/relationships/hyperlink" Target="http://twitter.com/Gonzavi/status/1112716807276761088" TargetMode="External"/><Relationship Id="rId345" Type="http://schemas.openxmlformats.org/officeDocument/2006/relationships/hyperlink" Target="http://twitter.com/nograbonilla/status/1112779444857573383" TargetMode="External"/><Relationship Id="rId387" Type="http://schemas.openxmlformats.org/officeDocument/2006/relationships/hyperlink" Target="http://twitter.com/YULYVila1/status/1112789116972879875" TargetMode="External"/><Relationship Id="rId191" Type="http://schemas.openxmlformats.org/officeDocument/2006/relationships/hyperlink" Target="http://twitter.com/gansa59/status/1112734616404799488" TargetMode="External"/><Relationship Id="rId205" Type="http://schemas.openxmlformats.org/officeDocument/2006/relationships/hyperlink" Target="http://twitter.com/elcomercio_peru/status/1112739223382179840" TargetMode="External"/><Relationship Id="rId247" Type="http://schemas.openxmlformats.org/officeDocument/2006/relationships/hyperlink" Target="http://twitter.com/jjrodriguezrp/status/1112750910055301125" TargetMode="External"/><Relationship Id="rId412" Type="http://schemas.openxmlformats.org/officeDocument/2006/relationships/hyperlink" Target="http://twitter.com/trileniumsac/status/1112800356264804358" TargetMode="External"/><Relationship Id="rId107" Type="http://schemas.openxmlformats.org/officeDocument/2006/relationships/hyperlink" Target="http://twitter.com/garciacontto/status/1112706943905345536" TargetMode="External"/><Relationship Id="rId289" Type="http://schemas.openxmlformats.org/officeDocument/2006/relationships/hyperlink" Target="http://twitter.com/TitoDelPielago/status/1112762505577807873" TargetMode="External"/><Relationship Id="rId454" Type="http://schemas.openxmlformats.org/officeDocument/2006/relationships/hyperlink" Target="http://twitter.com/apterrones/status/1112811212746702849" TargetMode="External"/><Relationship Id="rId496" Type="http://schemas.openxmlformats.org/officeDocument/2006/relationships/hyperlink" Target="http://twitter.com/radio_santarosa/status/1112828583179898880" TargetMode="External"/><Relationship Id="rId11" Type="http://schemas.openxmlformats.org/officeDocument/2006/relationships/hyperlink" Target="http://twitter.com/elmontonero_pe/status/1112678496336310274" TargetMode="External"/><Relationship Id="rId53" Type="http://schemas.openxmlformats.org/officeDocument/2006/relationships/hyperlink" Target="http://twitter.com/gonzalonunez98/status/1112690362261344256" TargetMode="External"/><Relationship Id="rId149" Type="http://schemas.openxmlformats.org/officeDocument/2006/relationships/hyperlink" Target="http://twitter.com/CGarciaRosellB/status/1112722841936498691" TargetMode="External"/><Relationship Id="rId314" Type="http://schemas.openxmlformats.org/officeDocument/2006/relationships/hyperlink" Target="http://twitter.com/ManuelF52591600/status/1112769291525505024" TargetMode="External"/><Relationship Id="rId356" Type="http://schemas.openxmlformats.org/officeDocument/2006/relationships/hyperlink" Target="http://twitter.com/JMAURICIO846/status/1112782119900798977" TargetMode="External"/><Relationship Id="rId398" Type="http://schemas.openxmlformats.org/officeDocument/2006/relationships/hyperlink" Target="http://twitter.com/chaplin2310/status/1112792369420820481" TargetMode="External"/><Relationship Id="rId95" Type="http://schemas.openxmlformats.org/officeDocument/2006/relationships/hyperlink" Target="http://twitter.com/purocachitos/status/1112703690102792193" TargetMode="External"/><Relationship Id="rId160" Type="http://schemas.openxmlformats.org/officeDocument/2006/relationships/hyperlink" Target="http://twitter.com/jlmalagachocano/status/1112726089615462401" TargetMode="External"/><Relationship Id="rId216" Type="http://schemas.openxmlformats.org/officeDocument/2006/relationships/hyperlink" Target="http://twitter.com/jdeechave/status/1112742212876550144" TargetMode="External"/><Relationship Id="rId423" Type="http://schemas.openxmlformats.org/officeDocument/2006/relationships/hyperlink" Target="http://twitter.com/Tanya_BamBas/status/1112802766521593858" TargetMode="External"/><Relationship Id="rId258" Type="http://schemas.openxmlformats.org/officeDocument/2006/relationships/hyperlink" Target="http://twitter.com/PatriGarri14/status/1112754698426167296" TargetMode="External"/><Relationship Id="rId465" Type="http://schemas.openxmlformats.org/officeDocument/2006/relationships/hyperlink" Target="http://twitter.com/dosdemaino/status/1112815066573934593" TargetMode="External"/><Relationship Id="rId22" Type="http://schemas.openxmlformats.org/officeDocument/2006/relationships/hyperlink" Target="http://twitter.com/pagina_11/status/1112680999106809856" TargetMode="External"/><Relationship Id="rId64" Type="http://schemas.openxmlformats.org/officeDocument/2006/relationships/hyperlink" Target="http://twitter.com/pfe_eduardo/status/1112693556408434690" TargetMode="External"/><Relationship Id="rId118" Type="http://schemas.openxmlformats.org/officeDocument/2006/relationships/hyperlink" Target="http://twitter.com/dianahidalgoD/status/1112712282050568196" TargetMode="External"/><Relationship Id="rId325" Type="http://schemas.openxmlformats.org/officeDocument/2006/relationships/hyperlink" Target="http://twitter.com/Peru_Noticias/status/1112775993423532032" TargetMode="External"/><Relationship Id="rId367" Type="http://schemas.openxmlformats.org/officeDocument/2006/relationships/hyperlink" Target="http://twitter.com/luisveratorres1/status/1112786012680437762" TargetMode="External"/><Relationship Id="rId171" Type="http://schemas.openxmlformats.org/officeDocument/2006/relationships/hyperlink" Target="http://twitter.com/Luxinterior80/status/1112730312528838656" TargetMode="External"/><Relationship Id="rId227" Type="http://schemas.openxmlformats.org/officeDocument/2006/relationships/hyperlink" Target="http://twitter.com/annseamaid/status/1112747212533043202" TargetMode="External"/><Relationship Id="rId269" Type="http://schemas.openxmlformats.org/officeDocument/2006/relationships/hyperlink" Target="http://twitter.com/Politica_LR/status/1112757840085684231" TargetMode="External"/><Relationship Id="rId434" Type="http://schemas.openxmlformats.org/officeDocument/2006/relationships/hyperlink" Target="http://twitter.com/lgutierreza2000/status/1112803935285383169" TargetMode="External"/><Relationship Id="rId476" Type="http://schemas.openxmlformats.org/officeDocument/2006/relationships/hyperlink" Target="http://twitter.com/Francoatlante/status/1112822006045663238" TargetMode="External"/><Relationship Id="rId33" Type="http://schemas.openxmlformats.org/officeDocument/2006/relationships/hyperlink" Target="http://twitter.com/rrvillagomez/status/1112684361755910144" TargetMode="External"/><Relationship Id="rId129" Type="http://schemas.openxmlformats.org/officeDocument/2006/relationships/hyperlink" Target="http://twitter.com/Jeannettellaja/status/1112713063306850304" TargetMode="External"/><Relationship Id="rId280" Type="http://schemas.openxmlformats.org/officeDocument/2006/relationships/hyperlink" Target="http://twitter.com/trotnavegante/status/1112760939168874500" TargetMode="External"/><Relationship Id="rId336" Type="http://schemas.openxmlformats.org/officeDocument/2006/relationships/hyperlink" Target="http://twitter.com/acollantes_1096/status/1112778092576194561" TargetMode="External"/><Relationship Id="rId75" Type="http://schemas.openxmlformats.org/officeDocument/2006/relationships/hyperlink" Target="http://twitter.com/ttovarsamanez/status/1112699272993169413" TargetMode="External"/><Relationship Id="rId140" Type="http://schemas.openxmlformats.org/officeDocument/2006/relationships/hyperlink" Target="http://twitter.com/ParkerMitcham/status/1112717056158457857" TargetMode="External"/><Relationship Id="rId182" Type="http://schemas.openxmlformats.org/officeDocument/2006/relationships/hyperlink" Target="http://twitter.com/LSixtomolina/status/1112731420735258624" TargetMode="External"/><Relationship Id="rId378" Type="http://schemas.openxmlformats.org/officeDocument/2006/relationships/hyperlink" Target="http://twitter.com/CheCarolo/status/1112788183975186434" TargetMode="External"/><Relationship Id="rId403" Type="http://schemas.openxmlformats.org/officeDocument/2006/relationships/hyperlink" Target="http://twitter.com/LinceAntiTuco/status/1112793259963711492" TargetMode="External"/><Relationship Id="rId6" Type="http://schemas.openxmlformats.org/officeDocument/2006/relationships/hyperlink" Target="http://twitter.com/a_sc62/status/1112677106553679873" TargetMode="External"/><Relationship Id="rId238" Type="http://schemas.openxmlformats.org/officeDocument/2006/relationships/hyperlink" Target="http://twitter.com/CsargutiCesar/status/1112750293232611328" TargetMode="External"/><Relationship Id="rId445" Type="http://schemas.openxmlformats.org/officeDocument/2006/relationships/hyperlink" Target="http://twitter.com/davidreyesz/status/1112808971365179392" TargetMode="External"/><Relationship Id="rId487" Type="http://schemas.openxmlformats.org/officeDocument/2006/relationships/hyperlink" Target="http://twitter.com/carlos1504511/status/1112824853701255169" TargetMode="External"/><Relationship Id="rId291" Type="http://schemas.openxmlformats.org/officeDocument/2006/relationships/hyperlink" Target="http://twitter.com/galanes55/status/1112765261008900096" TargetMode="External"/><Relationship Id="rId305" Type="http://schemas.openxmlformats.org/officeDocument/2006/relationships/hyperlink" Target="http://twitter.com/mleondecespedes/status/1112767644715937792" TargetMode="External"/><Relationship Id="rId347" Type="http://schemas.openxmlformats.org/officeDocument/2006/relationships/hyperlink" Target="http://twitter.com/StorinoAragon/status/1112780016620920832" TargetMode="External"/><Relationship Id="rId44" Type="http://schemas.openxmlformats.org/officeDocument/2006/relationships/hyperlink" Target="http://twitter.com/RancasScorza/status/1112685939443355648" TargetMode="External"/><Relationship Id="rId86" Type="http://schemas.openxmlformats.org/officeDocument/2006/relationships/hyperlink" Target="http://twitter.com/NoLobistas/status/1112700686590984194" TargetMode="External"/><Relationship Id="rId151" Type="http://schemas.openxmlformats.org/officeDocument/2006/relationships/hyperlink" Target="http://twitter.com/iormachea/status/1112723124343181312" TargetMode="External"/><Relationship Id="rId389" Type="http://schemas.openxmlformats.org/officeDocument/2006/relationships/hyperlink" Target="http://twitter.com/PaulaPizan/status/1112790299909160960" TargetMode="External"/><Relationship Id="rId193" Type="http://schemas.openxmlformats.org/officeDocument/2006/relationships/hyperlink" Target="http://twitter.com/peruenlanoticia/status/1112734719144275969" TargetMode="External"/><Relationship Id="rId207" Type="http://schemas.openxmlformats.org/officeDocument/2006/relationships/hyperlink" Target="http://twitter.com/XavierFiestas/status/1112739292416303110" TargetMode="External"/><Relationship Id="rId249" Type="http://schemas.openxmlformats.org/officeDocument/2006/relationships/hyperlink" Target="http://twitter.com/GuilleNolasco/status/1112753752933650433" TargetMode="External"/><Relationship Id="rId414" Type="http://schemas.openxmlformats.org/officeDocument/2006/relationships/hyperlink" Target="http://twitter.com/AlonzSilva/status/1112800696334782464" TargetMode="External"/><Relationship Id="rId456" Type="http://schemas.openxmlformats.org/officeDocument/2006/relationships/hyperlink" Target="http://twitter.com/Jimmyortega1709/status/1112811421832708096" TargetMode="External"/><Relationship Id="rId498" Type="http://schemas.openxmlformats.org/officeDocument/2006/relationships/hyperlink" Target="http://twitter.com/apterrones/status/1112828619838115840" TargetMode="External"/><Relationship Id="rId13" Type="http://schemas.openxmlformats.org/officeDocument/2006/relationships/hyperlink" Target="http://twitter.com/yanaurpi1/status/1112678571619876864" TargetMode="External"/><Relationship Id="rId109" Type="http://schemas.openxmlformats.org/officeDocument/2006/relationships/hyperlink" Target="http://twitter.com/YanuaLiseth/status/1112707123589324800" TargetMode="External"/><Relationship Id="rId260" Type="http://schemas.openxmlformats.org/officeDocument/2006/relationships/hyperlink" Target="http://twitter.com/tonyventur/status/1112755031047106566" TargetMode="External"/><Relationship Id="rId316" Type="http://schemas.openxmlformats.org/officeDocument/2006/relationships/hyperlink" Target="http://twitter.com/proactivoperu/status/1112769595235094529" TargetMode="External"/><Relationship Id="rId55" Type="http://schemas.openxmlformats.org/officeDocument/2006/relationships/hyperlink" Target="http://twitter.com/MERYDELPILAR1/status/1112690625525231616" TargetMode="External"/><Relationship Id="rId97" Type="http://schemas.openxmlformats.org/officeDocument/2006/relationships/hyperlink" Target="http://twitter.com/jofe189/status/1112703821736747009" TargetMode="External"/><Relationship Id="rId120" Type="http://schemas.openxmlformats.org/officeDocument/2006/relationships/hyperlink" Target="http://twitter.com/CesarBejarano21/status/1112712384605491200" TargetMode="External"/><Relationship Id="rId358" Type="http://schemas.openxmlformats.org/officeDocument/2006/relationships/hyperlink" Target="http://twitter.com/tefa392/status/1112783112369594374" TargetMode="External"/><Relationship Id="rId162" Type="http://schemas.openxmlformats.org/officeDocument/2006/relationships/hyperlink" Target="http://twitter.com/kausachumperu/status/1112726114609303553" TargetMode="External"/><Relationship Id="rId218" Type="http://schemas.openxmlformats.org/officeDocument/2006/relationships/hyperlink" Target="http://twitter.com/isabeldiceesto/status/1112742365230522369" TargetMode="External"/><Relationship Id="rId425" Type="http://schemas.openxmlformats.org/officeDocument/2006/relationships/hyperlink" Target="http://twitter.com/alci_41/status/1112802957244809216" TargetMode="External"/><Relationship Id="rId467" Type="http://schemas.openxmlformats.org/officeDocument/2006/relationships/hyperlink" Target="http://twitter.com/SEMANAeconomica/status/1112815419054751746" TargetMode="External"/><Relationship Id="rId271" Type="http://schemas.openxmlformats.org/officeDocument/2006/relationships/hyperlink" Target="http://twitter.com/juan_pablo_b_g/status/1112758056746696706" TargetMode="External"/><Relationship Id="rId24" Type="http://schemas.openxmlformats.org/officeDocument/2006/relationships/hyperlink" Target="http://twitter.com/TENERIFEFELIZ/status/1112681305303584768" TargetMode="External"/><Relationship Id="rId66" Type="http://schemas.openxmlformats.org/officeDocument/2006/relationships/hyperlink" Target="http://twitter.com/Leyva8Leyva/status/1112694205137276929" TargetMode="External"/><Relationship Id="rId131" Type="http://schemas.openxmlformats.org/officeDocument/2006/relationships/hyperlink" Target="http://twitter.com/carmendeate1/status/1112716430741553152" TargetMode="External"/><Relationship Id="rId327" Type="http://schemas.openxmlformats.org/officeDocument/2006/relationships/hyperlink" Target="http://twitter.com/christiansoto77/status/1112776269345820672" TargetMode="External"/><Relationship Id="rId369" Type="http://schemas.openxmlformats.org/officeDocument/2006/relationships/hyperlink" Target="http://twitter.com/a_ibk/status/1112786407318319104" TargetMode="External"/><Relationship Id="rId173" Type="http://schemas.openxmlformats.org/officeDocument/2006/relationships/hyperlink" Target="http://twitter.com/vanguardiaapra/status/1112730331344457728" TargetMode="External"/><Relationship Id="rId229" Type="http://schemas.openxmlformats.org/officeDocument/2006/relationships/hyperlink" Target="http://twitter.com/gmendoza_/status/1112747352933220354" TargetMode="External"/><Relationship Id="rId380" Type="http://schemas.openxmlformats.org/officeDocument/2006/relationships/hyperlink" Target="http://twitter.com/zemaribeiro/status/1112788436795224066" TargetMode="External"/><Relationship Id="rId436" Type="http://schemas.openxmlformats.org/officeDocument/2006/relationships/hyperlink" Target="http://twitter.com/fgladys02/status/1112804451113467904" TargetMode="External"/><Relationship Id="rId240" Type="http://schemas.openxmlformats.org/officeDocument/2006/relationships/hyperlink" Target="http://twitter.com/StorinoAragon/status/1112750363084578816" TargetMode="External"/><Relationship Id="rId478" Type="http://schemas.openxmlformats.org/officeDocument/2006/relationships/hyperlink" Target="http://twitter.com/cisepa_pucp/status/1112822545852653570" TargetMode="External"/><Relationship Id="rId35" Type="http://schemas.openxmlformats.org/officeDocument/2006/relationships/hyperlink" Target="http://twitter.com/mepz100/status/1112684792712257537" TargetMode="External"/><Relationship Id="rId77" Type="http://schemas.openxmlformats.org/officeDocument/2006/relationships/hyperlink" Target="http://twitter.com/3333flores1/status/1112699497832808450" TargetMode="External"/><Relationship Id="rId100" Type="http://schemas.openxmlformats.org/officeDocument/2006/relationships/hyperlink" Target="http://twitter.com/peru21noticias/status/1112704465575051265" TargetMode="External"/><Relationship Id="rId282" Type="http://schemas.openxmlformats.org/officeDocument/2006/relationships/hyperlink" Target="http://twitter.com/oscarenriquevel/status/1112761052918435845" TargetMode="External"/><Relationship Id="rId338" Type="http://schemas.openxmlformats.org/officeDocument/2006/relationships/hyperlink" Target="http://twitter.com/luroel/status/1112778878957830149" TargetMode="External"/><Relationship Id="rId8" Type="http://schemas.openxmlformats.org/officeDocument/2006/relationships/hyperlink" Target="http://twitter.com/cesarpeirano/status/1112677345104707585" TargetMode="External"/><Relationship Id="rId142" Type="http://schemas.openxmlformats.org/officeDocument/2006/relationships/hyperlink" Target="http://twitter.com/smestanzaa/status/1112717200773779458" TargetMode="External"/><Relationship Id="rId184" Type="http://schemas.openxmlformats.org/officeDocument/2006/relationships/hyperlink" Target="http://twitter.com/milanta/status/1112733790441492482" TargetMode="External"/><Relationship Id="rId391" Type="http://schemas.openxmlformats.org/officeDocument/2006/relationships/hyperlink" Target="http://twitter.com/PPKbancada/status/1112790932749901824" TargetMode="External"/><Relationship Id="rId405" Type="http://schemas.openxmlformats.org/officeDocument/2006/relationships/hyperlink" Target="http://twitter.com/carlossoria_p/status/1112798543394291717" TargetMode="External"/><Relationship Id="rId447" Type="http://schemas.openxmlformats.org/officeDocument/2006/relationships/hyperlink" Target="http://twitter.com/dudup/status/1112809380276330497" TargetMode="External"/><Relationship Id="rId251" Type="http://schemas.openxmlformats.org/officeDocument/2006/relationships/hyperlink" Target="http://twitter.com/peruenlanoticia/status/1112753971700080640" TargetMode="External"/><Relationship Id="rId489" Type="http://schemas.openxmlformats.org/officeDocument/2006/relationships/hyperlink" Target="http://twitter.com/PepeluxoG/status/1112827979128815616" TargetMode="External"/><Relationship Id="rId46" Type="http://schemas.openxmlformats.org/officeDocument/2006/relationships/hyperlink" Target="http://twitter.com/Robert_latino/status/1112689696059129856" TargetMode="External"/><Relationship Id="rId293" Type="http://schemas.openxmlformats.org/officeDocument/2006/relationships/hyperlink" Target="http://twitter.com/luislchihuan/status/1112765359810113536" TargetMode="External"/><Relationship Id="rId307" Type="http://schemas.openxmlformats.org/officeDocument/2006/relationships/hyperlink" Target="http://twitter.com/SiuseAlva/status/1112767978934845440" TargetMode="External"/><Relationship Id="rId349" Type="http://schemas.openxmlformats.org/officeDocument/2006/relationships/hyperlink" Target="http://twitter.com/JeanettPetrosi2/status/1112780773017489409" TargetMode="External"/><Relationship Id="rId88" Type="http://schemas.openxmlformats.org/officeDocument/2006/relationships/hyperlink" Target="http://twitter.com/rosamespule/status/1112702855826366464" TargetMode="External"/><Relationship Id="rId111" Type="http://schemas.openxmlformats.org/officeDocument/2006/relationships/hyperlink" Target="http://twitter.com/RadioNacionalFM/status/1112707537609125894" TargetMode="External"/><Relationship Id="rId153" Type="http://schemas.openxmlformats.org/officeDocument/2006/relationships/hyperlink" Target="http://twitter.com/los7rayos/status/1112723794341306375" TargetMode="External"/><Relationship Id="rId195" Type="http://schemas.openxmlformats.org/officeDocument/2006/relationships/hyperlink" Target="http://twitter.com/ferdezmen/status/1112734920928083968" TargetMode="External"/><Relationship Id="rId209" Type="http://schemas.openxmlformats.org/officeDocument/2006/relationships/hyperlink" Target="http://twitter.com/CharlesAtauje/status/1112741579058491392" TargetMode="External"/><Relationship Id="rId360" Type="http://schemas.openxmlformats.org/officeDocument/2006/relationships/hyperlink" Target="http://twitter.com/CosmePalpan/status/1112783584975306752" TargetMode="External"/><Relationship Id="rId416" Type="http://schemas.openxmlformats.org/officeDocument/2006/relationships/hyperlink" Target="http://twitter.com/Debora_Frank/status/1112800928980238336" TargetMode="External"/><Relationship Id="rId220" Type="http://schemas.openxmlformats.org/officeDocument/2006/relationships/hyperlink" Target="http://twitter.com/hobinwex/status/1112742456620130304" TargetMode="External"/><Relationship Id="rId458" Type="http://schemas.openxmlformats.org/officeDocument/2006/relationships/hyperlink" Target="http://twitter.com/Insausti_tlSUR/status/1112811488278953984" TargetMode="External"/><Relationship Id="rId15" Type="http://schemas.openxmlformats.org/officeDocument/2006/relationships/hyperlink" Target="http://twitter.com/pelusa054/status/1112678973522264065" TargetMode="External"/><Relationship Id="rId57" Type="http://schemas.openxmlformats.org/officeDocument/2006/relationships/hyperlink" Target="http://twitter.com/lmariasmart/status/1112691049883975680" TargetMode="External"/><Relationship Id="rId262" Type="http://schemas.openxmlformats.org/officeDocument/2006/relationships/hyperlink" Target="http://twitter.com/Nicolas4h/status/1112755068221210626" TargetMode="External"/><Relationship Id="rId318" Type="http://schemas.openxmlformats.org/officeDocument/2006/relationships/hyperlink" Target="http://twitter.com/AlbetoJess/status/1112774471213940736" TargetMode="External"/><Relationship Id="rId99" Type="http://schemas.openxmlformats.org/officeDocument/2006/relationships/hyperlink" Target="http://twitter.com/eduardo_recoba/status/1112703907673845763" TargetMode="External"/><Relationship Id="rId122" Type="http://schemas.openxmlformats.org/officeDocument/2006/relationships/hyperlink" Target="http://twitter.com/Paramount_miss/status/1112712539778048001" TargetMode="External"/><Relationship Id="rId164" Type="http://schemas.openxmlformats.org/officeDocument/2006/relationships/hyperlink" Target="http://twitter.com/Saruskka1/status/1112726328409767936" TargetMode="External"/><Relationship Id="rId371" Type="http://schemas.openxmlformats.org/officeDocument/2006/relationships/hyperlink" Target="http://twitter.com/maynorafreyreb/status/1112786748805996546" TargetMode="External"/><Relationship Id="rId427" Type="http://schemas.openxmlformats.org/officeDocument/2006/relationships/hyperlink" Target="http://twitter.com/agenciacmalatam/status/1112803069543284737" TargetMode="External"/><Relationship Id="rId469" Type="http://schemas.openxmlformats.org/officeDocument/2006/relationships/hyperlink" Target="http://twitter.com/BrumasTheBear/status/1112815472553152512" TargetMode="External"/><Relationship Id="rId26" Type="http://schemas.openxmlformats.org/officeDocument/2006/relationships/hyperlink" Target="http://twitter.com/yanaurpi1/status/1112681541765947392" TargetMode="External"/><Relationship Id="rId231" Type="http://schemas.openxmlformats.org/officeDocument/2006/relationships/hyperlink" Target="http://twitter.com/CasarettoAlvaro/status/1112747555979431937" TargetMode="External"/><Relationship Id="rId273" Type="http://schemas.openxmlformats.org/officeDocument/2006/relationships/hyperlink" Target="http://twitter.com/LimaAlDia/status/1112758593550458882" TargetMode="External"/><Relationship Id="rId329" Type="http://schemas.openxmlformats.org/officeDocument/2006/relationships/hyperlink" Target="http://twitter.com/jctafur/status/1112776353391280128" TargetMode="External"/><Relationship Id="rId480" Type="http://schemas.openxmlformats.org/officeDocument/2006/relationships/hyperlink" Target="http://twitter.com/abu_abulafia_/status/1112823103414001666" TargetMode="External"/><Relationship Id="rId68" Type="http://schemas.openxmlformats.org/officeDocument/2006/relationships/hyperlink" Target="http://twitter.com/Gyf96Rony/status/1112694471467114497" TargetMode="External"/><Relationship Id="rId133" Type="http://schemas.openxmlformats.org/officeDocument/2006/relationships/hyperlink" Target="http://twitter.com/carmendeate1/status/1112716541320151040" TargetMode="External"/><Relationship Id="rId175" Type="http://schemas.openxmlformats.org/officeDocument/2006/relationships/hyperlink" Target="http://twitter.com/morganeborzee/status/1112730447564423170" TargetMode="External"/><Relationship Id="rId340" Type="http://schemas.openxmlformats.org/officeDocument/2006/relationships/hyperlink" Target="http://twitter.com/soniamendozaq/status/1112779015037902848" TargetMode="External"/><Relationship Id="rId200" Type="http://schemas.openxmlformats.org/officeDocument/2006/relationships/hyperlink" Target="http://twitter.com/40Matos/status/1112738971161907202" TargetMode="External"/><Relationship Id="rId382" Type="http://schemas.openxmlformats.org/officeDocument/2006/relationships/hyperlink" Target="http://twitter.com/Santiag99504173/status/1112788509692055552" TargetMode="External"/><Relationship Id="rId438" Type="http://schemas.openxmlformats.org/officeDocument/2006/relationships/hyperlink" Target="http://twitter.com/contiki12/status/1112804911828361216" TargetMode="External"/><Relationship Id="rId242" Type="http://schemas.openxmlformats.org/officeDocument/2006/relationships/hyperlink" Target="http://twitter.com/juanaavellaneda/status/1112750409381236737" TargetMode="External"/><Relationship Id="rId284" Type="http://schemas.openxmlformats.org/officeDocument/2006/relationships/hyperlink" Target="http://twitter.com/elmontonero_pe/status/1112761542905344002" TargetMode="External"/><Relationship Id="rId491" Type="http://schemas.openxmlformats.org/officeDocument/2006/relationships/hyperlink" Target="http://twitter.com/pezuni5256/status/1112828115380826112" TargetMode="External"/><Relationship Id="rId37" Type="http://schemas.openxmlformats.org/officeDocument/2006/relationships/hyperlink" Target="http://twitter.com/aqcuadipazzo/status/1112684981485273094" TargetMode="External"/><Relationship Id="rId79" Type="http://schemas.openxmlformats.org/officeDocument/2006/relationships/hyperlink" Target="http://twitter.com/frank_ludena/status/1112699650744741894" TargetMode="External"/><Relationship Id="rId102" Type="http://schemas.openxmlformats.org/officeDocument/2006/relationships/hyperlink" Target="http://twitter.com/ipakankure/status/1112706478429954048" TargetMode="External"/><Relationship Id="rId144" Type="http://schemas.openxmlformats.org/officeDocument/2006/relationships/hyperlink" Target="http://twitter.com/DavidPbPrz10/status/1112722238229274624" TargetMode="External"/><Relationship Id="rId90" Type="http://schemas.openxmlformats.org/officeDocument/2006/relationships/hyperlink" Target="http://twitter.com/Jettersoul/status/1112703228582334464" TargetMode="External"/><Relationship Id="rId186" Type="http://schemas.openxmlformats.org/officeDocument/2006/relationships/hyperlink" Target="http://twitter.com/PasquinDeM/status/1112734163042476033" TargetMode="External"/><Relationship Id="rId351" Type="http://schemas.openxmlformats.org/officeDocument/2006/relationships/hyperlink" Target="http://twitter.com/Loqueven/status/1112781386530869248" TargetMode="External"/><Relationship Id="rId393" Type="http://schemas.openxmlformats.org/officeDocument/2006/relationships/hyperlink" Target="http://twitter.com/Medelu2/status/1112791259473760257" TargetMode="External"/><Relationship Id="rId407" Type="http://schemas.openxmlformats.org/officeDocument/2006/relationships/hyperlink" Target="http://twitter.com/LinceAntiTuco/status/1112799184938328067" TargetMode="External"/><Relationship Id="rId449" Type="http://schemas.openxmlformats.org/officeDocument/2006/relationships/hyperlink" Target="http://twitter.com/Rom_mel2/status/1112809647105363970" TargetMode="External"/><Relationship Id="rId211" Type="http://schemas.openxmlformats.org/officeDocument/2006/relationships/hyperlink" Target="http://twitter.com/FredyDeledesma/status/1112742024174809090" TargetMode="External"/><Relationship Id="rId253" Type="http://schemas.openxmlformats.org/officeDocument/2006/relationships/hyperlink" Target="http://twitter.com/FotografiaPais/status/1112754243427946497" TargetMode="External"/><Relationship Id="rId295" Type="http://schemas.openxmlformats.org/officeDocument/2006/relationships/hyperlink" Target="http://twitter.com/rivilla/status/1112765469067497474" TargetMode="External"/><Relationship Id="rId309" Type="http://schemas.openxmlformats.org/officeDocument/2006/relationships/hyperlink" Target="http://twitter.com/GIGICABRERA31/status/1112768117640495104" TargetMode="External"/><Relationship Id="rId460" Type="http://schemas.openxmlformats.org/officeDocument/2006/relationships/hyperlink" Target="http://twitter.com/angeluz276/status/1112814006039928832" TargetMode="External"/><Relationship Id="rId48" Type="http://schemas.openxmlformats.org/officeDocument/2006/relationships/hyperlink" Target="http://twitter.com/pintora67/status/1112689741827321856" TargetMode="External"/><Relationship Id="rId113" Type="http://schemas.openxmlformats.org/officeDocument/2006/relationships/hyperlink" Target="http://twitter.com/HuberRamos8/status/1112707925737377797" TargetMode="External"/><Relationship Id="rId320" Type="http://schemas.openxmlformats.org/officeDocument/2006/relationships/hyperlink" Target="http://twitter.com/sirgundo/status/1112774751129264128" TargetMode="External"/><Relationship Id="rId155" Type="http://schemas.openxmlformats.org/officeDocument/2006/relationships/hyperlink" Target="http://twitter.com/willyvmr/status/1112724007508312065" TargetMode="External"/><Relationship Id="rId197" Type="http://schemas.openxmlformats.org/officeDocument/2006/relationships/hyperlink" Target="http://twitter.com/EconomiaECpe/status/1112738893005115394" TargetMode="External"/><Relationship Id="rId362" Type="http://schemas.openxmlformats.org/officeDocument/2006/relationships/hyperlink" Target="http://twitter.com/derveterano/status/1112785422134992896" TargetMode="External"/><Relationship Id="rId418" Type="http://schemas.openxmlformats.org/officeDocument/2006/relationships/hyperlink" Target="http://twitter.com/MaribelToledo/status/1112801555181436928" TargetMode="External"/><Relationship Id="rId222" Type="http://schemas.openxmlformats.org/officeDocument/2006/relationships/hyperlink" Target="http://twitter.com/Rollhando/status/1112746761616084992" TargetMode="External"/><Relationship Id="rId264" Type="http://schemas.openxmlformats.org/officeDocument/2006/relationships/hyperlink" Target="http://twitter.com/tonyventur/status/1112757339340320770" TargetMode="External"/><Relationship Id="rId471" Type="http://schemas.openxmlformats.org/officeDocument/2006/relationships/hyperlink" Target="http://twitter.com/fernando_got/status/1112815496389226501" TargetMode="External"/><Relationship Id="rId17" Type="http://schemas.openxmlformats.org/officeDocument/2006/relationships/hyperlink" Target="http://twitter.com/ShucuyJb/status/1112679981585448962" TargetMode="External"/><Relationship Id="rId59" Type="http://schemas.openxmlformats.org/officeDocument/2006/relationships/hyperlink" Target="http://twitter.com/Ubillus10/status/1112691260584849408" TargetMode="External"/><Relationship Id="rId124" Type="http://schemas.openxmlformats.org/officeDocument/2006/relationships/hyperlink" Target="http://twitter.com/lamula/status/1112712752211152896" TargetMode="External"/><Relationship Id="rId70" Type="http://schemas.openxmlformats.org/officeDocument/2006/relationships/hyperlink" Target="http://twitter.com/rralbert/status/1112695114827206656" TargetMode="External"/><Relationship Id="rId166" Type="http://schemas.openxmlformats.org/officeDocument/2006/relationships/hyperlink" Target="http://twitter.com/soniapovis/status/1112727011032788992" TargetMode="External"/><Relationship Id="rId331" Type="http://schemas.openxmlformats.org/officeDocument/2006/relationships/hyperlink" Target="http://twitter.com/r_sin_tapujos/status/1112776635273576448" TargetMode="External"/><Relationship Id="rId373" Type="http://schemas.openxmlformats.org/officeDocument/2006/relationships/hyperlink" Target="http://twitter.com/ricartealmeida/status/1112787054813962247" TargetMode="External"/><Relationship Id="rId429" Type="http://schemas.openxmlformats.org/officeDocument/2006/relationships/hyperlink" Target="http://twitter.com/MaClau120/status/1112803075503411200" TargetMode="External"/><Relationship Id="rId1" Type="http://schemas.openxmlformats.org/officeDocument/2006/relationships/hyperlink" Target="http://twitter.com/MaquinasEmpac/status/1112676535083778048" TargetMode="External"/><Relationship Id="rId233" Type="http://schemas.openxmlformats.org/officeDocument/2006/relationships/hyperlink" Target="http://twitter.com/amesacha/status/1112747578653847552" TargetMode="External"/><Relationship Id="rId440" Type="http://schemas.openxmlformats.org/officeDocument/2006/relationships/hyperlink" Target="http://twitter.com/kathyzegarra/status/1112806066964893696" TargetMode="External"/><Relationship Id="rId28" Type="http://schemas.openxmlformats.org/officeDocument/2006/relationships/hyperlink" Target="http://twitter.com/MarioS759/status/1112681912198447104" TargetMode="External"/><Relationship Id="rId275" Type="http://schemas.openxmlformats.org/officeDocument/2006/relationships/hyperlink" Target="http://twitter.com/giancarlo1413/status/1112758761129676800" TargetMode="External"/><Relationship Id="rId300" Type="http://schemas.openxmlformats.org/officeDocument/2006/relationships/hyperlink" Target="http://twitter.com/aaronsalomong/status/1112765670163468295" TargetMode="External"/><Relationship Id="rId482" Type="http://schemas.openxmlformats.org/officeDocument/2006/relationships/hyperlink" Target="http://twitter.com/PatriRguezD/status/1112823227628376065" TargetMode="External"/><Relationship Id="rId81" Type="http://schemas.openxmlformats.org/officeDocument/2006/relationships/hyperlink" Target="http://twitter.com/MiKu_CL_15/status/1112699940927692800" TargetMode="External"/><Relationship Id="rId135" Type="http://schemas.openxmlformats.org/officeDocument/2006/relationships/hyperlink" Target="http://twitter.com/braches1/status/1112716584429199360" TargetMode="External"/><Relationship Id="rId177" Type="http://schemas.openxmlformats.org/officeDocument/2006/relationships/hyperlink" Target="http://twitter.com/anatari33/status/1112730633619558401" TargetMode="External"/><Relationship Id="rId342" Type="http://schemas.openxmlformats.org/officeDocument/2006/relationships/hyperlink" Target="http://twitter.com/Vogue1913/status/1112779164627681286" TargetMode="External"/><Relationship Id="rId384" Type="http://schemas.openxmlformats.org/officeDocument/2006/relationships/hyperlink" Target="http://twitter.com/duckseok/status/1112788656899620865" TargetMode="External"/><Relationship Id="rId202" Type="http://schemas.openxmlformats.org/officeDocument/2006/relationships/hyperlink" Target="http://twitter.com/FELUCO17/status/1112739154910212098" TargetMode="External"/><Relationship Id="rId244" Type="http://schemas.openxmlformats.org/officeDocument/2006/relationships/hyperlink" Target="http://twitter.com/RasecTony/status/1112750472685932544" TargetMode="External"/><Relationship Id="rId39" Type="http://schemas.openxmlformats.org/officeDocument/2006/relationships/hyperlink" Target="http://twitter.com/Frospigliosi/status/1112685477365252096" TargetMode="External"/><Relationship Id="rId286" Type="http://schemas.openxmlformats.org/officeDocument/2006/relationships/hyperlink" Target="http://twitter.com/ELSV97/status/1112761748417888258" TargetMode="External"/><Relationship Id="rId451" Type="http://schemas.openxmlformats.org/officeDocument/2006/relationships/hyperlink" Target="http://twitter.com/energiminas1/status/1112810023585972224" TargetMode="External"/><Relationship Id="rId493" Type="http://schemas.openxmlformats.org/officeDocument/2006/relationships/hyperlink" Target="http://twitter.com/marisolgarcia11/status/1112828415550345217" TargetMode="External"/><Relationship Id="rId50" Type="http://schemas.openxmlformats.org/officeDocument/2006/relationships/hyperlink" Target="http://twitter.com/SILVYTA27/status/1112689874698670081" TargetMode="External"/><Relationship Id="rId104" Type="http://schemas.openxmlformats.org/officeDocument/2006/relationships/hyperlink" Target="http://twitter.com/zacapa_marca/status/1112706701432709120" TargetMode="External"/><Relationship Id="rId146" Type="http://schemas.openxmlformats.org/officeDocument/2006/relationships/hyperlink" Target="http://twitter.com/tucto/status/1112722452826722304" TargetMode="External"/><Relationship Id="rId188" Type="http://schemas.openxmlformats.org/officeDocument/2006/relationships/hyperlink" Target="http://twitter.com/rubenlima2017/status/1112734480370941952" TargetMode="External"/><Relationship Id="rId311" Type="http://schemas.openxmlformats.org/officeDocument/2006/relationships/hyperlink" Target="http://twitter.com/YuremaViana/status/1112768458717102080" TargetMode="External"/><Relationship Id="rId353" Type="http://schemas.openxmlformats.org/officeDocument/2006/relationships/hyperlink" Target="http://twitter.com/alanocturna10/status/1112781609575632906" TargetMode="External"/><Relationship Id="rId395" Type="http://schemas.openxmlformats.org/officeDocument/2006/relationships/hyperlink" Target="http://twitter.com/ManuelhuntersS/status/1112791617583374336" TargetMode="External"/><Relationship Id="rId409" Type="http://schemas.openxmlformats.org/officeDocument/2006/relationships/hyperlink" Target="http://twitter.com/TioCesar45/status/1112799388848586753" TargetMode="External"/><Relationship Id="rId92" Type="http://schemas.openxmlformats.org/officeDocument/2006/relationships/hyperlink" Target="http://twitter.com/RenzoMinJim/status/1112703591402348544" TargetMode="External"/><Relationship Id="rId213" Type="http://schemas.openxmlformats.org/officeDocument/2006/relationships/hyperlink" Target="http://twitter.com/jdeechave/status/1112742176969146374" TargetMode="External"/><Relationship Id="rId420" Type="http://schemas.openxmlformats.org/officeDocument/2006/relationships/hyperlink" Target="http://twitter.com/ClynCampos/status/1112802190073192448" TargetMode="External"/><Relationship Id="rId255" Type="http://schemas.openxmlformats.org/officeDocument/2006/relationships/hyperlink" Target="http://twitter.com/Enrique_aqp/status/1112754365834674177" TargetMode="External"/><Relationship Id="rId297" Type="http://schemas.openxmlformats.org/officeDocument/2006/relationships/hyperlink" Target="http://twitter.com/peruenlanoticia/status/1112765516962283521" TargetMode="External"/><Relationship Id="rId462" Type="http://schemas.openxmlformats.org/officeDocument/2006/relationships/hyperlink" Target="http://twitter.com/medialunaazul/status/1112814356171980801" TargetMode="External"/><Relationship Id="rId115" Type="http://schemas.openxmlformats.org/officeDocument/2006/relationships/hyperlink" Target="http://twitter.com/augustoreyh/status/1112707966921261056" TargetMode="External"/><Relationship Id="rId157" Type="http://schemas.openxmlformats.org/officeDocument/2006/relationships/hyperlink" Target="http://twitter.com/danielle7591/status/1112725778796593152" TargetMode="External"/><Relationship Id="rId322" Type="http://schemas.openxmlformats.org/officeDocument/2006/relationships/hyperlink" Target="http://twitter.com/miracomome/status/1112775186955362304" TargetMode="External"/><Relationship Id="rId364" Type="http://schemas.openxmlformats.org/officeDocument/2006/relationships/hyperlink" Target="http://twitter.com/maedaTinna/status/1112785760439226372" TargetMode="External"/><Relationship Id="rId61" Type="http://schemas.openxmlformats.org/officeDocument/2006/relationships/hyperlink" Target="http://twitter.com/bostonews/status/1112693344226824192" TargetMode="External"/><Relationship Id="rId199" Type="http://schemas.openxmlformats.org/officeDocument/2006/relationships/hyperlink" Target="http://twitter.com/OCMPeru/status/1112738893965811712" TargetMode="External"/><Relationship Id="rId19" Type="http://schemas.openxmlformats.org/officeDocument/2006/relationships/hyperlink" Target="http://twitter.com/MaquinasEmpac/status/1112680423316811776" TargetMode="External"/><Relationship Id="rId224" Type="http://schemas.openxmlformats.org/officeDocument/2006/relationships/hyperlink" Target="http://twitter.com/BassiTanise/status/1112746920798232577" TargetMode="External"/><Relationship Id="rId266" Type="http://schemas.openxmlformats.org/officeDocument/2006/relationships/hyperlink" Target="http://twitter.com/EDWINFLORESVASQ/status/1112757646879277056" TargetMode="External"/><Relationship Id="rId431" Type="http://schemas.openxmlformats.org/officeDocument/2006/relationships/hyperlink" Target="http://twitter.com/G_vigo/status/1112803552056016898" TargetMode="External"/><Relationship Id="rId473" Type="http://schemas.openxmlformats.org/officeDocument/2006/relationships/hyperlink" Target="http://twitter.com/CalebRojasC/status/1112821526800216064" TargetMode="External"/><Relationship Id="rId30" Type="http://schemas.openxmlformats.org/officeDocument/2006/relationships/hyperlink" Target="http://twitter.com/JuanCar49682973/status/1112682047183691777" TargetMode="External"/><Relationship Id="rId126" Type="http://schemas.openxmlformats.org/officeDocument/2006/relationships/hyperlink" Target="http://twitter.com/LDelacruzv/status/1112712863108554753" TargetMode="External"/><Relationship Id="rId168" Type="http://schemas.openxmlformats.org/officeDocument/2006/relationships/hyperlink" Target="http://twitter.com/frankri14641759/status/1112727278180593666" TargetMode="External"/><Relationship Id="rId333" Type="http://schemas.openxmlformats.org/officeDocument/2006/relationships/hyperlink" Target="http://twitter.com/Artemito3/status/1112777179832705031" TargetMode="External"/><Relationship Id="rId72" Type="http://schemas.openxmlformats.org/officeDocument/2006/relationships/hyperlink" Target="http://twitter.com/Patricia_Neyra/status/1112695685219082242" TargetMode="External"/><Relationship Id="rId375" Type="http://schemas.openxmlformats.org/officeDocument/2006/relationships/hyperlink" Target="http://twitter.com/Qzhizha/status/1112787424990674947" TargetMode="External"/><Relationship Id="rId3" Type="http://schemas.openxmlformats.org/officeDocument/2006/relationships/hyperlink" Target="http://twitter.com/djjmils/status/1112676957513240577" TargetMode="External"/><Relationship Id="rId235" Type="http://schemas.openxmlformats.org/officeDocument/2006/relationships/hyperlink" Target="http://twitter.com/Arturo_Orozco/status/1112750016001658881" TargetMode="External"/><Relationship Id="rId277" Type="http://schemas.openxmlformats.org/officeDocument/2006/relationships/hyperlink" Target="http://twitter.com/Rramosb1/status/1112760326980857862" TargetMode="External"/><Relationship Id="rId400" Type="http://schemas.openxmlformats.org/officeDocument/2006/relationships/hyperlink" Target="http://twitter.com/palomatorkasa/status/1112792678431756288" TargetMode="External"/><Relationship Id="rId442" Type="http://schemas.openxmlformats.org/officeDocument/2006/relationships/hyperlink" Target="http://twitter.com/oitosafada/status/1112806216403767297" TargetMode="External"/><Relationship Id="rId484" Type="http://schemas.openxmlformats.org/officeDocument/2006/relationships/hyperlink" Target="http://twitter.com/prosperayamada/status/1112823789346308097" TargetMode="External"/><Relationship Id="rId137" Type="http://schemas.openxmlformats.org/officeDocument/2006/relationships/hyperlink" Target="http://twitter.com/Wilfred53403757/status/1112716798913404928" TargetMode="External"/><Relationship Id="rId302" Type="http://schemas.openxmlformats.org/officeDocument/2006/relationships/hyperlink" Target="http://twitter.com/vigilfran/status/1112766153217241091" TargetMode="External"/><Relationship Id="rId344" Type="http://schemas.openxmlformats.org/officeDocument/2006/relationships/hyperlink" Target="http://twitter.com/rlopezaliaga1/status/1112779295913644032" TargetMode="External"/><Relationship Id="rId41" Type="http://schemas.openxmlformats.org/officeDocument/2006/relationships/hyperlink" Target="http://twitter.com/Samanamu/status/1112685623100559361" TargetMode="External"/><Relationship Id="rId83" Type="http://schemas.openxmlformats.org/officeDocument/2006/relationships/hyperlink" Target="http://twitter.com/pajaroazulperu/status/1112699984850358272" TargetMode="External"/><Relationship Id="rId179" Type="http://schemas.openxmlformats.org/officeDocument/2006/relationships/hyperlink" Target="http://twitter.com/peruenlanoticia/status/1112730877417672705" TargetMode="External"/><Relationship Id="rId386" Type="http://schemas.openxmlformats.org/officeDocument/2006/relationships/hyperlink" Target="http://twitter.com/veronic03902460/status/1112789072253054976" TargetMode="External"/><Relationship Id="rId190" Type="http://schemas.openxmlformats.org/officeDocument/2006/relationships/hyperlink" Target="http://twitter.com/leo_valra/status/1112734508724510720" TargetMode="External"/><Relationship Id="rId204" Type="http://schemas.openxmlformats.org/officeDocument/2006/relationships/hyperlink" Target="http://twitter.com/Enrique_aqp/status/1112739213747937281" TargetMode="External"/><Relationship Id="rId246" Type="http://schemas.openxmlformats.org/officeDocument/2006/relationships/hyperlink" Target="http://twitter.com/Andrelosorio/status/1112750645650640897" TargetMode="External"/><Relationship Id="rId288" Type="http://schemas.openxmlformats.org/officeDocument/2006/relationships/hyperlink" Target="http://twitter.com/anmarcelapo/status/1112762273834172416" TargetMode="External"/><Relationship Id="rId411" Type="http://schemas.openxmlformats.org/officeDocument/2006/relationships/hyperlink" Target="http://twitter.com/Maynor_lopez_t/status/1112800133740101632" TargetMode="External"/><Relationship Id="rId453" Type="http://schemas.openxmlformats.org/officeDocument/2006/relationships/hyperlink" Target="http://twitter.com/HellenMesones/status/1112810626873810945" TargetMode="External"/></Relationships>
</file>

<file path=xl/worksheets/_rels/sheet2.xml.rels><?xml version="1.0" encoding="UTF-8" standalone="yes"?>
<Relationships xmlns="http://schemas.openxmlformats.org/package/2006/relationships"><Relationship Id="rId1522" Type="http://schemas.openxmlformats.org/officeDocument/2006/relationships/hyperlink" Target="http://twitter.com/Enrique20689794/status/1114373119517634561" TargetMode="External"/><Relationship Id="rId1827" Type="http://schemas.openxmlformats.org/officeDocument/2006/relationships/hyperlink" Target="http://twitter.com/GuardianYoshi/status/1115042816449761280" TargetMode="External"/><Relationship Id="rId21" Type="http://schemas.openxmlformats.org/officeDocument/2006/relationships/hyperlink" Target="http://twitter.com/tailisesantoos/status/1112680653198381058" TargetMode="External"/><Relationship Id="rId170" Type="http://schemas.openxmlformats.org/officeDocument/2006/relationships/hyperlink" Target="http://twitter.com/c3sarmv/status/1112730258858479617" TargetMode="External"/><Relationship Id="rId268" Type="http://schemas.openxmlformats.org/officeDocument/2006/relationships/hyperlink" Target="http://twitter.com/alansalinas/status/1112757837061480455" TargetMode="External"/><Relationship Id="rId475" Type="http://schemas.openxmlformats.org/officeDocument/2006/relationships/hyperlink" Target="http://twitter.com/safra_manuel/status/1112821890282815491" TargetMode="External"/><Relationship Id="rId682" Type="http://schemas.openxmlformats.org/officeDocument/2006/relationships/hyperlink" Target="http://twitter.com/Jorgedelama/status/1112887491957321733" TargetMode="External"/><Relationship Id="rId128" Type="http://schemas.openxmlformats.org/officeDocument/2006/relationships/hyperlink" Target="http://twitter.com/cataramonas/status/1112712972181430272" TargetMode="External"/><Relationship Id="rId335" Type="http://schemas.openxmlformats.org/officeDocument/2006/relationships/hyperlink" Target="http://twitter.com/PeruNews/status/1112777605193842690" TargetMode="External"/><Relationship Id="rId542" Type="http://schemas.openxmlformats.org/officeDocument/2006/relationships/hyperlink" Target="http://twitter.com/QHaRi/status/1112842228983005184" TargetMode="External"/><Relationship Id="rId987" Type="http://schemas.openxmlformats.org/officeDocument/2006/relationships/hyperlink" Target="http://twitter.com/jimmycerf/status/1113187941235523585" TargetMode="External"/><Relationship Id="rId1172" Type="http://schemas.openxmlformats.org/officeDocument/2006/relationships/hyperlink" Target="http://twitter.com/JorgeLuisSenzF1/status/1113639361034297344" TargetMode="External"/><Relationship Id="rId402" Type="http://schemas.openxmlformats.org/officeDocument/2006/relationships/hyperlink" Target="http://twitter.com/palomatorkasa/status/1112792937664897024" TargetMode="External"/><Relationship Id="rId847" Type="http://schemas.openxmlformats.org/officeDocument/2006/relationships/hyperlink" Target="http://twitter.com/rgonzalesm/status/1112933670854299648" TargetMode="External"/><Relationship Id="rId1032" Type="http://schemas.openxmlformats.org/officeDocument/2006/relationships/hyperlink" Target="http://twitter.com/Gestionpe/status/1113301348244545536" TargetMode="External"/><Relationship Id="rId1477" Type="http://schemas.openxmlformats.org/officeDocument/2006/relationships/hyperlink" Target="http://twitter.com/KikeBravoPrado/status/1114287252505538561" TargetMode="External"/><Relationship Id="rId1684" Type="http://schemas.openxmlformats.org/officeDocument/2006/relationships/hyperlink" Target="http://twitter.com/dianacastro2809/status/1114742547450957831" TargetMode="External"/><Relationship Id="rId1891" Type="http://schemas.openxmlformats.org/officeDocument/2006/relationships/hyperlink" Target="http://twitter.com/hanibal835/status/1115159767268384768" TargetMode="External"/><Relationship Id="rId707" Type="http://schemas.openxmlformats.org/officeDocument/2006/relationships/hyperlink" Target="http://twitter.com/Mejalca/status/1112893851893686272" TargetMode="External"/><Relationship Id="rId914" Type="http://schemas.openxmlformats.org/officeDocument/2006/relationships/hyperlink" Target="http://twitter.com/jcvalerianor/status/1113027892139757568" TargetMode="External"/><Relationship Id="rId1337" Type="http://schemas.openxmlformats.org/officeDocument/2006/relationships/hyperlink" Target="http://twitter.com/RAMONHERBERT1/status/1113998432593752069" TargetMode="External"/><Relationship Id="rId1544" Type="http://schemas.openxmlformats.org/officeDocument/2006/relationships/hyperlink" Target="http://twitter.com/CristyMongeR/status/1114429788746395648" TargetMode="External"/><Relationship Id="rId1751" Type="http://schemas.openxmlformats.org/officeDocument/2006/relationships/hyperlink" Target="http://twitter.com/RPPNoticias/status/1114894755744354305" TargetMode="External"/><Relationship Id="rId1989" Type="http://schemas.openxmlformats.org/officeDocument/2006/relationships/hyperlink" Target="http://twitter.com/LMSaraviaC/status/1115388025637416960" TargetMode="External"/><Relationship Id="rId43" Type="http://schemas.openxmlformats.org/officeDocument/2006/relationships/hyperlink" Target="http://twitter.com/alexkaddir/status/1112685915942633472" TargetMode="External"/><Relationship Id="rId1404" Type="http://schemas.openxmlformats.org/officeDocument/2006/relationships/hyperlink" Target="http://twitter.com/fgladys02/status/1114133783068971008" TargetMode="External"/><Relationship Id="rId1611" Type="http://schemas.openxmlformats.org/officeDocument/2006/relationships/hyperlink" Target="http://twitter.com/RichardRossiMo1/status/1114590005786054656" TargetMode="External"/><Relationship Id="rId1849" Type="http://schemas.openxmlformats.org/officeDocument/2006/relationships/hyperlink" Target="http://twitter.com/SolCn/status/1115098240020566016" TargetMode="External"/><Relationship Id="rId192" Type="http://schemas.openxmlformats.org/officeDocument/2006/relationships/hyperlink" Target="http://twitter.com/LSixtomolina/status/1112734644376662023" TargetMode="External"/><Relationship Id="rId1709" Type="http://schemas.openxmlformats.org/officeDocument/2006/relationships/hyperlink" Target="http://twitter.com/JorgeAguirre9/status/1114799724694056960" TargetMode="External"/><Relationship Id="rId1916" Type="http://schemas.openxmlformats.org/officeDocument/2006/relationships/hyperlink" Target="http://twitter.com/diariocorreo/status/1115235865364717568" TargetMode="External"/><Relationship Id="rId497" Type="http://schemas.openxmlformats.org/officeDocument/2006/relationships/hyperlink" Target="http://twitter.com/SODOMCO/status/1112828613806706690" TargetMode="External"/><Relationship Id="rId357" Type="http://schemas.openxmlformats.org/officeDocument/2006/relationships/hyperlink" Target="http://twitter.com/agente1977c/status/1112782327179079687" TargetMode="External"/><Relationship Id="rId1194" Type="http://schemas.openxmlformats.org/officeDocument/2006/relationships/hyperlink" Target="http://twitter.com/SILVYTA27/status/1113670358832439296" TargetMode="External"/><Relationship Id="rId217" Type="http://schemas.openxmlformats.org/officeDocument/2006/relationships/hyperlink" Target="http://twitter.com/mercedialo/status/1112742260590952448" TargetMode="External"/><Relationship Id="rId564" Type="http://schemas.openxmlformats.org/officeDocument/2006/relationships/hyperlink" Target="http://twitter.com/pbustamantep/status/1112849365868179456" TargetMode="External"/><Relationship Id="rId771" Type="http://schemas.openxmlformats.org/officeDocument/2006/relationships/hyperlink" Target="http://twitter.com/mleonespinosa/status/1112911715933569024" TargetMode="External"/><Relationship Id="rId869" Type="http://schemas.openxmlformats.org/officeDocument/2006/relationships/hyperlink" Target="http://twitter.com/spaciolibre/status/1112938948320485376" TargetMode="External"/><Relationship Id="rId1499" Type="http://schemas.openxmlformats.org/officeDocument/2006/relationships/hyperlink" Target="http://twitter.com/peruvianito/status/1114344131092938753" TargetMode="External"/><Relationship Id="rId424" Type="http://schemas.openxmlformats.org/officeDocument/2006/relationships/hyperlink" Target="http://twitter.com/El_Manu11/status/1112802893596450816" TargetMode="External"/><Relationship Id="rId631" Type="http://schemas.openxmlformats.org/officeDocument/2006/relationships/hyperlink" Target="http://twitter.com/JKatya03/status/1112872018821697538" TargetMode="External"/><Relationship Id="rId729" Type="http://schemas.openxmlformats.org/officeDocument/2006/relationships/hyperlink" Target="http://twitter.com/guimaraes2_/status/1112901123382407168" TargetMode="External"/><Relationship Id="rId1054" Type="http://schemas.openxmlformats.org/officeDocument/2006/relationships/hyperlink" Target="http://twitter.com/tidd_83/status/1113327538909143040" TargetMode="External"/><Relationship Id="rId1261" Type="http://schemas.openxmlformats.org/officeDocument/2006/relationships/hyperlink" Target="http://twitter.com/vpaulve/status/1113822805559259136" TargetMode="External"/><Relationship Id="rId1359" Type="http://schemas.openxmlformats.org/officeDocument/2006/relationships/hyperlink" Target="http://twitter.com/sudamericalibre/status/1114031210358038534" TargetMode="External"/><Relationship Id="rId936" Type="http://schemas.openxmlformats.org/officeDocument/2006/relationships/hyperlink" Target="http://twitter.com/Janlismaite/status/1113068307916185601" TargetMode="External"/><Relationship Id="rId1121" Type="http://schemas.openxmlformats.org/officeDocument/2006/relationships/hyperlink" Target="http://twitter.com/Gestionpe/status/1113488018743205889" TargetMode="External"/><Relationship Id="rId1219" Type="http://schemas.openxmlformats.org/officeDocument/2006/relationships/hyperlink" Target="http://twitter.com/RadarGuarico/status/1113706445172879360" TargetMode="External"/><Relationship Id="rId1566" Type="http://schemas.openxmlformats.org/officeDocument/2006/relationships/hyperlink" Target="http://twitter.com/Chekpasabaneado/status/1114471550034554881" TargetMode="External"/><Relationship Id="rId1773" Type="http://schemas.openxmlformats.org/officeDocument/2006/relationships/hyperlink" Target="http://twitter.com/Shirojinka/status/1114924332847902726" TargetMode="External"/><Relationship Id="rId1980" Type="http://schemas.openxmlformats.org/officeDocument/2006/relationships/hyperlink" Target="http://twitter.com/canalN_/status/1115387119898382342" TargetMode="External"/><Relationship Id="rId65" Type="http://schemas.openxmlformats.org/officeDocument/2006/relationships/hyperlink" Target="http://twitter.com/kausachumperu/status/1112693820590821377" TargetMode="External"/><Relationship Id="rId1426" Type="http://schemas.openxmlformats.org/officeDocument/2006/relationships/hyperlink" Target="http://twitter.com/luchicarrillo22/status/1114166228694728704" TargetMode="External"/><Relationship Id="rId1633" Type="http://schemas.openxmlformats.org/officeDocument/2006/relationships/hyperlink" Target="http://twitter.com/StorinoAragon/status/1114623384510521344" TargetMode="External"/><Relationship Id="rId1840" Type="http://schemas.openxmlformats.org/officeDocument/2006/relationships/hyperlink" Target="http://twitter.com/PSIUM/status/1115074889143209985" TargetMode="External"/><Relationship Id="rId1700" Type="http://schemas.openxmlformats.org/officeDocument/2006/relationships/hyperlink" Target="http://twitter.com/luisvalera11/status/1114769015426170881" TargetMode="External"/><Relationship Id="rId1938" Type="http://schemas.openxmlformats.org/officeDocument/2006/relationships/hyperlink" Target="http://twitter.com/oscar07vllf/status/1115295700835864577" TargetMode="External"/><Relationship Id="rId281" Type="http://schemas.openxmlformats.org/officeDocument/2006/relationships/hyperlink" Target="http://twitter.com/PanamericanaTV/status/1112760971070709766" TargetMode="External"/><Relationship Id="rId141" Type="http://schemas.openxmlformats.org/officeDocument/2006/relationships/hyperlink" Target="http://twitter.com/tonyventur/status/1112717154229649408" TargetMode="External"/><Relationship Id="rId379" Type="http://schemas.openxmlformats.org/officeDocument/2006/relationships/hyperlink" Target="http://twitter.com/Rodrigonzalezru/status/1112788292334837760" TargetMode="External"/><Relationship Id="rId586" Type="http://schemas.openxmlformats.org/officeDocument/2006/relationships/hyperlink" Target="http://twitter.com/BernaolaMaria/status/1112854474589159425" TargetMode="External"/><Relationship Id="rId793" Type="http://schemas.openxmlformats.org/officeDocument/2006/relationships/hyperlink" Target="http://twitter.com/chouchiski7531/status/1112918817338875904" TargetMode="External"/><Relationship Id="rId7" Type="http://schemas.openxmlformats.org/officeDocument/2006/relationships/hyperlink" Target="http://twitter.com/jorgejhms/status/1112677193933561859" TargetMode="External"/><Relationship Id="rId239" Type="http://schemas.openxmlformats.org/officeDocument/2006/relationships/hyperlink" Target="http://twitter.com/Stephen0610/status/1112750324740046848" TargetMode="External"/><Relationship Id="rId446" Type="http://schemas.openxmlformats.org/officeDocument/2006/relationships/hyperlink" Target="http://twitter.com/ccaroc2011/status/1112809184876167169" TargetMode="External"/><Relationship Id="rId653" Type="http://schemas.openxmlformats.org/officeDocument/2006/relationships/hyperlink" Target="http://twitter.com/peru21noticias/status/1112878423301636096" TargetMode="External"/><Relationship Id="rId1076" Type="http://schemas.openxmlformats.org/officeDocument/2006/relationships/hyperlink" Target="http://twitter.com/KyaneTank/status/1113358002365632514" TargetMode="External"/><Relationship Id="rId1283" Type="http://schemas.openxmlformats.org/officeDocument/2006/relationships/hyperlink" Target="http://twitter.com/JorgeLuisSenzF1/status/1113883926509047808" TargetMode="External"/><Relationship Id="rId1490" Type="http://schemas.openxmlformats.org/officeDocument/2006/relationships/hyperlink" Target="http://twitter.com/maryce50/status/1114316729058983936" TargetMode="External"/><Relationship Id="rId306" Type="http://schemas.openxmlformats.org/officeDocument/2006/relationships/hyperlink" Target="http://twitter.com/hermes1948/status/1112767944629673984" TargetMode="External"/><Relationship Id="rId860" Type="http://schemas.openxmlformats.org/officeDocument/2006/relationships/hyperlink" Target="http://twitter.com/mundotvpe/status/1112936016275476481" TargetMode="External"/><Relationship Id="rId958" Type="http://schemas.openxmlformats.org/officeDocument/2006/relationships/hyperlink" Target="http://twitter.com/IvanGarciaMayer/status/1113127257151864833" TargetMode="External"/><Relationship Id="rId1143" Type="http://schemas.openxmlformats.org/officeDocument/2006/relationships/hyperlink" Target="http://twitter.com/ChavezWar/status/1113520114861780994" TargetMode="External"/><Relationship Id="rId1588" Type="http://schemas.openxmlformats.org/officeDocument/2006/relationships/hyperlink" Target="http://twitter.com/Timeforfreedom_/status/1114532614193451008" TargetMode="External"/><Relationship Id="rId1795" Type="http://schemas.openxmlformats.org/officeDocument/2006/relationships/hyperlink" Target="http://twitter.com/sweetmistery7/status/1114983124096749569" TargetMode="External"/><Relationship Id="rId87" Type="http://schemas.openxmlformats.org/officeDocument/2006/relationships/hyperlink" Target="http://twitter.com/LuisMiguel_GD/status/1112700702365757479" TargetMode="External"/><Relationship Id="rId513" Type="http://schemas.openxmlformats.org/officeDocument/2006/relationships/hyperlink" Target="http://twitter.com/Marias76/status/1112834977035685888" TargetMode="External"/><Relationship Id="rId720" Type="http://schemas.openxmlformats.org/officeDocument/2006/relationships/hyperlink" Target="http://twitter.com/AntonioChavezDz/status/1112897430620651523" TargetMode="External"/><Relationship Id="rId818" Type="http://schemas.openxmlformats.org/officeDocument/2006/relationships/hyperlink" Target="http://twitter.com/osescalante/status/1112925863119450112" TargetMode="External"/><Relationship Id="rId1350" Type="http://schemas.openxmlformats.org/officeDocument/2006/relationships/hyperlink" Target="http://twitter.com/PPKEIKOFREE/status/1114027836715732994" TargetMode="External"/><Relationship Id="rId1448" Type="http://schemas.openxmlformats.org/officeDocument/2006/relationships/hyperlink" Target="http://twitter.com/SariSant03/status/1114223733269463042" TargetMode="External"/><Relationship Id="rId1655" Type="http://schemas.openxmlformats.org/officeDocument/2006/relationships/hyperlink" Target="http://twitter.com/alvarocervantes/status/1114682114228871168" TargetMode="External"/><Relationship Id="rId1003" Type="http://schemas.openxmlformats.org/officeDocument/2006/relationships/hyperlink" Target="http://twitter.com/ShelleyCabrer14/status/1113219882185785344" TargetMode="External"/><Relationship Id="rId1210" Type="http://schemas.openxmlformats.org/officeDocument/2006/relationships/hyperlink" Target="http://twitter.com/Gregorio_Goyo/status/1113700969777455104" TargetMode="External"/><Relationship Id="rId1308" Type="http://schemas.openxmlformats.org/officeDocument/2006/relationships/hyperlink" Target="http://twitter.com/Carla_Rojas75/status/1113942128038686720" TargetMode="External"/><Relationship Id="rId1862" Type="http://schemas.openxmlformats.org/officeDocument/2006/relationships/hyperlink" Target="http://twitter.com/marrsupio/status/1115129246555488256" TargetMode="External"/><Relationship Id="rId1515" Type="http://schemas.openxmlformats.org/officeDocument/2006/relationships/hyperlink" Target="http://twitter.com/FlabiaVigo/status/1114371484947025920" TargetMode="External"/><Relationship Id="rId1722" Type="http://schemas.openxmlformats.org/officeDocument/2006/relationships/hyperlink" Target="http://twitter.com/averarita/status/1114830182714572800" TargetMode="External"/><Relationship Id="rId14" Type="http://schemas.openxmlformats.org/officeDocument/2006/relationships/hyperlink" Target="http://twitter.com/vrpt7/status/1112678715878789121" TargetMode="External"/><Relationship Id="rId163" Type="http://schemas.openxmlformats.org/officeDocument/2006/relationships/hyperlink" Target="http://twitter.com/PFranciscana/status/1112726304527433729" TargetMode="External"/><Relationship Id="rId370" Type="http://schemas.openxmlformats.org/officeDocument/2006/relationships/hyperlink" Target="http://twitter.com/xiopink89/status/1112786496669564930" TargetMode="External"/><Relationship Id="rId230" Type="http://schemas.openxmlformats.org/officeDocument/2006/relationships/hyperlink" Target="http://twitter.com/alvarosarco/status/1112747369035116547" TargetMode="External"/><Relationship Id="rId468" Type="http://schemas.openxmlformats.org/officeDocument/2006/relationships/hyperlink" Target="http://twitter.com/JuanJesusFidhel/status/1112815465590607872" TargetMode="External"/><Relationship Id="rId675" Type="http://schemas.openxmlformats.org/officeDocument/2006/relationships/hyperlink" Target="http://twitter.com/shindobadw/status/1112885660875149312" TargetMode="External"/><Relationship Id="rId882" Type="http://schemas.openxmlformats.org/officeDocument/2006/relationships/hyperlink" Target="http://twitter.com/Contreras2514/status/1112964065284980736" TargetMode="External"/><Relationship Id="rId1098" Type="http://schemas.openxmlformats.org/officeDocument/2006/relationships/hyperlink" Target="http://twitter.com/jarojas_a/status/1113429342493839361" TargetMode="External"/><Relationship Id="rId328" Type="http://schemas.openxmlformats.org/officeDocument/2006/relationships/hyperlink" Target="http://twitter.com/Patriciapim28/status/1112776349394128896" TargetMode="External"/><Relationship Id="rId535" Type="http://schemas.openxmlformats.org/officeDocument/2006/relationships/hyperlink" Target="http://twitter.com/Ricardo42390341/status/1112839259558309888" TargetMode="External"/><Relationship Id="rId742" Type="http://schemas.openxmlformats.org/officeDocument/2006/relationships/hyperlink" Target="http://twitter.com/Gregorio_Goyo/status/1112903769090555905" TargetMode="External"/><Relationship Id="rId1165" Type="http://schemas.openxmlformats.org/officeDocument/2006/relationships/hyperlink" Target="http://twitter.com/Agencia_Andina/status/1113612293680529408" TargetMode="External"/><Relationship Id="rId1372" Type="http://schemas.openxmlformats.org/officeDocument/2006/relationships/hyperlink" Target="http://twitter.com/HellenMesones/status/1114042268065959936" TargetMode="External"/><Relationship Id="rId602" Type="http://schemas.openxmlformats.org/officeDocument/2006/relationships/hyperlink" Target="http://twitter.com/rralbert/status/1112860672004685824" TargetMode="External"/><Relationship Id="rId1025" Type="http://schemas.openxmlformats.org/officeDocument/2006/relationships/hyperlink" Target="http://twitter.com/perucomweb/status/1113277362458759168" TargetMode="External"/><Relationship Id="rId1232" Type="http://schemas.openxmlformats.org/officeDocument/2006/relationships/hyperlink" Target="http://twitter.com/ecuadordeporte/status/1113750673156390912" TargetMode="External"/><Relationship Id="rId1677" Type="http://schemas.openxmlformats.org/officeDocument/2006/relationships/hyperlink" Target="http://twitter.com/Fioreaquije/status/1114741719277494272" TargetMode="External"/><Relationship Id="rId1884" Type="http://schemas.openxmlformats.org/officeDocument/2006/relationships/hyperlink" Target="http://twitter.com/Jof_chavez/status/1115141856818487296" TargetMode="External"/><Relationship Id="rId907" Type="http://schemas.openxmlformats.org/officeDocument/2006/relationships/hyperlink" Target="http://twitter.com/ragranados/status/1112997662045822976" TargetMode="External"/><Relationship Id="rId1537" Type="http://schemas.openxmlformats.org/officeDocument/2006/relationships/hyperlink" Target="http://twitter.com/Peru_Noticias/status/1114400102842552320" TargetMode="External"/><Relationship Id="rId1744" Type="http://schemas.openxmlformats.org/officeDocument/2006/relationships/hyperlink" Target="http://twitter.com/Marie3769/status/1114864643497967616" TargetMode="External"/><Relationship Id="rId1951" Type="http://schemas.openxmlformats.org/officeDocument/2006/relationships/hyperlink" Target="http://twitter.com/egallegos7/status/1115326263437271042" TargetMode="External"/><Relationship Id="rId36" Type="http://schemas.openxmlformats.org/officeDocument/2006/relationships/hyperlink" Target="http://twitter.com/guapocanela/status/1112684852380385281" TargetMode="External"/><Relationship Id="rId1604" Type="http://schemas.openxmlformats.org/officeDocument/2006/relationships/hyperlink" Target="http://twitter.com/Kirachigo/status/1114563055344549888" TargetMode="External"/><Relationship Id="rId185" Type="http://schemas.openxmlformats.org/officeDocument/2006/relationships/hyperlink" Target="http://twitter.com/carlosdfghjkl/status/1112734160580419585" TargetMode="External"/><Relationship Id="rId1811" Type="http://schemas.openxmlformats.org/officeDocument/2006/relationships/hyperlink" Target="http://twitter.com/Jorgedelama/status/1115015395436638208" TargetMode="External"/><Relationship Id="rId1909" Type="http://schemas.openxmlformats.org/officeDocument/2006/relationships/hyperlink" Target="http://twitter.com/alba10mg/status/1115199777120059392" TargetMode="External"/><Relationship Id="rId392" Type="http://schemas.openxmlformats.org/officeDocument/2006/relationships/hyperlink" Target="http://twitter.com/JMelendezCelis/status/1112791157535399936" TargetMode="External"/><Relationship Id="rId697" Type="http://schemas.openxmlformats.org/officeDocument/2006/relationships/hyperlink" Target="http://twitter.com/apterrones/status/1112891382341959681" TargetMode="External"/><Relationship Id="rId252" Type="http://schemas.openxmlformats.org/officeDocument/2006/relationships/hyperlink" Target="http://twitter.com/tenta_fjhotmail/status/1112754182912700421" TargetMode="External"/><Relationship Id="rId1187" Type="http://schemas.openxmlformats.org/officeDocument/2006/relationships/hyperlink" Target="http://twitter.com/spartypantsxxl/status/1113666226423603200" TargetMode="External"/><Relationship Id="rId112" Type="http://schemas.openxmlformats.org/officeDocument/2006/relationships/hyperlink" Target="http://twitter.com/Tito77412965/status/1112707769004494849" TargetMode="External"/><Relationship Id="rId557" Type="http://schemas.openxmlformats.org/officeDocument/2006/relationships/hyperlink" Target="http://twitter.com/jimmy703243001/status/1112848672033628161" TargetMode="External"/><Relationship Id="rId764" Type="http://schemas.openxmlformats.org/officeDocument/2006/relationships/hyperlink" Target="http://twitter.com/hincha_pc/status/1112909359250432000" TargetMode="External"/><Relationship Id="rId971" Type="http://schemas.openxmlformats.org/officeDocument/2006/relationships/hyperlink" Target="http://twitter.com/jorazem/status/1113156953528778754" TargetMode="External"/><Relationship Id="rId1394" Type="http://schemas.openxmlformats.org/officeDocument/2006/relationships/hyperlink" Target="http://twitter.com/All_insasa/status/1114094083675389957" TargetMode="External"/><Relationship Id="rId1699" Type="http://schemas.openxmlformats.org/officeDocument/2006/relationships/hyperlink" Target="http://twitter.com/martinluma/status/1114768507026268160" TargetMode="External"/><Relationship Id="rId2000" Type="http://schemas.openxmlformats.org/officeDocument/2006/relationships/hyperlink" Target="http://twitter.com/CarlosLGP7/status/1115417676640178176" TargetMode="External"/><Relationship Id="rId417" Type="http://schemas.openxmlformats.org/officeDocument/2006/relationships/hyperlink" Target="http://twitter.com/WayraNoticias/status/1112801074069598209" TargetMode="External"/><Relationship Id="rId624" Type="http://schemas.openxmlformats.org/officeDocument/2006/relationships/hyperlink" Target="http://twitter.com/rralbert/status/1112868594193448960" TargetMode="External"/><Relationship Id="rId831" Type="http://schemas.openxmlformats.org/officeDocument/2006/relationships/hyperlink" Target="http://twitter.com/arno_anibal/status/1112928257211543553" TargetMode="External"/><Relationship Id="rId1047" Type="http://schemas.openxmlformats.org/officeDocument/2006/relationships/hyperlink" Target="http://twitter.com/Richyf321/status/1113322540993318912" TargetMode="External"/><Relationship Id="rId1254" Type="http://schemas.openxmlformats.org/officeDocument/2006/relationships/hyperlink" Target="http://twitter.com/cercastel2014/status/1113822354063462400" TargetMode="External"/><Relationship Id="rId1461" Type="http://schemas.openxmlformats.org/officeDocument/2006/relationships/hyperlink" Target="http://twitter.com/littlejunkiee/status/1114252513920913410" TargetMode="External"/><Relationship Id="rId929" Type="http://schemas.openxmlformats.org/officeDocument/2006/relationships/hyperlink" Target="http://twitter.com/FelicianoGalvan/status/1113067619421106177" TargetMode="External"/><Relationship Id="rId1114" Type="http://schemas.openxmlformats.org/officeDocument/2006/relationships/hyperlink" Target="http://twitter.com/joneyjuana/status/1113459444157952017" TargetMode="External"/><Relationship Id="rId1321" Type="http://schemas.openxmlformats.org/officeDocument/2006/relationships/hyperlink" Target="http://twitter.com/PajueloManuel/status/1113970841916772352" TargetMode="External"/><Relationship Id="rId1559" Type="http://schemas.openxmlformats.org/officeDocument/2006/relationships/hyperlink" Target="http://twitter.com/mononoke74/status/1114470860822282240" TargetMode="External"/><Relationship Id="rId1766" Type="http://schemas.openxmlformats.org/officeDocument/2006/relationships/hyperlink" Target="http://twitter.com/celingarcia/status/1114923836716269573" TargetMode="External"/><Relationship Id="rId1973" Type="http://schemas.openxmlformats.org/officeDocument/2006/relationships/hyperlink" Target="http://twitter.com/Braulio37144716/status/1115356186767966208" TargetMode="External"/><Relationship Id="rId58" Type="http://schemas.openxmlformats.org/officeDocument/2006/relationships/hyperlink" Target="http://twitter.com/goomez/status/1112691211259789314" TargetMode="External"/><Relationship Id="rId1419" Type="http://schemas.openxmlformats.org/officeDocument/2006/relationships/hyperlink" Target="http://twitter.com/kearny2014/status/1114165379360858112" TargetMode="External"/><Relationship Id="rId1626" Type="http://schemas.openxmlformats.org/officeDocument/2006/relationships/hyperlink" Target="http://twitter.com/PanamericanaTV/status/1114622406667243520" TargetMode="External"/><Relationship Id="rId1833" Type="http://schemas.openxmlformats.org/officeDocument/2006/relationships/hyperlink" Target="http://twitter.com/shikakix/status/1115073898205339648" TargetMode="External"/><Relationship Id="rId1900" Type="http://schemas.openxmlformats.org/officeDocument/2006/relationships/hyperlink" Target="http://twitter.com/SadithLopezRios/status/1115196853677645824" TargetMode="External"/><Relationship Id="rId274" Type="http://schemas.openxmlformats.org/officeDocument/2006/relationships/hyperlink" Target="http://twitter.com/ExpresoPeru/status/1112758633715167234" TargetMode="External"/><Relationship Id="rId481" Type="http://schemas.openxmlformats.org/officeDocument/2006/relationships/hyperlink" Target="http://twitter.com/ultraclaw/status/1112823131079622656" TargetMode="External"/><Relationship Id="rId134" Type="http://schemas.openxmlformats.org/officeDocument/2006/relationships/hyperlink" Target="http://twitter.com/zicozocialvol2/status/1112716551692668933" TargetMode="External"/><Relationship Id="rId579" Type="http://schemas.openxmlformats.org/officeDocument/2006/relationships/hyperlink" Target="http://twitter.com/MovimientoM4/status/1112852360852901888" TargetMode="External"/><Relationship Id="rId786" Type="http://schemas.openxmlformats.org/officeDocument/2006/relationships/hyperlink" Target="http://twitter.com/luxito53/status/1112916291541757953" TargetMode="External"/><Relationship Id="rId993" Type="http://schemas.openxmlformats.org/officeDocument/2006/relationships/hyperlink" Target="http://twitter.com/josephbrinas/status/1113217233121972224" TargetMode="External"/><Relationship Id="rId341" Type="http://schemas.openxmlformats.org/officeDocument/2006/relationships/hyperlink" Target="http://twitter.com/eddyoe47/status/1112779146164363264" TargetMode="External"/><Relationship Id="rId439" Type="http://schemas.openxmlformats.org/officeDocument/2006/relationships/hyperlink" Target="http://twitter.com/Nea_97/status/1112805511659970560" TargetMode="External"/><Relationship Id="rId646" Type="http://schemas.openxmlformats.org/officeDocument/2006/relationships/hyperlink" Target="http://twitter.com/everreynosoh/status/1112877110048292864" TargetMode="External"/><Relationship Id="rId1069" Type="http://schemas.openxmlformats.org/officeDocument/2006/relationships/hyperlink" Target="http://twitter.com/2730Mera/status/1113346933555388416" TargetMode="External"/><Relationship Id="rId1276" Type="http://schemas.openxmlformats.org/officeDocument/2006/relationships/hyperlink" Target="http://twitter.com/homerorm7/status/1113851297571180547" TargetMode="External"/><Relationship Id="rId1483" Type="http://schemas.openxmlformats.org/officeDocument/2006/relationships/hyperlink" Target="http://twitter.com/noticiAmerica/status/1114288784529661957" TargetMode="External"/><Relationship Id="rId201" Type="http://schemas.openxmlformats.org/officeDocument/2006/relationships/hyperlink" Target="http://twitter.com/FELUCO17/status/1112739116020654080" TargetMode="External"/><Relationship Id="rId506" Type="http://schemas.openxmlformats.org/officeDocument/2006/relationships/hyperlink" Target="http://twitter.com/AlfonsodlTorre/status/1112831075418558467" TargetMode="External"/><Relationship Id="rId853" Type="http://schemas.openxmlformats.org/officeDocument/2006/relationships/hyperlink" Target="http://twitter.com/EduardoRino/status/1112935033801728000" TargetMode="External"/><Relationship Id="rId1136" Type="http://schemas.openxmlformats.org/officeDocument/2006/relationships/hyperlink" Target="http://twitter.com/Reards17/status/1113518095811981313" TargetMode="External"/><Relationship Id="rId1690" Type="http://schemas.openxmlformats.org/officeDocument/2006/relationships/hyperlink" Target="http://twitter.com/Ivammaru/status/1114764140093030400" TargetMode="External"/><Relationship Id="rId1788" Type="http://schemas.openxmlformats.org/officeDocument/2006/relationships/hyperlink" Target="http://twitter.com/ClynCampos/status/1114953808533233665" TargetMode="External"/><Relationship Id="rId1995" Type="http://schemas.openxmlformats.org/officeDocument/2006/relationships/hyperlink" Target="http://twitter.com/JuanBresciaBena/status/1115416887414939649" TargetMode="External"/><Relationship Id="rId713" Type="http://schemas.openxmlformats.org/officeDocument/2006/relationships/hyperlink" Target="http://twitter.com/Eugechif/status/1112894910234025984" TargetMode="External"/><Relationship Id="rId920" Type="http://schemas.openxmlformats.org/officeDocument/2006/relationships/hyperlink" Target="http://twitter.com/kaosinformatico/status/1113029639356723200" TargetMode="External"/><Relationship Id="rId1343" Type="http://schemas.openxmlformats.org/officeDocument/2006/relationships/hyperlink" Target="http://twitter.com/thomaspasivo/status/1113999866022256644" TargetMode="External"/><Relationship Id="rId1550" Type="http://schemas.openxmlformats.org/officeDocument/2006/relationships/hyperlink" Target="http://twitter.com/christianfunk04/status/1114432938538688512" TargetMode="External"/><Relationship Id="rId1648" Type="http://schemas.openxmlformats.org/officeDocument/2006/relationships/hyperlink" Target="http://twitter.com/PalmaGloria/status/1114680826514558977" TargetMode="External"/><Relationship Id="rId1203" Type="http://schemas.openxmlformats.org/officeDocument/2006/relationships/hyperlink" Target="http://twitter.com/victor_vizcardo/status/1113687437228826624" TargetMode="External"/><Relationship Id="rId1410" Type="http://schemas.openxmlformats.org/officeDocument/2006/relationships/hyperlink" Target="http://twitter.com/mangcer/status/1114137145302749184" TargetMode="External"/><Relationship Id="rId1508" Type="http://schemas.openxmlformats.org/officeDocument/2006/relationships/hyperlink" Target="http://twitter.com/luchotarazona2/status/1114346158640566277" TargetMode="External"/><Relationship Id="rId1855" Type="http://schemas.openxmlformats.org/officeDocument/2006/relationships/hyperlink" Target="http://twitter.com/MargaritaElia11/status/1115099917448634369" TargetMode="External"/><Relationship Id="rId1715" Type="http://schemas.openxmlformats.org/officeDocument/2006/relationships/hyperlink" Target="http://twitter.com/MikiRv51999/status/1114800761060380677" TargetMode="External"/><Relationship Id="rId1922" Type="http://schemas.openxmlformats.org/officeDocument/2006/relationships/hyperlink" Target="http://twitter.com/Jcn19_DJ/status/1115266827037417475" TargetMode="External"/><Relationship Id="rId296" Type="http://schemas.openxmlformats.org/officeDocument/2006/relationships/hyperlink" Target="http://twitter.com/Luisito08675936/status/1112765491624452097" TargetMode="External"/><Relationship Id="rId156" Type="http://schemas.openxmlformats.org/officeDocument/2006/relationships/hyperlink" Target="http://twitter.com/LlaczaGalarza/status/1112725736576745472" TargetMode="External"/><Relationship Id="rId363" Type="http://schemas.openxmlformats.org/officeDocument/2006/relationships/hyperlink" Target="http://twitter.com/hugo_eddi/status/1112785652381351937" TargetMode="External"/><Relationship Id="rId570" Type="http://schemas.openxmlformats.org/officeDocument/2006/relationships/hyperlink" Target="http://twitter.com/AlonzSilva/status/1112851029165527048" TargetMode="External"/><Relationship Id="rId223" Type="http://schemas.openxmlformats.org/officeDocument/2006/relationships/hyperlink" Target="http://twitter.com/guajiro1942/status/1112746846001209345" TargetMode="External"/><Relationship Id="rId430" Type="http://schemas.openxmlformats.org/officeDocument/2006/relationships/hyperlink" Target="http://twitter.com/primerafuente1/status/1112803251756433410" TargetMode="External"/><Relationship Id="rId668" Type="http://schemas.openxmlformats.org/officeDocument/2006/relationships/hyperlink" Target="http://twitter.com/aldov67/status/1112882394615480321" TargetMode="External"/><Relationship Id="rId875" Type="http://schemas.openxmlformats.org/officeDocument/2006/relationships/hyperlink" Target="http://twitter.com/humanoflima/status/1112942134938791936" TargetMode="External"/><Relationship Id="rId1060" Type="http://schemas.openxmlformats.org/officeDocument/2006/relationships/hyperlink" Target="http://twitter.com/AmesIvonne/status/1113329830995611648" TargetMode="External"/><Relationship Id="rId1298" Type="http://schemas.openxmlformats.org/officeDocument/2006/relationships/hyperlink" Target="http://twitter.com/Inka_Awki_Capac/status/1113911786569388034" TargetMode="External"/><Relationship Id="rId528" Type="http://schemas.openxmlformats.org/officeDocument/2006/relationships/hyperlink" Target="http://twitter.com/TimothyWray4/status/1112838207941558272" TargetMode="External"/><Relationship Id="rId735" Type="http://schemas.openxmlformats.org/officeDocument/2006/relationships/hyperlink" Target="http://twitter.com/jo22_9739/status/1112902134524149761" TargetMode="External"/><Relationship Id="rId942" Type="http://schemas.openxmlformats.org/officeDocument/2006/relationships/hyperlink" Target="http://twitter.com/OswaldoOtoya/status/1113096153271160832" TargetMode="External"/><Relationship Id="rId1158" Type="http://schemas.openxmlformats.org/officeDocument/2006/relationships/hyperlink" Target="http://twitter.com/OZapat1/status/1113611108227665922" TargetMode="External"/><Relationship Id="rId1365" Type="http://schemas.openxmlformats.org/officeDocument/2006/relationships/hyperlink" Target="http://twitter.com/F_Ghilardi/status/1114037573226246144" TargetMode="External"/><Relationship Id="rId1572" Type="http://schemas.openxmlformats.org/officeDocument/2006/relationships/hyperlink" Target="http://twitter.com/amesacha/status/1114500764951633921" TargetMode="External"/><Relationship Id="rId1018" Type="http://schemas.openxmlformats.org/officeDocument/2006/relationships/hyperlink" Target="http://twitter.com/xafu/status/1113248326198099968" TargetMode="External"/><Relationship Id="rId1225" Type="http://schemas.openxmlformats.org/officeDocument/2006/relationships/hyperlink" Target="http://twitter.com/PEDRO_VASQUEZ27/status/1113746379854221312" TargetMode="External"/><Relationship Id="rId1432" Type="http://schemas.openxmlformats.org/officeDocument/2006/relationships/hyperlink" Target="http://twitter.com/maga_regue/status/1114192387801276417" TargetMode="External"/><Relationship Id="rId1877" Type="http://schemas.openxmlformats.org/officeDocument/2006/relationships/hyperlink" Target="http://twitter.com/exitosape/status/1115138860105777152" TargetMode="External"/><Relationship Id="rId71" Type="http://schemas.openxmlformats.org/officeDocument/2006/relationships/hyperlink" Target="http://twitter.com/MarthaChavezC/status/1112695555132669952" TargetMode="External"/><Relationship Id="rId802" Type="http://schemas.openxmlformats.org/officeDocument/2006/relationships/hyperlink" Target="http://twitter.com/JCSC41/status/1112921394961149952" TargetMode="External"/><Relationship Id="rId1737" Type="http://schemas.openxmlformats.org/officeDocument/2006/relationships/hyperlink" Target="http://twitter.com/HenryRa28091268/status/1114864283052138496" TargetMode="External"/><Relationship Id="rId1944" Type="http://schemas.openxmlformats.org/officeDocument/2006/relationships/hyperlink" Target="http://twitter.com/aaronbenitezz/status/1115296855179583494" TargetMode="External"/><Relationship Id="rId29" Type="http://schemas.openxmlformats.org/officeDocument/2006/relationships/hyperlink" Target="http://twitter.com/marlebenavid/status/1112682011569934337" TargetMode="External"/><Relationship Id="rId178" Type="http://schemas.openxmlformats.org/officeDocument/2006/relationships/hyperlink" Target="http://twitter.com/anatari33/status/1112730705883205633" TargetMode="External"/><Relationship Id="rId1804" Type="http://schemas.openxmlformats.org/officeDocument/2006/relationships/hyperlink" Target="http://twitter.com/soyladiestra/status/1115014167222730756" TargetMode="External"/><Relationship Id="rId385" Type="http://schemas.openxmlformats.org/officeDocument/2006/relationships/hyperlink" Target="http://twitter.com/LimaAlDia/status/1112788849044983808" TargetMode="External"/><Relationship Id="rId592" Type="http://schemas.openxmlformats.org/officeDocument/2006/relationships/hyperlink" Target="http://twitter.com/pedrofrancke/status/1112856241586532354" TargetMode="External"/><Relationship Id="rId245" Type="http://schemas.openxmlformats.org/officeDocument/2006/relationships/hyperlink" Target="http://twitter.com/SEMANAeconomica/status/1112750483817541632" TargetMode="External"/><Relationship Id="rId452" Type="http://schemas.openxmlformats.org/officeDocument/2006/relationships/hyperlink" Target="http://twitter.com/PabloRiojaCueva/status/1112810062840463361" TargetMode="External"/><Relationship Id="rId897" Type="http://schemas.openxmlformats.org/officeDocument/2006/relationships/hyperlink" Target="http://twitter.com/dillovaldes/status/1112979474080034817" TargetMode="External"/><Relationship Id="rId1082" Type="http://schemas.openxmlformats.org/officeDocument/2006/relationships/hyperlink" Target="http://twitter.com/exitosape/status/1113382552801300480" TargetMode="External"/><Relationship Id="rId105" Type="http://schemas.openxmlformats.org/officeDocument/2006/relationships/hyperlink" Target="http://twitter.com/guillecitosan/status/1112706785855574016" TargetMode="External"/><Relationship Id="rId312" Type="http://schemas.openxmlformats.org/officeDocument/2006/relationships/hyperlink" Target="http://twitter.com/PedroMartinIQT/status/1112768580041564167" TargetMode="External"/><Relationship Id="rId757" Type="http://schemas.openxmlformats.org/officeDocument/2006/relationships/hyperlink" Target="http://twitter.com/marissamcdd/status/1112907153164156929" TargetMode="External"/><Relationship Id="rId964" Type="http://schemas.openxmlformats.org/officeDocument/2006/relationships/hyperlink" Target="http://twitter.com/ErickDiax/status/1113155496826023937" TargetMode="External"/><Relationship Id="rId1387" Type="http://schemas.openxmlformats.org/officeDocument/2006/relationships/hyperlink" Target="http://twitter.com/willyvmr/status/1114056382368497664" TargetMode="External"/><Relationship Id="rId1594" Type="http://schemas.openxmlformats.org/officeDocument/2006/relationships/hyperlink" Target="http://twitter.com/CaptainDxnvrs/status/1114533053299396620" TargetMode="External"/><Relationship Id="rId93" Type="http://schemas.openxmlformats.org/officeDocument/2006/relationships/hyperlink" Target="http://twitter.com/asfacoba/status/1112703653465505792" TargetMode="External"/><Relationship Id="rId617" Type="http://schemas.openxmlformats.org/officeDocument/2006/relationships/hyperlink" Target="http://twitter.com/rgalarreta/status/1112864653976236032" TargetMode="External"/><Relationship Id="rId824" Type="http://schemas.openxmlformats.org/officeDocument/2006/relationships/hyperlink" Target="http://twitter.com/DoreliDeca/status/1112926393967566848" TargetMode="External"/><Relationship Id="rId1247" Type="http://schemas.openxmlformats.org/officeDocument/2006/relationships/hyperlink" Target="http://twitter.com/vmgc2506/status/1113791560993341442" TargetMode="External"/><Relationship Id="rId1454" Type="http://schemas.openxmlformats.org/officeDocument/2006/relationships/hyperlink" Target="http://twitter.com/vcabalg/status/1114225157688553472" TargetMode="External"/><Relationship Id="rId1661" Type="http://schemas.openxmlformats.org/officeDocument/2006/relationships/hyperlink" Target="http://twitter.com/Las_Chiquititas/status/1114713580421701632" TargetMode="External"/><Relationship Id="rId1899" Type="http://schemas.openxmlformats.org/officeDocument/2006/relationships/hyperlink" Target="http://twitter.com/bisha699/status/1115195644224741377" TargetMode="External"/><Relationship Id="rId1107" Type="http://schemas.openxmlformats.org/officeDocument/2006/relationships/hyperlink" Target="http://twitter.com/El_Gran_Angular/status/1113431104554524676" TargetMode="External"/><Relationship Id="rId1314" Type="http://schemas.openxmlformats.org/officeDocument/2006/relationships/hyperlink" Target="http://twitter.com/kuervito76/status/1113943292956303362" TargetMode="External"/><Relationship Id="rId1521" Type="http://schemas.openxmlformats.org/officeDocument/2006/relationships/hyperlink" Target="http://twitter.com/juliussobrino/status/1114372677077282818" TargetMode="External"/><Relationship Id="rId1759" Type="http://schemas.openxmlformats.org/officeDocument/2006/relationships/hyperlink" Target="http://twitter.com/btsartists_/status/1114895095801708546" TargetMode="External"/><Relationship Id="rId1966" Type="http://schemas.openxmlformats.org/officeDocument/2006/relationships/hyperlink" Target="http://twitter.com/Arroba_TVPERU/status/1115355383416094723" TargetMode="External"/><Relationship Id="rId1619" Type="http://schemas.openxmlformats.org/officeDocument/2006/relationships/hyperlink" Target="http://twitter.com/ArroyoRocio23/status/1114592055194464257" TargetMode="External"/><Relationship Id="rId1826" Type="http://schemas.openxmlformats.org/officeDocument/2006/relationships/hyperlink" Target="http://twitter.com/josemargsilva/status/1115042443785842688" TargetMode="External"/><Relationship Id="rId20" Type="http://schemas.openxmlformats.org/officeDocument/2006/relationships/hyperlink" Target="http://twitter.com/hablamibarrunto/status/1112680600224350210" TargetMode="External"/><Relationship Id="rId267" Type="http://schemas.openxmlformats.org/officeDocument/2006/relationships/hyperlink" Target="http://twitter.com/luivillan/status/1112757808821354496" TargetMode="External"/><Relationship Id="rId474" Type="http://schemas.openxmlformats.org/officeDocument/2006/relationships/hyperlink" Target="http://twitter.com/amalia_saldana/status/1112821778571702272" TargetMode="External"/><Relationship Id="rId127" Type="http://schemas.openxmlformats.org/officeDocument/2006/relationships/hyperlink" Target="http://twitter.com/lucianolopez27/status/1112712880753950722" TargetMode="External"/><Relationship Id="rId681" Type="http://schemas.openxmlformats.org/officeDocument/2006/relationships/hyperlink" Target="http://twitter.com/Kalin_gl/status/1112887428891770880" TargetMode="External"/><Relationship Id="rId779" Type="http://schemas.openxmlformats.org/officeDocument/2006/relationships/hyperlink" Target="http://twitter.com/CBiminchumo/status/1112913736115867648" TargetMode="External"/><Relationship Id="rId986" Type="http://schemas.openxmlformats.org/officeDocument/2006/relationships/hyperlink" Target="http://twitter.com/Gestionpe/status/1113187760096055297" TargetMode="External"/><Relationship Id="rId334" Type="http://schemas.openxmlformats.org/officeDocument/2006/relationships/hyperlink" Target="http://twitter.com/Steffenbryson/status/1112777362201038848" TargetMode="External"/><Relationship Id="rId541" Type="http://schemas.openxmlformats.org/officeDocument/2006/relationships/hyperlink" Target="http://twitter.com/Antonio64332896/status/1112841763650260992" TargetMode="External"/><Relationship Id="rId639" Type="http://schemas.openxmlformats.org/officeDocument/2006/relationships/hyperlink" Target="http://twitter.com/malita0550/status/1112874080833814528" TargetMode="External"/><Relationship Id="rId1171" Type="http://schemas.openxmlformats.org/officeDocument/2006/relationships/hyperlink" Target="http://twitter.com/Gustavo61818090/status/1113639212627181569" TargetMode="External"/><Relationship Id="rId1269" Type="http://schemas.openxmlformats.org/officeDocument/2006/relationships/hyperlink" Target="http://twitter.com/kuervito76/status/1113850777104191489" TargetMode="External"/><Relationship Id="rId1476" Type="http://schemas.openxmlformats.org/officeDocument/2006/relationships/hyperlink" Target="http://twitter.com/Pepepalaciosc/status/1114287250639134720" TargetMode="External"/><Relationship Id="rId401" Type="http://schemas.openxmlformats.org/officeDocument/2006/relationships/hyperlink" Target="http://twitter.com/xpotrader/status/1112792692122157058" TargetMode="External"/><Relationship Id="rId846" Type="http://schemas.openxmlformats.org/officeDocument/2006/relationships/hyperlink" Target="http://twitter.com/mapamepa66/status/1112933601564418048" TargetMode="External"/><Relationship Id="rId1031" Type="http://schemas.openxmlformats.org/officeDocument/2006/relationships/hyperlink" Target="http://twitter.com/MijaelGLP/status/1113301036192677888" TargetMode="External"/><Relationship Id="rId1129" Type="http://schemas.openxmlformats.org/officeDocument/2006/relationships/hyperlink" Target="http://twitter.com/patriciareategu/status/1113489641796141057" TargetMode="External"/><Relationship Id="rId1683" Type="http://schemas.openxmlformats.org/officeDocument/2006/relationships/hyperlink" Target="http://twitter.com/rgonzalesm/status/1114742543391035392" TargetMode="External"/><Relationship Id="rId1890" Type="http://schemas.openxmlformats.org/officeDocument/2006/relationships/hyperlink" Target="http://twitter.com/anngie0902/status/1115158335152476160" TargetMode="External"/><Relationship Id="rId1988" Type="http://schemas.openxmlformats.org/officeDocument/2006/relationships/hyperlink" Target="http://twitter.com/kuervito76/status/1115387778404093952" TargetMode="External"/><Relationship Id="rId706" Type="http://schemas.openxmlformats.org/officeDocument/2006/relationships/hyperlink" Target="http://twitter.com/harlangar/status/1112893049670197248" TargetMode="External"/><Relationship Id="rId913" Type="http://schemas.openxmlformats.org/officeDocument/2006/relationships/hyperlink" Target="http://twitter.com/IGFrance/status/1113027539377754112" TargetMode="External"/><Relationship Id="rId1336" Type="http://schemas.openxmlformats.org/officeDocument/2006/relationships/hyperlink" Target="http://twitter.com/BarMarquina/status/1113997628235075584" TargetMode="External"/><Relationship Id="rId1543" Type="http://schemas.openxmlformats.org/officeDocument/2006/relationships/hyperlink" Target="http://twitter.com/takkyyon/status/1114429270636601344" TargetMode="External"/><Relationship Id="rId1750" Type="http://schemas.openxmlformats.org/officeDocument/2006/relationships/hyperlink" Target="http://twitter.com/CristinaNoyes/status/1114894650093993984" TargetMode="External"/><Relationship Id="rId42" Type="http://schemas.openxmlformats.org/officeDocument/2006/relationships/hyperlink" Target="http://twitter.com/Peru_Noticias/status/1112685630142713857" TargetMode="External"/><Relationship Id="rId1403" Type="http://schemas.openxmlformats.org/officeDocument/2006/relationships/hyperlink" Target="http://twitter.com/CarlosCrisanto9/status/1114133762554638337" TargetMode="External"/><Relationship Id="rId1610" Type="http://schemas.openxmlformats.org/officeDocument/2006/relationships/hyperlink" Target="http://twitter.com/Publimetrope/status/1114589312996212737" TargetMode="External"/><Relationship Id="rId1848" Type="http://schemas.openxmlformats.org/officeDocument/2006/relationships/hyperlink" Target="http://twitter.com/Omar_Pinedo/status/1115098154649698304" TargetMode="External"/><Relationship Id="rId191" Type="http://schemas.openxmlformats.org/officeDocument/2006/relationships/hyperlink" Target="http://twitter.com/gansa59/status/1112734616404799488" TargetMode="External"/><Relationship Id="rId1708" Type="http://schemas.openxmlformats.org/officeDocument/2006/relationships/hyperlink" Target="http://twitter.com/DavidJonnees/status/1114798932075450369" TargetMode="External"/><Relationship Id="rId1915" Type="http://schemas.openxmlformats.org/officeDocument/2006/relationships/hyperlink" Target="http://twitter.com/mponceg16/status/1115235690474692608" TargetMode="External"/><Relationship Id="rId289" Type="http://schemas.openxmlformats.org/officeDocument/2006/relationships/hyperlink" Target="http://twitter.com/TitoDelPielago/status/1112762505577807873" TargetMode="External"/><Relationship Id="rId496" Type="http://schemas.openxmlformats.org/officeDocument/2006/relationships/hyperlink" Target="http://twitter.com/radio_santarosa/status/1112828583179898880" TargetMode="External"/><Relationship Id="rId149" Type="http://schemas.openxmlformats.org/officeDocument/2006/relationships/hyperlink" Target="http://twitter.com/CGarciaRosellB/status/1112722841936498691" TargetMode="External"/><Relationship Id="rId356" Type="http://schemas.openxmlformats.org/officeDocument/2006/relationships/hyperlink" Target="http://twitter.com/JMAURICIO846/status/1112782119900798977" TargetMode="External"/><Relationship Id="rId563" Type="http://schemas.openxmlformats.org/officeDocument/2006/relationships/hyperlink" Target="http://twitter.com/OZapat1/status/1112849328933138432" TargetMode="External"/><Relationship Id="rId770" Type="http://schemas.openxmlformats.org/officeDocument/2006/relationships/hyperlink" Target="http://twitter.com/Jess77962565/status/1112911626582228994" TargetMode="External"/><Relationship Id="rId1193" Type="http://schemas.openxmlformats.org/officeDocument/2006/relationships/hyperlink" Target="http://twitter.com/m1lt0n/status/1113669276303593472" TargetMode="External"/><Relationship Id="rId216" Type="http://schemas.openxmlformats.org/officeDocument/2006/relationships/hyperlink" Target="http://twitter.com/jdeechave/status/1112742212876550144" TargetMode="External"/><Relationship Id="rId423" Type="http://schemas.openxmlformats.org/officeDocument/2006/relationships/hyperlink" Target="http://twitter.com/Tanya_BamBas/status/1112802766521593858" TargetMode="External"/><Relationship Id="rId868" Type="http://schemas.openxmlformats.org/officeDocument/2006/relationships/hyperlink" Target="http://twitter.com/Rosario52759526/status/1112938264745390081" TargetMode="External"/><Relationship Id="rId1053" Type="http://schemas.openxmlformats.org/officeDocument/2006/relationships/hyperlink" Target="http://twitter.com/paulgriffiths46/status/1113327444575096832" TargetMode="External"/><Relationship Id="rId1260" Type="http://schemas.openxmlformats.org/officeDocument/2006/relationships/hyperlink" Target="http://twitter.com/cercastel2014/status/1113822686743072768" TargetMode="External"/><Relationship Id="rId1498" Type="http://schemas.openxmlformats.org/officeDocument/2006/relationships/hyperlink" Target="http://twitter.com/itsniallgrier/status/1114319313840803840" TargetMode="External"/><Relationship Id="rId630" Type="http://schemas.openxmlformats.org/officeDocument/2006/relationships/hyperlink" Target="http://twitter.com/juju_lyana/status/1112871960034332672" TargetMode="External"/><Relationship Id="rId728" Type="http://schemas.openxmlformats.org/officeDocument/2006/relationships/hyperlink" Target="http://twitter.com/MarisolCovarru9/status/1112901044529455108" TargetMode="External"/><Relationship Id="rId935" Type="http://schemas.openxmlformats.org/officeDocument/2006/relationships/hyperlink" Target="http://twitter.com/LitaReyesDoria1/status/1113068298843828225" TargetMode="External"/><Relationship Id="rId1358" Type="http://schemas.openxmlformats.org/officeDocument/2006/relationships/hyperlink" Target="http://twitter.com/elcomercio_peru/status/1114029898786426880" TargetMode="External"/><Relationship Id="rId1565" Type="http://schemas.openxmlformats.org/officeDocument/2006/relationships/hyperlink" Target="http://twitter.com/Chekpasabaneado/status/1114471420338348032" TargetMode="External"/><Relationship Id="rId1772" Type="http://schemas.openxmlformats.org/officeDocument/2006/relationships/hyperlink" Target="http://twitter.com/juancar23432181/status/1114924287088123906" TargetMode="External"/><Relationship Id="rId64" Type="http://schemas.openxmlformats.org/officeDocument/2006/relationships/hyperlink" Target="http://twitter.com/pfe_eduardo/status/1112693556408434690" TargetMode="External"/><Relationship Id="rId1120" Type="http://schemas.openxmlformats.org/officeDocument/2006/relationships/hyperlink" Target="http://twitter.com/lecorbucier6838/status/1113460394629193728" TargetMode="External"/><Relationship Id="rId1218" Type="http://schemas.openxmlformats.org/officeDocument/2006/relationships/hyperlink" Target="http://twitter.com/capdesur0/status/1113705788814635008" TargetMode="External"/><Relationship Id="rId1425" Type="http://schemas.openxmlformats.org/officeDocument/2006/relationships/hyperlink" Target="http://twitter.com/notoriusmatsuda/status/1114166186005155840" TargetMode="External"/><Relationship Id="rId1632" Type="http://schemas.openxmlformats.org/officeDocument/2006/relationships/hyperlink" Target="http://twitter.com/NotSowilo/status/1114623255380406272" TargetMode="External"/><Relationship Id="rId1937" Type="http://schemas.openxmlformats.org/officeDocument/2006/relationships/hyperlink" Target="http://twitter.com/SonidoErrante/status/1115295661493301248" TargetMode="External"/><Relationship Id="rId280" Type="http://schemas.openxmlformats.org/officeDocument/2006/relationships/hyperlink" Target="http://twitter.com/trotnavegante/status/1112760939168874500" TargetMode="External"/><Relationship Id="rId140" Type="http://schemas.openxmlformats.org/officeDocument/2006/relationships/hyperlink" Target="http://twitter.com/ParkerMitcham/status/1112717056158457857" TargetMode="External"/><Relationship Id="rId378" Type="http://schemas.openxmlformats.org/officeDocument/2006/relationships/hyperlink" Target="http://twitter.com/CheCarolo/status/1112788183975186434" TargetMode="External"/><Relationship Id="rId585" Type="http://schemas.openxmlformats.org/officeDocument/2006/relationships/hyperlink" Target="http://twitter.com/FedericoPFE/status/1112853869569171456" TargetMode="External"/><Relationship Id="rId792" Type="http://schemas.openxmlformats.org/officeDocument/2006/relationships/hyperlink" Target="http://twitter.com/freddyalianza8/status/1112918792580055040" TargetMode="External"/><Relationship Id="rId6" Type="http://schemas.openxmlformats.org/officeDocument/2006/relationships/hyperlink" Target="http://twitter.com/a_sc62/status/1112677106553679873" TargetMode="External"/><Relationship Id="rId238" Type="http://schemas.openxmlformats.org/officeDocument/2006/relationships/hyperlink" Target="http://twitter.com/CsargutiCesar/status/1112750293232611328" TargetMode="External"/><Relationship Id="rId445" Type="http://schemas.openxmlformats.org/officeDocument/2006/relationships/hyperlink" Target="http://twitter.com/davidreyesz/status/1112808971365179392" TargetMode="External"/><Relationship Id="rId652" Type="http://schemas.openxmlformats.org/officeDocument/2006/relationships/hyperlink" Target="http://twitter.com/wizagp/status/1112878394541260801" TargetMode="External"/><Relationship Id="rId1075" Type="http://schemas.openxmlformats.org/officeDocument/2006/relationships/hyperlink" Target="http://twitter.com/Wolfdruida/status/1113357256702214144" TargetMode="External"/><Relationship Id="rId1282" Type="http://schemas.openxmlformats.org/officeDocument/2006/relationships/hyperlink" Target="http://twitter.com/RGersonLC/status/1113883644840558592" TargetMode="External"/><Relationship Id="rId305" Type="http://schemas.openxmlformats.org/officeDocument/2006/relationships/hyperlink" Target="http://twitter.com/mleondecespedes/status/1112767644715937792" TargetMode="External"/><Relationship Id="rId512" Type="http://schemas.openxmlformats.org/officeDocument/2006/relationships/hyperlink" Target="http://twitter.com/miquelmarin/status/1112831776433606656" TargetMode="External"/><Relationship Id="rId957" Type="http://schemas.openxmlformats.org/officeDocument/2006/relationships/hyperlink" Target="http://twitter.com/Maritza67335907/status/1113126817756573696" TargetMode="External"/><Relationship Id="rId1142" Type="http://schemas.openxmlformats.org/officeDocument/2006/relationships/hyperlink" Target="http://twitter.com/ESNAVARRO32/status/1113519570302767107" TargetMode="External"/><Relationship Id="rId1587" Type="http://schemas.openxmlformats.org/officeDocument/2006/relationships/hyperlink" Target="http://twitter.com/marinaftsrm/status/1114532593691705344" TargetMode="External"/><Relationship Id="rId1794" Type="http://schemas.openxmlformats.org/officeDocument/2006/relationships/hyperlink" Target="http://twitter.com/Gestionpe/status/1114983004974264326" TargetMode="External"/><Relationship Id="rId86" Type="http://schemas.openxmlformats.org/officeDocument/2006/relationships/hyperlink" Target="http://twitter.com/NoLobistas/status/1112700686590984194" TargetMode="External"/><Relationship Id="rId817" Type="http://schemas.openxmlformats.org/officeDocument/2006/relationships/hyperlink" Target="http://twitter.com/Alicia94784200/status/1112925843209273345" TargetMode="External"/><Relationship Id="rId1002" Type="http://schemas.openxmlformats.org/officeDocument/2006/relationships/hyperlink" Target="http://twitter.com/JorgeEv27674587/status/1113219288645533696" TargetMode="External"/><Relationship Id="rId1447" Type="http://schemas.openxmlformats.org/officeDocument/2006/relationships/hyperlink" Target="http://twitter.com/caldodegallina_/status/1114223620862173184" TargetMode="External"/><Relationship Id="rId1654" Type="http://schemas.openxmlformats.org/officeDocument/2006/relationships/hyperlink" Target="http://twitter.com/AceSalaverry/status/1114681752671457280" TargetMode="External"/><Relationship Id="rId1861" Type="http://schemas.openxmlformats.org/officeDocument/2006/relationships/hyperlink" Target="http://twitter.com/thalitadepaiva1/status/1115128451894325249" TargetMode="External"/><Relationship Id="rId1307" Type="http://schemas.openxmlformats.org/officeDocument/2006/relationships/hyperlink" Target="http://twitter.com/ronald_3rs/status/1113942022728114176" TargetMode="External"/><Relationship Id="rId1514" Type="http://schemas.openxmlformats.org/officeDocument/2006/relationships/hyperlink" Target="http://twitter.com/Geaafamily/status/1114370529228619777" TargetMode="External"/><Relationship Id="rId1721" Type="http://schemas.openxmlformats.org/officeDocument/2006/relationships/hyperlink" Target="http://twitter.com/teresaarbulu/status/1114830044260634625" TargetMode="External"/><Relationship Id="rId1959" Type="http://schemas.openxmlformats.org/officeDocument/2006/relationships/hyperlink" Target="http://twitter.com/larepublica_pe/status/1115327687445368832" TargetMode="External"/><Relationship Id="rId13" Type="http://schemas.openxmlformats.org/officeDocument/2006/relationships/hyperlink" Target="http://twitter.com/yanaurpi1/status/1112678571619876864" TargetMode="External"/><Relationship Id="rId1819" Type="http://schemas.openxmlformats.org/officeDocument/2006/relationships/hyperlink" Target="http://twitter.com/eduardoguerrah/status/1115041897679028224" TargetMode="External"/><Relationship Id="rId162" Type="http://schemas.openxmlformats.org/officeDocument/2006/relationships/hyperlink" Target="http://twitter.com/kausachumperu/status/1112726114609303553" TargetMode="External"/><Relationship Id="rId467" Type="http://schemas.openxmlformats.org/officeDocument/2006/relationships/hyperlink" Target="http://twitter.com/SEMANAeconomica/status/1112815419054751746" TargetMode="External"/><Relationship Id="rId1097" Type="http://schemas.openxmlformats.org/officeDocument/2006/relationships/hyperlink" Target="http://twitter.com/alfatrionn/status/1113429255248056322" TargetMode="External"/><Relationship Id="rId674" Type="http://schemas.openxmlformats.org/officeDocument/2006/relationships/hyperlink" Target="http://twitter.com/kamajara/status/1112885174251876352" TargetMode="External"/><Relationship Id="rId881" Type="http://schemas.openxmlformats.org/officeDocument/2006/relationships/hyperlink" Target="http://twitter.com/zarccodog/status/1112943340666961920" TargetMode="External"/><Relationship Id="rId979" Type="http://schemas.openxmlformats.org/officeDocument/2006/relationships/hyperlink" Target="http://twitter.com/aljao_/status/1113185982793310208" TargetMode="External"/><Relationship Id="rId327" Type="http://schemas.openxmlformats.org/officeDocument/2006/relationships/hyperlink" Target="http://twitter.com/christiansoto77/status/1112776269345820672" TargetMode="External"/><Relationship Id="rId534" Type="http://schemas.openxmlformats.org/officeDocument/2006/relationships/hyperlink" Target="http://twitter.com/ISRAELQUIROZI/status/1112839188343214081" TargetMode="External"/><Relationship Id="rId741" Type="http://schemas.openxmlformats.org/officeDocument/2006/relationships/hyperlink" Target="http://twitter.com/GuidoLeri/status/1112903714036113408" TargetMode="External"/><Relationship Id="rId839" Type="http://schemas.openxmlformats.org/officeDocument/2006/relationships/hyperlink" Target="http://twitter.com/alexand54508580/status/1112929869850206208" TargetMode="External"/><Relationship Id="rId1164" Type="http://schemas.openxmlformats.org/officeDocument/2006/relationships/hyperlink" Target="http://twitter.com/AliciARojas/status/1113611923839442944" TargetMode="External"/><Relationship Id="rId1371" Type="http://schemas.openxmlformats.org/officeDocument/2006/relationships/hyperlink" Target="http://twitter.com/mRsPozo1/status/1114039460520394752" TargetMode="External"/><Relationship Id="rId1469" Type="http://schemas.openxmlformats.org/officeDocument/2006/relationships/hyperlink" Target="http://twitter.com/FelipeM24898154/status/1114254169936945159" TargetMode="External"/><Relationship Id="rId601" Type="http://schemas.openxmlformats.org/officeDocument/2006/relationships/hyperlink" Target="http://twitter.com/denisantinori/status/1112860401472028673" TargetMode="External"/><Relationship Id="rId1024" Type="http://schemas.openxmlformats.org/officeDocument/2006/relationships/hyperlink" Target="http://twitter.com/3soj68/status/1113277301259591680" TargetMode="External"/><Relationship Id="rId1231" Type="http://schemas.openxmlformats.org/officeDocument/2006/relationships/hyperlink" Target="http://twitter.com/lcbcasbo/status/1113749074728108032" TargetMode="External"/><Relationship Id="rId1676" Type="http://schemas.openxmlformats.org/officeDocument/2006/relationships/hyperlink" Target="http://twitter.com/gcb9222/status/1114741646078431233" TargetMode="External"/><Relationship Id="rId1883" Type="http://schemas.openxmlformats.org/officeDocument/2006/relationships/hyperlink" Target="http://twitter.com/CheCarolo/status/1115140757005000704" TargetMode="External"/><Relationship Id="rId906" Type="http://schemas.openxmlformats.org/officeDocument/2006/relationships/hyperlink" Target="http://twitter.com/kardiffkev/status/1112996839534530560" TargetMode="External"/><Relationship Id="rId1329" Type="http://schemas.openxmlformats.org/officeDocument/2006/relationships/hyperlink" Target="http://twitter.com/Efrasobe/status/1113972731027107841" TargetMode="External"/><Relationship Id="rId1536" Type="http://schemas.openxmlformats.org/officeDocument/2006/relationships/hyperlink" Target="http://twitter.com/kageyemo/status/1114399593876328448" TargetMode="External"/><Relationship Id="rId1743" Type="http://schemas.openxmlformats.org/officeDocument/2006/relationships/hyperlink" Target="http://twitter.com/PopiPopito/status/1114864617421930496" TargetMode="External"/><Relationship Id="rId1950" Type="http://schemas.openxmlformats.org/officeDocument/2006/relationships/hyperlink" Target="http://twitter.com/Publimetrope/status/1115325939150249985" TargetMode="External"/><Relationship Id="rId35" Type="http://schemas.openxmlformats.org/officeDocument/2006/relationships/hyperlink" Target="http://twitter.com/mepz100/status/1112684792712257537" TargetMode="External"/><Relationship Id="rId1603" Type="http://schemas.openxmlformats.org/officeDocument/2006/relationships/hyperlink" Target="http://twitter.com/HERAL07/status/1114562939795722241" TargetMode="External"/><Relationship Id="rId1810" Type="http://schemas.openxmlformats.org/officeDocument/2006/relationships/hyperlink" Target="http://twitter.com/Homegwarts/status/1115015315430232064" TargetMode="External"/><Relationship Id="rId184" Type="http://schemas.openxmlformats.org/officeDocument/2006/relationships/hyperlink" Target="http://twitter.com/milanta/status/1112733790441492482" TargetMode="External"/><Relationship Id="rId391" Type="http://schemas.openxmlformats.org/officeDocument/2006/relationships/hyperlink" Target="http://twitter.com/PPKbancada/status/1112790932749901824" TargetMode="External"/><Relationship Id="rId1908" Type="http://schemas.openxmlformats.org/officeDocument/2006/relationships/hyperlink" Target="http://twitter.com/otreborpretell/status/1115199704126509063" TargetMode="External"/><Relationship Id="rId251" Type="http://schemas.openxmlformats.org/officeDocument/2006/relationships/hyperlink" Target="http://twitter.com/peruenlanoticia/status/1112753971700080640" TargetMode="External"/><Relationship Id="rId489" Type="http://schemas.openxmlformats.org/officeDocument/2006/relationships/hyperlink" Target="http://twitter.com/PepeluxoG/status/1112827979128815616" TargetMode="External"/><Relationship Id="rId696" Type="http://schemas.openxmlformats.org/officeDocument/2006/relationships/hyperlink" Target="http://twitter.com/vvigilante/status/1112890939389997057" TargetMode="External"/><Relationship Id="rId349" Type="http://schemas.openxmlformats.org/officeDocument/2006/relationships/hyperlink" Target="http://twitter.com/JeanettPetrosi2/status/1112780773017489409" TargetMode="External"/><Relationship Id="rId556" Type="http://schemas.openxmlformats.org/officeDocument/2006/relationships/hyperlink" Target="http://twitter.com/AceSalaverry/status/1112848595873644545" TargetMode="External"/><Relationship Id="rId763" Type="http://schemas.openxmlformats.org/officeDocument/2006/relationships/hyperlink" Target="http://twitter.com/VinelliU/status/1112909293991411714" TargetMode="External"/><Relationship Id="rId1186" Type="http://schemas.openxmlformats.org/officeDocument/2006/relationships/hyperlink" Target="http://twitter.com/WilfredoSaave11/status/1113666106865139713" TargetMode="External"/><Relationship Id="rId1393" Type="http://schemas.openxmlformats.org/officeDocument/2006/relationships/hyperlink" Target="http://twitter.com/lwtnsong/status/1114093061599109122" TargetMode="External"/><Relationship Id="rId111" Type="http://schemas.openxmlformats.org/officeDocument/2006/relationships/hyperlink" Target="http://twitter.com/RadioNacionalFM/status/1112707537609125894" TargetMode="External"/><Relationship Id="rId209" Type="http://schemas.openxmlformats.org/officeDocument/2006/relationships/hyperlink" Target="http://twitter.com/CharlesAtauje/status/1112741579058491392" TargetMode="External"/><Relationship Id="rId416" Type="http://schemas.openxmlformats.org/officeDocument/2006/relationships/hyperlink" Target="http://twitter.com/Debora_Frank/status/1112800928980238336" TargetMode="External"/><Relationship Id="rId970" Type="http://schemas.openxmlformats.org/officeDocument/2006/relationships/hyperlink" Target="http://twitter.com/ARTUROLOAYZA3/status/1113156707427995648" TargetMode="External"/><Relationship Id="rId1046" Type="http://schemas.openxmlformats.org/officeDocument/2006/relationships/hyperlink" Target="http://twitter.com/Richyf321/status/1113322470654738432" TargetMode="External"/><Relationship Id="rId1253" Type="http://schemas.openxmlformats.org/officeDocument/2006/relationships/hyperlink" Target="http://twitter.com/ClaudiaRojasMe/status/1113822310564335617" TargetMode="External"/><Relationship Id="rId1698" Type="http://schemas.openxmlformats.org/officeDocument/2006/relationships/hyperlink" Target="http://twitter.com/BaltazarMoretti/status/1114767404347871232" TargetMode="External"/><Relationship Id="rId623" Type="http://schemas.openxmlformats.org/officeDocument/2006/relationships/hyperlink" Target="http://twitter.com/jjoya10/status/1112868568964780033" TargetMode="External"/><Relationship Id="rId830" Type="http://schemas.openxmlformats.org/officeDocument/2006/relationships/hyperlink" Target="http://twitter.com/betovf40/status/1112927916982263809" TargetMode="External"/><Relationship Id="rId928" Type="http://schemas.openxmlformats.org/officeDocument/2006/relationships/hyperlink" Target="http://twitter.com/josezavala3/status/1113067495504588801" TargetMode="External"/><Relationship Id="rId1460" Type="http://schemas.openxmlformats.org/officeDocument/2006/relationships/hyperlink" Target="http://twitter.com/rdrm2011/status/1114252144851419136" TargetMode="External"/><Relationship Id="rId1558" Type="http://schemas.openxmlformats.org/officeDocument/2006/relationships/hyperlink" Target="http://twitter.com/CarlosSRumbo/status/1114470766752468992" TargetMode="External"/><Relationship Id="rId1765" Type="http://schemas.openxmlformats.org/officeDocument/2006/relationships/hyperlink" Target="http://twitter.com/gilmarpa/status/1114923605983485952" TargetMode="External"/><Relationship Id="rId57" Type="http://schemas.openxmlformats.org/officeDocument/2006/relationships/hyperlink" Target="http://twitter.com/lmariasmart/status/1112691049883975680" TargetMode="External"/><Relationship Id="rId1113" Type="http://schemas.openxmlformats.org/officeDocument/2006/relationships/hyperlink" Target="http://twitter.com/arrunte5/status/1113459423790358528" TargetMode="External"/><Relationship Id="rId1320" Type="http://schemas.openxmlformats.org/officeDocument/2006/relationships/hyperlink" Target="http://twitter.com/Reyfortponceol1/status/1113970791132090369" TargetMode="External"/><Relationship Id="rId1418" Type="http://schemas.openxmlformats.org/officeDocument/2006/relationships/hyperlink" Target="http://twitter.com/dixonpaucar/status/1114165255935012864" TargetMode="External"/><Relationship Id="rId1972" Type="http://schemas.openxmlformats.org/officeDocument/2006/relationships/hyperlink" Target="http://twitter.com/ariaddneta/status/1115356109584334849" TargetMode="External"/><Relationship Id="rId1625" Type="http://schemas.openxmlformats.org/officeDocument/2006/relationships/hyperlink" Target="http://twitter.com/JA_ERNAU/status/1114622260629856256" TargetMode="External"/><Relationship Id="rId1832" Type="http://schemas.openxmlformats.org/officeDocument/2006/relationships/hyperlink" Target="http://twitter.com/Decruz2162/status/1115073873362542593" TargetMode="External"/><Relationship Id="rId273" Type="http://schemas.openxmlformats.org/officeDocument/2006/relationships/hyperlink" Target="http://twitter.com/LimaAlDia/status/1112758593550458882" TargetMode="External"/><Relationship Id="rId480" Type="http://schemas.openxmlformats.org/officeDocument/2006/relationships/hyperlink" Target="http://twitter.com/abu_abulafia_/status/1112823103414001666" TargetMode="External"/><Relationship Id="rId133" Type="http://schemas.openxmlformats.org/officeDocument/2006/relationships/hyperlink" Target="http://twitter.com/carmendeate1/status/1112716541320151040" TargetMode="External"/><Relationship Id="rId340" Type="http://schemas.openxmlformats.org/officeDocument/2006/relationships/hyperlink" Target="http://twitter.com/soniamendozaq/status/1112779015037902848" TargetMode="External"/><Relationship Id="rId578" Type="http://schemas.openxmlformats.org/officeDocument/2006/relationships/hyperlink" Target="http://twitter.com/esaguz/status/1112851276881121281" TargetMode="External"/><Relationship Id="rId785" Type="http://schemas.openxmlformats.org/officeDocument/2006/relationships/hyperlink" Target="http://twitter.com/yvan_palomino/status/1112916146368462849" TargetMode="External"/><Relationship Id="rId992" Type="http://schemas.openxmlformats.org/officeDocument/2006/relationships/hyperlink" Target="http://twitter.com/desousatavqes/status/1113217191439228928" TargetMode="External"/><Relationship Id="rId200" Type="http://schemas.openxmlformats.org/officeDocument/2006/relationships/hyperlink" Target="http://twitter.com/40Matos/status/1112738971161907202" TargetMode="External"/><Relationship Id="rId438" Type="http://schemas.openxmlformats.org/officeDocument/2006/relationships/hyperlink" Target="http://twitter.com/contiki12/status/1112804911828361216" TargetMode="External"/><Relationship Id="rId645" Type="http://schemas.openxmlformats.org/officeDocument/2006/relationships/hyperlink" Target="http://twitter.com/GuillermoMu99/status/1112876977432743936" TargetMode="External"/><Relationship Id="rId852" Type="http://schemas.openxmlformats.org/officeDocument/2006/relationships/hyperlink" Target="http://twitter.com/PpKuis/status/1112934760211451904" TargetMode="External"/><Relationship Id="rId1068" Type="http://schemas.openxmlformats.org/officeDocument/2006/relationships/hyperlink" Target="http://twitter.com/Jamesbevan96/status/1113346598501867521" TargetMode="External"/><Relationship Id="rId1275" Type="http://schemas.openxmlformats.org/officeDocument/2006/relationships/hyperlink" Target="http://twitter.com/vpaulve/status/1113851267539972096" TargetMode="External"/><Relationship Id="rId1482" Type="http://schemas.openxmlformats.org/officeDocument/2006/relationships/hyperlink" Target="http://twitter.com/noticias_tvperu/status/1114288689255985154" TargetMode="External"/><Relationship Id="rId505" Type="http://schemas.openxmlformats.org/officeDocument/2006/relationships/hyperlink" Target="http://twitter.com/CrisisHasArisen/status/1112830928886419463" TargetMode="External"/><Relationship Id="rId712" Type="http://schemas.openxmlformats.org/officeDocument/2006/relationships/hyperlink" Target="http://twitter.com/pamelavgonzales/status/1112894353234513920" TargetMode="External"/><Relationship Id="rId1135" Type="http://schemas.openxmlformats.org/officeDocument/2006/relationships/hyperlink" Target="http://twitter.com/tortilh4zinh4/status/1113518066988613632" TargetMode="External"/><Relationship Id="rId1342" Type="http://schemas.openxmlformats.org/officeDocument/2006/relationships/hyperlink" Target="http://twitter.com/anyce18/status/1113999808002514949" TargetMode="External"/><Relationship Id="rId1787" Type="http://schemas.openxmlformats.org/officeDocument/2006/relationships/hyperlink" Target="http://twitter.com/MinCulturaPe/status/1114953747719950337" TargetMode="External"/><Relationship Id="rId1994" Type="http://schemas.openxmlformats.org/officeDocument/2006/relationships/hyperlink" Target="http://twitter.com/BorisMujica/status/1115416867169013761" TargetMode="External"/><Relationship Id="rId79" Type="http://schemas.openxmlformats.org/officeDocument/2006/relationships/hyperlink" Target="http://twitter.com/frank_ludena/status/1112699650744741894" TargetMode="External"/><Relationship Id="rId1202" Type="http://schemas.openxmlformats.org/officeDocument/2006/relationships/hyperlink" Target="http://twitter.com/AmyM1angelmouth/status/1113686753108426752" TargetMode="External"/><Relationship Id="rId1647" Type="http://schemas.openxmlformats.org/officeDocument/2006/relationships/hyperlink" Target="http://twitter.com/ester_LG/status/1114680732075610112" TargetMode="External"/><Relationship Id="rId1854" Type="http://schemas.openxmlformats.org/officeDocument/2006/relationships/hyperlink" Target="http://twitter.com/lazafer/status/1115099832799068160" TargetMode="External"/><Relationship Id="rId1507" Type="http://schemas.openxmlformats.org/officeDocument/2006/relationships/hyperlink" Target="http://twitter.com/MezoneRives/status/1114346103388950528" TargetMode="External"/><Relationship Id="rId1714" Type="http://schemas.openxmlformats.org/officeDocument/2006/relationships/hyperlink" Target="http://twitter.com/DeisBcn/status/1114800705519476736" TargetMode="External"/><Relationship Id="rId295" Type="http://schemas.openxmlformats.org/officeDocument/2006/relationships/hyperlink" Target="http://twitter.com/rivilla/status/1112765469067497474" TargetMode="External"/><Relationship Id="rId1921" Type="http://schemas.openxmlformats.org/officeDocument/2006/relationships/hyperlink" Target="http://twitter.com/nataliaurbina13/status/1115236327279165441" TargetMode="External"/><Relationship Id="rId155" Type="http://schemas.openxmlformats.org/officeDocument/2006/relationships/hyperlink" Target="http://twitter.com/willyvmr/status/1112724007508312065" TargetMode="External"/><Relationship Id="rId362" Type="http://schemas.openxmlformats.org/officeDocument/2006/relationships/hyperlink" Target="http://twitter.com/derveterano/status/1112785422134992896" TargetMode="External"/><Relationship Id="rId1297" Type="http://schemas.openxmlformats.org/officeDocument/2006/relationships/hyperlink" Target="http://twitter.com/LuisaPalaciosS/status/1113911382980857857" TargetMode="External"/><Relationship Id="rId222" Type="http://schemas.openxmlformats.org/officeDocument/2006/relationships/hyperlink" Target="http://twitter.com/Rollhando/status/1112746761616084992" TargetMode="External"/><Relationship Id="rId667" Type="http://schemas.openxmlformats.org/officeDocument/2006/relationships/hyperlink" Target="http://twitter.com/Jhon38733085/status/1112882359286857733" TargetMode="External"/><Relationship Id="rId874" Type="http://schemas.openxmlformats.org/officeDocument/2006/relationships/hyperlink" Target="http://twitter.com/MariRF12/status/1112941340298444800" TargetMode="External"/><Relationship Id="rId527" Type="http://schemas.openxmlformats.org/officeDocument/2006/relationships/hyperlink" Target="http://twitter.com/miquelmarin/status/1112837773373947904" TargetMode="External"/><Relationship Id="rId734" Type="http://schemas.openxmlformats.org/officeDocument/2006/relationships/hyperlink" Target="http://twitter.com/tvperupe/status/1112901717421486082" TargetMode="External"/><Relationship Id="rId941" Type="http://schemas.openxmlformats.org/officeDocument/2006/relationships/hyperlink" Target="http://twitter.com/Plinio2009/status/1113096056747823104" TargetMode="External"/><Relationship Id="rId1157" Type="http://schemas.openxmlformats.org/officeDocument/2006/relationships/hyperlink" Target="http://twitter.com/PedroSanchezH/status/1113611011481853952" TargetMode="External"/><Relationship Id="rId1364" Type="http://schemas.openxmlformats.org/officeDocument/2006/relationships/hyperlink" Target="http://twitter.com/pintora67/status/1114037322272710657" TargetMode="External"/><Relationship Id="rId1571" Type="http://schemas.openxmlformats.org/officeDocument/2006/relationships/hyperlink" Target="http://twitter.com/emmaesar/status/1114500753266302977" TargetMode="External"/><Relationship Id="rId70" Type="http://schemas.openxmlformats.org/officeDocument/2006/relationships/hyperlink" Target="http://twitter.com/rralbert/status/1112695114827206656" TargetMode="External"/><Relationship Id="rId801" Type="http://schemas.openxmlformats.org/officeDocument/2006/relationships/hyperlink" Target="http://twitter.com/elialegre13/status/1112921067734159361" TargetMode="External"/><Relationship Id="rId1017" Type="http://schemas.openxmlformats.org/officeDocument/2006/relationships/hyperlink" Target="http://twitter.com/MIOPINION1943/status/1113248278869696513" TargetMode="External"/><Relationship Id="rId1224" Type="http://schemas.openxmlformats.org/officeDocument/2006/relationships/hyperlink" Target="http://twitter.com/oscarchu19531/status/1113707990337691649" TargetMode="External"/><Relationship Id="rId1431" Type="http://schemas.openxmlformats.org/officeDocument/2006/relationships/hyperlink" Target="http://twitter.com/Peru_Noticias/status/1114192063275384832" TargetMode="External"/><Relationship Id="rId1669" Type="http://schemas.openxmlformats.org/officeDocument/2006/relationships/hyperlink" Target="http://twitter.com/redlyon_/status/1114713981342687232" TargetMode="External"/><Relationship Id="rId1876" Type="http://schemas.openxmlformats.org/officeDocument/2006/relationships/hyperlink" Target="http://twitter.com/elliotrg9/status/1115137869734133760" TargetMode="External"/><Relationship Id="rId1529" Type="http://schemas.openxmlformats.org/officeDocument/2006/relationships/hyperlink" Target="http://twitter.com/Maroma2/status/1114396439038316544" TargetMode="External"/><Relationship Id="rId1736" Type="http://schemas.openxmlformats.org/officeDocument/2006/relationships/hyperlink" Target="http://twitter.com/MARLENYSUAREZG/status/1114864154651660288" TargetMode="External"/><Relationship Id="rId1943" Type="http://schemas.openxmlformats.org/officeDocument/2006/relationships/hyperlink" Target="http://twitter.com/CROGMIE/status/1115296709133910017" TargetMode="External"/><Relationship Id="rId28" Type="http://schemas.openxmlformats.org/officeDocument/2006/relationships/hyperlink" Target="http://twitter.com/MarioS759/status/1112681912198447104" TargetMode="External"/><Relationship Id="rId1803" Type="http://schemas.openxmlformats.org/officeDocument/2006/relationships/hyperlink" Target="http://twitter.com/nellywarmi/status/1115014034380742656" TargetMode="External"/><Relationship Id="rId177" Type="http://schemas.openxmlformats.org/officeDocument/2006/relationships/hyperlink" Target="http://twitter.com/anatari33/status/1112730633619558401" TargetMode="External"/><Relationship Id="rId384" Type="http://schemas.openxmlformats.org/officeDocument/2006/relationships/hyperlink" Target="http://twitter.com/duckseok/status/1112788656899620865" TargetMode="External"/><Relationship Id="rId591" Type="http://schemas.openxmlformats.org/officeDocument/2006/relationships/hyperlink" Target="http://twitter.com/20101529G/status/1112856093854744577" TargetMode="External"/><Relationship Id="rId244" Type="http://schemas.openxmlformats.org/officeDocument/2006/relationships/hyperlink" Target="http://twitter.com/RasecTony/status/1112750472685932544" TargetMode="External"/><Relationship Id="rId689" Type="http://schemas.openxmlformats.org/officeDocument/2006/relationships/hyperlink" Target="http://twitter.com/rgalarreta/status/1112889848480690177" TargetMode="External"/><Relationship Id="rId896" Type="http://schemas.openxmlformats.org/officeDocument/2006/relationships/hyperlink" Target="http://twitter.com/exitosape/status/1112978310592651264" TargetMode="External"/><Relationship Id="rId1081" Type="http://schemas.openxmlformats.org/officeDocument/2006/relationships/hyperlink" Target="http://twitter.com/sergigaga/status/1113382032133038080" TargetMode="External"/><Relationship Id="rId451" Type="http://schemas.openxmlformats.org/officeDocument/2006/relationships/hyperlink" Target="http://twitter.com/energiminas1/status/1112810023585972224" TargetMode="External"/><Relationship Id="rId549" Type="http://schemas.openxmlformats.org/officeDocument/2006/relationships/hyperlink" Target="http://twitter.com/joico42/status/1112843791034171396" TargetMode="External"/><Relationship Id="rId756" Type="http://schemas.openxmlformats.org/officeDocument/2006/relationships/hyperlink" Target="http://twitter.com/mdelcastillor/status/1112905581218746369" TargetMode="External"/><Relationship Id="rId1179" Type="http://schemas.openxmlformats.org/officeDocument/2006/relationships/hyperlink" Target="http://twitter.com/ermitcentty/status/1113640268778102784" TargetMode="External"/><Relationship Id="rId1386" Type="http://schemas.openxmlformats.org/officeDocument/2006/relationships/hyperlink" Target="http://twitter.com/All_insasa/status/1114055790825025536" TargetMode="External"/><Relationship Id="rId1593" Type="http://schemas.openxmlformats.org/officeDocument/2006/relationships/hyperlink" Target="http://twitter.com/Adrii4561/status/1114532951121891328" TargetMode="External"/><Relationship Id="rId104" Type="http://schemas.openxmlformats.org/officeDocument/2006/relationships/hyperlink" Target="http://twitter.com/zacapa_marca/status/1112706701432709120" TargetMode="External"/><Relationship Id="rId311" Type="http://schemas.openxmlformats.org/officeDocument/2006/relationships/hyperlink" Target="http://twitter.com/YuremaViana/status/1112768458717102080" TargetMode="External"/><Relationship Id="rId409" Type="http://schemas.openxmlformats.org/officeDocument/2006/relationships/hyperlink" Target="http://twitter.com/TioCesar45/status/1112799388848586753" TargetMode="External"/><Relationship Id="rId963" Type="http://schemas.openxmlformats.org/officeDocument/2006/relationships/hyperlink" Target="http://twitter.com/jfowks/status/1113127754122346498" TargetMode="External"/><Relationship Id="rId1039" Type="http://schemas.openxmlformats.org/officeDocument/2006/relationships/hyperlink" Target="http://twitter.com/AndresEspejo40/status/1113304408521969664" TargetMode="External"/><Relationship Id="rId1246" Type="http://schemas.openxmlformats.org/officeDocument/2006/relationships/hyperlink" Target="http://twitter.com/FELUCO17/status/1113791494819909634" TargetMode="External"/><Relationship Id="rId1898" Type="http://schemas.openxmlformats.org/officeDocument/2006/relationships/hyperlink" Target="http://twitter.com/EnglishTeaGrl/status/1115166829931110400" TargetMode="External"/><Relationship Id="rId92" Type="http://schemas.openxmlformats.org/officeDocument/2006/relationships/hyperlink" Target="http://twitter.com/RenzoMinJim/status/1112703591402348544" TargetMode="External"/><Relationship Id="rId616" Type="http://schemas.openxmlformats.org/officeDocument/2006/relationships/hyperlink" Target="http://twitter.com/willyvmr/status/1112864586653462529" TargetMode="External"/><Relationship Id="rId823" Type="http://schemas.openxmlformats.org/officeDocument/2006/relationships/hyperlink" Target="http://twitter.com/dgrados/status/1112926356214616064" TargetMode="External"/><Relationship Id="rId1453" Type="http://schemas.openxmlformats.org/officeDocument/2006/relationships/hyperlink" Target="http://twitter.com/cfloresunzaga/status/1114224902066855936" TargetMode="External"/><Relationship Id="rId1660" Type="http://schemas.openxmlformats.org/officeDocument/2006/relationships/hyperlink" Target="http://twitter.com/Peru_Noticias/status/1114682906222501888" TargetMode="External"/><Relationship Id="rId1758" Type="http://schemas.openxmlformats.org/officeDocument/2006/relationships/hyperlink" Target="http://twitter.com/Kurukuru1408/status/1114894981146251265" TargetMode="External"/><Relationship Id="rId1106" Type="http://schemas.openxmlformats.org/officeDocument/2006/relationships/hyperlink" Target="http://twitter.com/LEVI0SAMENDES/status/1113431046022991872" TargetMode="External"/><Relationship Id="rId1313" Type="http://schemas.openxmlformats.org/officeDocument/2006/relationships/hyperlink" Target="http://twitter.com/SignoriTita/status/1113943285024735232" TargetMode="External"/><Relationship Id="rId1520" Type="http://schemas.openxmlformats.org/officeDocument/2006/relationships/hyperlink" Target="http://twitter.com/salvaradosan/status/1114372380502253569" TargetMode="External"/><Relationship Id="rId1965" Type="http://schemas.openxmlformats.org/officeDocument/2006/relationships/hyperlink" Target="http://twitter.com/onidsad/status/1115355375329513474" TargetMode="External"/><Relationship Id="rId1618" Type="http://schemas.openxmlformats.org/officeDocument/2006/relationships/hyperlink" Target="http://twitter.com/NANCYKRISTAL/status/1114592043010019330" TargetMode="External"/><Relationship Id="rId1825" Type="http://schemas.openxmlformats.org/officeDocument/2006/relationships/hyperlink" Target="http://twitter.com/cesarvillarm/status/1115042400903155712" TargetMode="External"/><Relationship Id="rId199" Type="http://schemas.openxmlformats.org/officeDocument/2006/relationships/hyperlink" Target="http://twitter.com/OCMPeru/status/1112738893965811712" TargetMode="External"/><Relationship Id="rId266" Type="http://schemas.openxmlformats.org/officeDocument/2006/relationships/hyperlink" Target="http://twitter.com/EDWINFLORESVASQ/status/1112757646879277056" TargetMode="External"/><Relationship Id="rId473" Type="http://schemas.openxmlformats.org/officeDocument/2006/relationships/hyperlink" Target="http://twitter.com/CalebRojasC/status/1112821526800216064" TargetMode="External"/><Relationship Id="rId680" Type="http://schemas.openxmlformats.org/officeDocument/2006/relationships/hyperlink" Target="http://twitter.com/diariocorreo/status/1112887371018719233" TargetMode="External"/><Relationship Id="rId126" Type="http://schemas.openxmlformats.org/officeDocument/2006/relationships/hyperlink" Target="http://twitter.com/LDelacruzv/status/1112712863108554753" TargetMode="External"/><Relationship Id="rId333" Type="http://schemas.openxmlformats.org/officeDocument/2006/relationships/hyperlink" Target="http://twitter.com/Artemito3/status/1112777179832705031" TargetMode="External"/><Relationship Id="rId540" Type="http://schemas.openxmlformats.org/officeDocument/2006/relationships/hyperlink" Target="http://twitter.com/jamescat0102/status/1112841737599320065" TargetMode="External"/><Relationship Id="rId778" Type="http://schemas.openxmlformats.org/officeDocument/2006/relationships/hyperlink" Target="http://twitter.com/cesargalindogam/status/1112913732064096257" TargetMode="External"/><Relationship Id="rId985" Type="http://schemas.openxmlformats.org/officeDocument/2006/relationships/hyperlink" Target="http://twitter.com/jumemeva_melina/status/1113187090659971073" TargetMode="External"/><Relationship Id="rId1170" Type="http://schemas.openxmlformats.org/officeDocument/2006/relationships/hyperlink" Target="http://twitter.com/AntonioChavezDz/status/1113639212455288832" TargetMode="External"/><Relationship Id="rId638" Type="http://schemas.openxmlformats.org/officeDocument/2006/relationships/hyperlink" Target="http://twitter.com/jkjmalways/status/1112873952014163968" TargetMode="External"/><Relationship Id="rId845" Type="http://schemas.openxmlformats.org/officeDocument/2006/relationships/hyperlink" Target="http://twitter.com/Jamyr0/status/1112933139234648066" TargetMode="External"/><Relationship Id="rId1030" Type="http://schemas.openxmlformats.org/officeDocument/2006/relationships/hyperlink" Target="http://twitter.com/andrea_closa/status/1113277979625492480" TargetMode="External"/><Relationship Id="rId1268" Type="http://schemas.openxmlformats.org/officeDocument/2006/relationships/hyperlink" Target="http://twitter.com/lisarita1956/status/1113850717293502464" TargetMode="External"/><Relationship Id="rId1475" Type="http://schemas.openxmlformats.org/officeDocument/2006/relationships/hyperlink" Target="http://twitter.com/HiperActivainfo/status/1114287205298659328" TargetMode="External"/><Relationship Id="rId1682" Type="http://schemas.openxmlformats.org/officeDocument/2006/relationships/hyperlink" Target="http://twitter.com/Noktambuleante/status/1114742233129996290" TargetMode="External"/><Relationship Id="rId400" Type="http://schemas.openxmlformats.org/officeDocument/2006/relationships/hyperlink" Target="http://twitter.com/palomatorkasa/status/1112792678431756288" TargetMode="External"/><Relationship Id="rId705" Type="http://schemas.openxmlformats.org/officeDocument/2006/relationships/hyperlink" Target="http://twitter.com/DanielEdco/status/1112893044901273600" TargetMode="External"/><Relationship Id="rId1128" Type="http://schemas.openxmlformats.org/officeDocument/2006/relationships/hyperlink" Target="http://twitter.com/_diarionuevosol/status/1113489539006382082" TargetMode="External"/><Relationship Id="rId1335" Type="http://schemas.openxmlformats.org/officeDocument/2006/relationships/hyperlink" Target="http://twitter.com/everreynosoh/status/1113997556952989696" TargetMode="External"/><Relationship Id="rId1542" Type="http://schemas.openxmlformats.org/officeDocument/2006/relationships/hyperlink" Target="http://twitter.com/SamyH1982/status/1114428097036718082" TargetMode="External"/><Relationship Id="rId1987" Type="http://schemas.openxmlformats.org/officeDocument/2006/relationships/hyperlink" Target="http://twitter.com/PeruDebeCambiar/status/1115387758770569216" TargetMode="External"/><Relationship Id="rId912" Type="http://schemas.openxmlformats.org/officeDocument/2006/relationships/hyperlink" Target="http://twitter.com/VincentBoy_IG/status/1113027478946279430" TargetMode="External"/><Relationship Id="rId1847" Type="http://schemas.openxmlformats.org/officeDocument/2006/relationships/hyperlink" Target="http://twitter.com/DelPresidente/status/1115097857537781760" TargetMode="External"/><Relationship Id="rId41" Type="http://schemas.openxmlformats.org/officeDocument/2006/relationships/hyperlink" Target="http://twitter.com/Samanamu/status/1112685623100559361" TargetMode="External"/><Relationship Id="rId1402" Type="http://schemas.openxmlformats.org/officeDocument/2006/relationships/hyperlink" Target="http://twitter.com/mands7k3/status/1114133667163590657" TargetMode="External"/><Relationship Id="rId1707" Type="http://schemas.openxmlformats.org/officeDocument/2006/relationships/hyperlink" Target="http://twitter.com/Marcos_2001_/status/1114798870729457664" TargetMode="External"/><Relationship Id="rId190" Type="http://schemas.openxmlformats.org/officeDocument/2006/relationships/hyperlink" Target="http://twitter.com/leo_valra/status/1112734508724510720" TargetMode="External"/><Relationship Id="rId288" Type="http://schemas.openxmlformats.org/officeDocument/2006/relationships/hyperlink" Target="http://twitter.com/anmarcelapo/status/1112762273834172416" TargetMode="External"/><Relationship Id="rId1914" Type="http://schemas.openxmlformats.org/officeDocument/2006/relationships/hyperlink" Target="http://twitter.com/VivianaAusejo/status/1115235452968214528" TargetMode="External"/><Relationship Id="rId495" Type="http://schemas.openxmlformats.org/officeDocument/2006/relationships/hyperlink" Target="http://twitter.com/lbarreral/status/1112828528326840321" TargetMode="External"/><Relationship Id="rId148" Type="http://schemas.openxmlformats.org/officeDocument/2006/relationships/hyperlink" Target="http://twitter.com/giserrat/status/1112722687967809536" TargetMode="External"/><Relationship Id="rId355" Type="http://schemas.openxmlformats.org/officeDocument/2006/relationships/hyperlink" Target="http://twitter.com/Orlandojaimeba1/status/1112782041005867011" TargetMode="External"/><Relationship Id="rId562" Type="http://schemas.openxmlformats.org/officeDocument/2006/relationships/hyperlink" Target="http://twitter.com/vigilfran/status/1112849307777032195" TargetMode="External"/><Relationship Id="rId1192" Type="http://schemas.openxmlformats.org/officeDocument/2006/relationships/hyperlink" Target="http://twitter.com/JoseUcv350z/status/1113669085794131969" TargetMode="External"/><Relationship Id="rId215" Type="http://schemas.openxmlformats.org/officeDocument/2006/relationships/hyperlink" Target="http://twitter.com/filhaadomar/status/1112742179078918146" TargetMode="External"/><Relationship Id="rId422" Type="http://schemas.openxmlformats.org/officeDocument/2006/relationships/hyperlink" Target="http://twitter.com/RoselySevilla/status/1112802764818694144" TargetMode="External"/><Relationship Id="rId867" Type="http://schemas.openxmlformats.org/officeDocument/2006/relationships/hyperlink" Target="http://twitter.com/NikoLeonCruzatt/status/1112938212740227072" TargetMode="External"/><Relationship Id="rId1052" Type="http://schemas.openxmlformats.org/officeDocument/2006/relationships/hyperlink" Target="http://twitter.com/neru192/status/1113326862456053761" TargetMode="External"/><Relationship Id="rId1497" Type="http://schemas.openxmlformats.org/officeDocument/2006/relationships/hyperlink" Target="http://twitter.com/jxstcuchu/status/1114319111281049600" TargetMode="External"/><Relationship Id="rId727" Type="http://schemas.openxmlformats.org/officeDocument/2006/relationships/hyperlink" Target="http://twitter.com/Estefany1490782/status/1112900671639097344" TargetMode="External"/><Relationship Id="rId934" Type="http://schemas.openxmlformats.org/officeDocument/2006/relationships/hyperlink" Target="http://twitter.com/jorge_ynfante/status/1113068149686108161" TargetMode="External"/><Relationship Id="rId1357" Type="http://schemas.openxmlformats.org/officeDocument/2006/relationships/hyperlink" Target="http://twitter.com/AceSalaverry/status/1114029134315966464" TargetMode="External"/><Relationship Id="rId1564" Type="http://schemas.openxmlformats.org/officeDocument/2006/relationships/hyperlink" Target="http://twitter.com/fucknmadness/status/1114471410729197568" TargetMode="External"/><Relationship Id="rId1771" Type="http://schemas.openxmlformats.org/officeDocument/2006/relationships/hyperlink" Target="http://twitter.com/Anna01881338/status/1114924133886976001" TargetMode="External"/><Relationship Id="rId63" Type="http://schemas.openxmlformats.org/officeDocument/2006/relationships/hyperlink" Target="http://twitter.com/MinervaSRM/status/1112693551761104896" TargetMode="External"/><Relationship Id="rId1217" Type="http://schemas.openxmlformats.org/officeDocument/2006/relationships/hyperlink" Target="http://twitter.com/Leodas13/status/1113704540182908930" TargetMode="External"/><Relationship Id="rId1424" Type="http://schemas.openxmlformats.org/officeDocument/2006/relationships/hyperlink" Target="http://twitter.com/millenamoraiss_/status/1114166176249274368" TargetMode="External"/><Relationship Id="rId1631" Type="http://schemas.openxmlformats.org/officeDocument/2006/relationships/hyperlink" Target="http://twitter.com/rcubag/status/1114623192155475968" TargetMode="External"/><Relationship Id="rId1869" Type="http://schemas.openxmlformats.org/officeDocument/2006/relationships/hyperlink" Target="http://twitter.com/BaseMetals/status/1115131786454028288" TargetMode="External"/><Relationship Id="rId1729" Type="http://schemas.openxmlformats.org/officeDocument/2006/relationships/hyperlink" Target="http://twitter.com/rosiotigre/status/1114833105364377602" TargetMode="External"/><Relationship Id="rId1936" Type="http://schemas.openxmlformats.org/officeDocument/2006/relationships/hyperlink" Target="http://twitter.com/amesacha/status/1115268178043703297" TargetMode="External"/><Relationship Id="rId377" Type="http://schemas.openxmlformats.org/officeDocument/2006/relationships/hyperlink" Target="http://twitter.com/LinceAntiTuco/status/1112788073123930114" TargetMode="External"/><Relationship Id="rId584" Type="http://schemas.openxmlformats.org/officeDocument/2006/relationships/hyperlink" Target="http://twitter.com/PFranciscana/status/1112853725670985728" TargetMode="External"/><Relationship Id="rId5" Type="http://schemas.openxmlformats.org/officeDocument/2006/relationships/hyperlink" Target="http://twitter.com/KingserAyala/status/1112677051172093952" TargetMode="External"/><Relationship Id="rId237" Type="http://schemas.openxmlformats.org/officeDocument/2006/relationships/hyperlink" Target="http://twitter.com/marlebenavid/status/1112750072540876802" TargetMode="External"/><Relationship Id="rId791" Type="http://schemas.openxmlformats.org/officeDocument/2006/relationships/hyperlink" Target="http://twitter.com/dvillafuerte/status/1112918596236333057" TargetMode="External"/><Relationship Id="rId889" Type="http://schemas.openxmlformats.org/officeDocument/2006/relationships/hyperlink" Target="http://twitter.com/ilyjawregui/status/1112968467458723841" TargetMode="External"/><Relationship Id="rId1074" Type="http://schemas.openxmlformats.org/officeDocument/2006/relationships/hyperlink" Target="http://twitter.com/quevedo_aries/status/1113353714897707008" TargetMode="External"/><Relationship Id="rId444" Type="http://schemas.openxmlformats.org/officeDocument/2006/relationships/hyperlink" Target="http://twitter.com/AleCd7/status/1112806695003144198" TargetMode="External"/><Relationship Id="rId651" Type="http://schemas.openxmlformats.org/officeDocument/2006/relationships/hyperlink" Target="http://twitter.com/LDavelouis/status/1112878390816763904" TargetMode="External"/><Relationship Id="rId749" Type="http://schemas.openxmlformats.org/officeDocument/2006/relationships/hyperlink" Target="http://twitter.com/davidhpalmar/status/1112904441735380996" TargetMode="External"/><Relationship Id="rId1281" Type="http://schemas.openxmlformats.org/officeDocument/2006/relationships/hyperlink" Target="http://twitter.com/TemplanzaTeson/status/1113883213112410113" TargetMode="External"/><Relationship Id="rId1379" Type="http://schemas.openxmlformats.org/officeDocument/2006/relationships/hyperlink" Target="http://twitter.com/pelusa054/status/1114052821517766656" TargetMode="External"/><Relationship Id="rId1586" Type="http://schemas.openxmlformats.org/officeDocument/2006/relationships/hyperlink" Target="http://twitter.com/CosplayerWidow/status/1114532590537539584" TargetMode="External"/><Relationship Id="rId304" Type="http://schemas.openxmlformats.org/officeDocument/2006/relationships/hyperlink" Target="http://twitter.com/KeithSlack1/status/1112767484212506625" TargetMode="External"/><Relationship Id="rId511" Type="http://schemas.openxmlformats.org/officeDocument/2006/relationships/hyperlink" Target="http://twitter.com/maryju333/status/1112831653238460418" TargetMode="External"/><Relationship Id="rId609" Type="http://schemas.openxmlformats.org/officeDocument/2006/relationships/hyperlink" Target="http://twitter.com/smestanzaa/status/1112863648605769728" TargetMode="External"/><Relationship Id="rId956" Type="http://schemas.openxmlformats.org/officeDocument/2006/relationships/hyperlink" Target="http://twitter.com/willyvmr/status/1113126541045620737" TargetMode="External"/><Relationship Id="rId1141" Type="http://schemas.openxmlformats.org/officeDocument/2006/relationships/hyperlink" Target="http://twitter.com/Urano55/status/1113519212117614593" TargetMode="External"/><Relationship Id="rId1239" Type="http://schemas.openxmlformats.org/officeDocument/2006/relationships/hyperlink" Target="http://twitter.com/MejiaoteroMejia/status/1113754863974985728" TargetMode="External"/><Relationship Id="rId1793" Type="http://schemas.openxmlformats.org/officeDocument/2006/relationships/hyperlink" Target="http://twitter.com/paskenreal/status/1114982658302459906" TargetMode="External"/><Relationship Id="rId85" Type="http://schemas.openxmlformats.org/officeDocument/2006/relationships/hyperlink" Target="http://twitter.com/esaguz/status/1112700348576210944" TargetMode="External"/><Relationship Id="rId816" Type="http://schemas.openxmlformats.org/officeDocument/2006/relationships/hyperlink" Target="http://twitter.com/LUISNOLASCOPA/status/1112925801534705664" TargetMode="External"/><Relationship Id="rId1001" Type="http://schemas.openxmlformats.org/officeDocument/2006/relationships/hyperlink" Target="http://twitter.com/john_francis32/status/1113219224602841095" TargetMode="External"/><Relationship Id="rId1446" Type="http://schemas.openxmlformats.org/officeDocument/2006/relationships/hyperlink" Target="http://twitter.com/Apu_Rimak/status/1114223311934959616" TargetMode="External"/><Relationship Id="rId1653" Type="http://schemas.openxmlformats.org/officeDocument/2006/relationships/hyperlink" Target="http://twitter.com/elleon_15/status/1114681567107080192" TargetMode="External"/><Relationship Id="rId1860" Type="http://schemas.openxmlformats.org/officeDocument/2006/relationships/hyperlink" Target="http://twitter.com/alif3h/status/1115128183785832448" TargetMode="External"/><Relationship Id="rId1306" Type="http://schemas.openxmlformats.org/officeDocument/2006/relationships/hyperlink" Target="http://twitter.com/sharo1953/status/1113942012313657344" TargetMode="External"/><Relationship Id="rId1513" Type="http://schemas.openxmlformats.org/officeDocument/2006/relationships/hyperlink" Target="http://twitter.com/bancadablanca/status/1114369908199108608" TargetMode="External"/><Relationship Id="rId1720" Type="http://schemas.openxmlformats.org/officeDocument/2006/relationships/hyperlink" Target="http://twitter.com/ElChotoAlbino/status/1114829660314066944" TargetMode="External"/><Relationship Id="rId1958" Type="http://schemas.openxmlformats.org/officeDocument/2006/relationships/hyperlink" Target="http://twitter.com/LordFolkken/status/1115327655056953350" TargetMode="External"/><Relationship Id="rId12" Type="http://schemas.openxmlformats.org/officeDocument/2006/relationships/hyperlink" Target="http://twitter.com/RConSentido/status/1112678517949513729" TargetMode="External"/><Relationship Id="rId1818" Type="http://schemas.openxmlformats.org/officeDocument/2006/relationships/hyperlink" Target="http://twitter.com/PsicoterapiaO/status/1115041869933830144" TargetMode="External"/><Relationship Id="rId161" Type="http://schemas.openxmlformats.org/officeDocument/2006/relationships/hyperlink" Target="http://twitter.com/VerdadDigitalsv/status/1112726101380468736" TargetMode="External"/><Relationship Id="rId399" Type="http://schemas.openxmlformats.org/officeDocument/2006/relationships/hyperlink" Target="http://twitter.com/miguelinomen53/status/1112792538610626565" TargetMode="External"/><Relationship Id="rId259" Type="http://schemas.openxmlformats.org/officeDocument/2006/relationships/hyperlink" Target="http://twitter.com/peruenlanoticia/status/1112754965746016260" TargetMode="External"/><Relationship Id="rId466" Type="http://schemas.openxmlformats.org/officeDocument/2006/relationships/hyperlink" Target="http://twitter.com/AccionDeAmparo/status/1112815153844838401" TargetMode="External"/><Relationship Id="rId673" Type="http://schemas.openxmlformats.org/officeDocument/2006/relationships/hyperlink" Target="http://twitter.com/carmensalastor3/status/1112885150340337666" TargetMode="External"/><Relationship Id="rId880" Type="http://schemas.openxmlformats.org/officeDocument/2006/relationships/hyperlink" Target="http://twitter.com/FedericoPFE/status/1112943042304958464" TargetMode="External"/><Relationship Id="rId1096" Type="http://schemas.openxmlformats.org/officeDocument/2006/relationships/hyperlink" Target="http://twitter.com/cesarpeirano/status/1113429104274092032" TargetMode="External"/><Relationship Id="rId119" Type="http://schemas.openxmlformats.org/officeDocument/2006/relationships/hyperlink" Target="http://twitter.com/cocherochero/status/1112712376875433984" TargetMode="External"/><Relationship Id="rId326" Type="http://schemas.openxmlformats.org/officeDocument/2006/relationships/hyperlink" Target="http://twitter.com/marygut33145724/status/1112776189318492163" TargetMode="External"/><Relationship Id="rId533" Type="http://schemas.openxmlformats.org/officeDocument/2006/relationships/hyperlink" Target="http://twitter.com/cmongesalgado/status/1112838955362340867" TargetMode="External"/><Relationship Id="rId978" Type="http://schemas.openxmlformats.org/officeDocument/2006/relationships/hyperlink" Target="http://twitter.com/Buendia_Aurelin/status/1113185811921600512" TargetMode="External"/><Relationship Id="rId1163" Type="http://schemas.openxmlformats.org/officeDocument/2006/relationships/hyperlink" Target="http://twitter.com/guillermoenuso/status/1113611803601330176" TargetMode="External"/><Relationship Id="rId1370" Type="http://schemas.openxmlformats.org/officeDocument/2006/relationships/hyperlink" Target="http://twitter.com/PiruletePirula/status/1114039261047730177" TargetMode="External"/><Relationship Id="rId740" Type="http://schemas.openxmlformats.org/officeDocument/2006/relationships/hyperlink" Target="http://twitter.com/TubinoCarlos/status/1112903638559719427" TargetMode="External"/><Relationship Id="rId838" Type="http://schemas.openxmlformats.org/officeDocument/2006/relationships/hyperlink" Target="http://twitter.com/cygrados/status/1112929825319276544" TargetMode="External"/><Relationship Id="rId1023" Type="http://schemas.openxmlformats.org/officeDocument/2006/relationships/hyperlink" Target="http://twitter.com/wauqi_prensa/status/1113277297300258817" TargetMode="External"/><Relationship Id="rId1468" Type="http://schemas.openxmlformats.org/officeDocument/2006/relationships/hyperlink" Target="http://twitter.com/alebelen98/status/1114253841896226816" TargetMode="External"/><Relationship Id="rId1675" Type="http://schemas.openxmlformats.org/officeDocument/2006/relationships/hyperlink" Target="http://twitter.com/RositaFlores12/status/1114741618173730816" TargetMode="External"/><Relationship Id="rId1882" Type="http://schemas.openxmlformats.org/officeDocument/2006/relationships/hyperlink" Target="http://twitter.com/C3metal/status/1115140484610052096" TargetMode="External"/><Relationship Id="rId600" Type="http://schemas.openxmlformats.org/officeDocument/2006/relationships/hyperlink" Target="http://twitter.com/sinthiacavero/status/1112860141110652928" TargetMode="External"/><Relationship Id="rId1230" Type="http://schemas.openxmlformats.org/officeDocument/2006/relationships/hyperlink" Target="http://twitter.com/MirellaBelaunde/status/1113747386986389506" TargetMode="External"/><Relationship Id="rId1328" Type="http://schemas.openxmlformats.org/officeDocument/2006/relationships/hyperlink" Target="http://twitter.com/girlsynick/status/1113972501430841344" TargetMode="External"/><Relationship Id="rId1535" Type="http://schemas.openxmlformats.org/officeDocument/2006/relationships/hyperlink" Target="http://twitter.com/CarlosMW312/status/1114399418533515264" TargetMode="External"/><Relationship Id="rId905" Type="http://schemas.openxmlformats.org/officeDocument/2006/relationships/hyperlink" Target="http://twitter.com/exitosape/status/1112995320915427329" TargetMode="External"/><Relationship Id="rId1742" Type="http://schemas.openxmlformats.org/officeDocument/2006/relationships/hyperlink" Target="http://twitter.com/RHV_03/status/1114864612556595200" TargetMode="External"/><Relationship Id="rId34" Type="http://schemas.openxmlformats.org/officeDocument/2006/relationships/hyperlink" Target="http://twitter.com/ReynosoRaf/status/1112684511907610624" TargetMode="External"/><Relationship Id="rId1602" Type="http://schemas.openxmlformats.org/officeDocument/2006/relationships/hyperlink" Target="http://twitter.com/larepublica_pe/status/1114562917096206336" TargetMode="External"/><Relationship Id="rId183" Type="http://schemas.openxmlformats.org/officeDocument/2006/relationships/hyperlink" Target="http://twitter.com/CarJesus589/status/1112731437483130881" TargetMode="External"/><Relationship Id="rId390" Type="http://schemas.openxmlformats.org/officeDocument/2006/relationships/hyperlink" Target="http://twitter.com/delaselvasu/status/1112790901946871811" TargetMode="External"/><Relationship Id="rId1907" Type="http://schemas.openxmlformats.org/officeDocument/2006/relationships/hyperlink" Target="http://twitter.com/otreborpretell/status/1115199174314614790" TargetMode="External"/><Relationship Id="rId250" Type="http://schemas.openxmlformats.org/officeDocument/2006/relationships/hyperlink" Target="http://twitter.com/Ore_ZZeta/status/1112753939315912704" TargetMode="External"/><Relationship Id="rId488" Type="http://schemas.openxmlformats.org/officeDocument/2006/relationships/hyperlink" Target="http://twitter.com/CheCarolo/status/1112827431424065536" TargetMode="External"/><Relationship Id="rId695" Type="http://schemas.openxmlformats.org/officeDocument/2006/relationships/hyperlink" Target="http://twitter.com/matuk/status/1112890896679403520" TargetMode="External"/><Relationship Id="rId110" Type="http://schemas.openxmlformats.org/officeDocument/2006/relationships/hyperlink" Target="http://twitter.com/Rom_mel2/status/1112707169365962753" TargetMode="External"/><Relationship Id="rId348" Type="http://schemas.openxmlformats.org/officeDocument/2006/relationships/hyperlink" Target="http://twitter.com/Agencia_Andina/status/1112780411292315648" TargetMode="External"/><Relationship Id="rId555" Type="http://schemas.openxmlformats.org/officeDocument/2006/relationships/hyperlink" Target="http://twitter.com/injusticia100/status/1112848555977400321" TargetMode="External"/><Relationship Id="rId762" Type="http://schemas.openxmlformats.org/officeDocument/2006/relationships/hyperlink" Target="http://twitter.com/MariaAl34188188/status/1112909012779978752" TargetMode="External"/><Relationship Id="rId1185" Type="http://schemas.openxmlformats.org/officeDocument/2006/relationships/hyperlink" Target="http://twitter.com/chungoybatan/status/1113665974903951360" TargetMode="External"/><Relationship Id="rId1392" Type="http://schemas.openxmlformats.org/officeDocument/2006/relationships/hyperlink" Target="http://twitter.com/ClaudiaMonteag3/status/1114093033404997632" TargetMode="External"/><Relationship Id="rId208" Type="http://schemas.openxmlformats.org/officeDocument/2006/relationships/hyperlink" Target="http://twitter.com/GuerrilleroDice/status/1112739415716040704" TargetMode="External"/><Relationship Id="rId415" Type="http://schemas.openxmlformats.org/officeDocument/2006/relationships/hyperlink" Target="http://twitter.com/epicyasuni/status/1112800869253308418" TargetMode="External"/><Relationship Id="rId622" Type="http://schemas.openxmlformats.org/officeDocument/2006/relationships/hyperlink" Target="http://twitter.com/Samanamu/status/1112868564166430722" TargetMode="External"/><Relationship Id="rId1045" Type="http://schemas.openxmlformats.org/officeDocument/2006/relationships/hyperlink" Target="http://twitter.com/arno_anibal/status/1113305956178227201" TargetMode="External"/><Relationship Id="rId1252" Type="http://schemas.openxmlformats.org/officeDocument/2006/relationships/hyperlink" Target="http://twitter.com/cercastel2014/status/1113822287432749058" TargetMode="External"/><Relationship Id="rId1697" Type="http://schemas.openxmlformats.org/officeDocument/2006/relationships/hyperlink" Target="http://twitter.com/mari_bRuiz/status/1114767290925559808" TargetMode="External"/><Relationship Id="rId927" Type="http://schemas.openxmlformats.org/officeDocument/2006/relationships/hyperlink" Target="http://twitter.com/Digabriel5/status/1113067205216747521" TargetMode="External"/><Relationship Id="rId1112" Type="http://schemas.openxmlformats.org/officeDocument/2006/relationships/hyperlink" Target="http://twitter.com/joneyjuana/status/1113459370887716866" TargetMode="External"/><Relationship Id="rId1557" Type="http://schemas.openxmlformats.org/officeDocument/2006/relationships/hyperlink" Target="http://twitter.com/LEVI0SAMENDES/status/1114470499764068352" TargetMode="External"/><Relationship Id="rId1764" Type="http://schemas.openxmlformats.org/officeDocument/2006/relationships/hyperlink" Target="http://twitter.com/atarilmao/status/1114923599981424640" TargetMode="External"/><Relationship Id="rId1971" Type="http://schemas.openxmlformats.org/officeDocument/2006/relationships/hyperlink" Target="http://twitter.com/AccionDeAmparo/status/1115356062402715654" TargetMode="External"/><Relationship Id="rId56" Type="http://schemas.openxmlformats.org/officeDocument/2006/relationships/hyperlink" Target="http://twitter.com/LuluChaD2/status/1112691014370643968" TargetMode="External"/><Relationship Id="rId1417" Type="http://schemas.openxmlformats.org/officeDocument/2006/relationships/hyperlink" Target="http://twitter.com/parradoftmena/status/1114164818167128065" TargetMode="External"/><Relationship Id="rId1624" Type="http://schemas.openxmlformats.org/officeDocument/2006/relationships/hyperlink" Target="http://twitter.com/violet_nane/status/1114622227050311681" TargetMode="External"/><Relationship Id="rId1831" Type="http://schemas.openxmlformats.org/officeDocument/2006/relationships/hyperlink" Target="http://twitter.com/anatari33/status/1115073842949447680" TargetMode="External"/><Relationship Id="rId1929" Type="http://schemas.openxmlformats.org/officeDocument/2006/relationships/hyperlink" Target="http://twitter.com/elvira_baldeon/status/1115267889681129473" TargetMode="External"/><Relationship Id="rId272" Type="http://schemas.openxmlformats.org/officeDocument/2006/relationships/hyperlink" Target="http://twitter.com/ccondorchua/status/1112758092737974275" TargetMode="External"/><Relationship Id="rId577" Type="http://schemas.openxmlformats.org/officeDocument/2006/relationships/hyperlink" Target="http://twitter.com/SoniMili3001/status/1112851267917922304" TargetMode="External"/><Relationship Id="rId132" Type="http://schemas.openxmlformats.org/officeDocument/2006/relationships/hyperlink" Target="http://twitter.com/Paramount_miss/status/1112716487985451010" TargetMode="External"/><Relationship Id="rId784" Type="http://schemas.openxmlformats.org/officeDocument/2006/relationships/hyperlink" Target="http://twitter.com/midoeru/status/1112916001522417664" TargetMode="External"/><Relationship Id="rId991" Type="http://schemas.openxmlformats.org/officeDocument/2006/relationships/hyperlink" Target="http://twitter.com/Matonquiqui/status/1113216893735899136" TargetMode="External"/><Relationship Id="rId1067" Type="http://schemas.openxmlformats.org/officeDocument/2006/relationships/hyperlink" Target="http://twitter.com/rondonaza/status/1113346205831057408" TargetMode="External"/><Relationship Id="rId437" Type="http://schemas.openxmlformats.org/officeDocument/2006/relationships/hyperlink" Target="http://twitter.com/unlolazo_/status/1112804682030833666" TargetMode="External"/><Relationship Id="rId644" Type="http://schemas.openxmlformats.org/officeDocument/2006/relationships/hyperlink" Target="http://twitter.com/vrojas12/status/1112876972923736065" TargetMode="External"/><Relationship Id="rId851" Type="http://schemas.openxmlformats.org/officeDocument/2006/relationships/hyperlink" Target="http://twitter.com/MariRF12/status/1112934680536473600" TargetMode="External"/><Relationship Id="rId1274" Type="http://schemas.openxmlformats.org/officeDocument/2006/relationships/hyperlink" Target="http://twitter.com/yovana71209824/status/1113851194819207168" TargetMode="External"/><Relationship Id="rId1481" Type="http://schemas.openxmlformats.org/officeDocument/2006/relationships/hyperlink" Target="http://twitter.com/james006_d/status/1114288436150710279" TargetMode="External"/><Relationship Id="rId1579" Type="http://schemas.openxmlformats.org/officeDocument/2006/relationships/hyperlink" Target="http://twitter.com/gizlaine2/status/1114502090066472962" TargetMode="External"/><Relationship Id="rId504" Type="http://schemas.openxmlformats.org/officeDocument/2006/relationships/hyperlink" Target="http://twitter.com/delro3000/status/1112830909437415431" TargetMode="External"/><Relationship Id="rId711" Type="http://schemas.openxmlformats.org/officeDocument/2006/relationships/hyperlink" Target="http://twitter.com/JorgeEv27674587/status/1112894347991703552" TargetMode="External"/><Relationship Id="rId949" Type="http://schemas.openxmlformats.org/officeDocument/2006/relationships/hyperlink" Target="http://twitter.com/WELLINGTONCHUAL/status/1113097590260842498" TargetMode="External"/><Relationship Id="rId1134" Type="http://schemas.openxmlformats.org/officeDocument/2006/relationships/hyperlink" Target="http://twitter.com/Adeica1/status/1113490869745848320" TargetMode="External"/><Relationship Id="rId1341" Type="http://schemas.openxmlformats.org/officeDocument/2006/relationships/hyperlink" Target="http://twitter.com/Marcielmarciano/status/1113998973763817474" TargetMode="External"/><Relationship Id="rId1786" Type="http://schemas.openxmlformats.org/officeDocument/2006/relationships/hyperlink" Target="http://twitter.com/AlfonsoMDelgado/status/1114953526487261184" TargetMode="External"/><Relationship Id="rId1993" Type="http://schemas.openxmlformats.org/officeDocument/2006/relationships/hyperlink" Target="http://twitter.com/RichardArcePeru/status/1115416735157510145" TargetMode="External"/><Relationship Id="rId78" Type="http://schemas.openxmlformats.org/officeDocument/2006/relationships/hyperlink" Target="http://twitter.com/ArequipaLlantas/status/1112699639046770688" TargetMode="External"/><Relationship Id="rId809" Type="http://schemas.openxmlformats.org/officeDocument/2006/relationships/hyperlink" Target="http://twitter.com/JuanManuelGall4/status/1112923672984109056" TargetMode="External"/><Relationship Id="rId1201" Type="http://schemas.openxmlformats.org/officeDocument/2006/relationships/hyperlink" Target="http://twitter.com/teresaarbulu/status/1113685035968860160" TargetMode="External"/><Relationship Id="rId1439" Type="http://schemas.openxmlformats.org/officeDocument/2006/relationships/hyperlink" Target="http://twitter.com/marcelohuaita/status/1114195387227758592" TargetMode="External"/><Relationship Id="rId1646" Type="http://schemas.openxmlformats.org/officeDocument/2006/relationships/hyperlink" Target="http://twitter.com/PeruPressTv/status/1114653008095252480" TargetMode="External"/><Relationship Id="rId1853" Type="http://schemas.openxmlformats.org/officeDocument/2006/relationships/hyperlink" Target="http://twitter.com/ormusverum/status/1115099762473218048" TargetMode="External"/><Relationship Id="rId1506" Type="http://schemas.openxmlformats.org/officeDocument/2006/relationships/hyperlink" Target="http://twitter.com/LizbethVelezGad/status/1114346053732532224" TargetMode="External"/><Relationship Id="rId1713" Type="http://schemas.openxmlformats.org/officeDocument/2006/relationships/hyperlink" Target="http://twitter.com/Gabriela_Malla/status/1114800575688970240" TargetMode="External"/><Relationship Id="rId1920" Type="http://schemas.openxmlformats.org/officeDocument/2006/relationships/hyperlink" Target="http://twitter.com/NarcizoMirna/status/1115236318630621185" TargetMode="External"/><Relationship Id="rId294" Type="http://schemas.openxmlformats.org/officeDocument/2006/relationships/hyperlink" Target="http://twitter.com/luislchihuan/status/1112765403024052226" TargetMode="External"/><Relationship Id="rId154" Type="http://schemas.openxmlformats.org/officeDocument/2006/relationships/hyperlink" Target="http://twitter.com/psychopatita/status/1112723990223704066" TargetMode="External"/><Relationship Id="rId361" Type="http://schemas.openxmlformats.org/officeDocument/2006/relationships/hyperlink" Target="http://twitter.com/handkettcurlhu1/status/1112785393466925056" TargetMode="External"/><Relationship Id="rId599" Type="http://schemas.openxmlformats.org/officeDocument/2006/relationships/hyperlink" Target="http://twitter.com/EmilianoRumiche/status/1112859740227428352" TargetMode="External"/><Relationship Id="rId459" Type="http://schemas.openxmlformats.org/officeDocument/2006/relationships/hyperlink" Target="http://twitter.com/pintora67/status/1112813624970633222" TargetMode="External"/><Relationship Id="rId666" Type="http://schemas.openxmlformats.org/officeDocument/2006/relationships/hyperlink" Target="http://twitter.com/JorgeEv27674587/status/1112882165384015872" TargetMode="External"/><Relationship Id="rId873" Type="http://schemas.openxmlformats.org/officeDocument/2006/relationships/hyperlink" Target="http://twitter.com/Tedfarfan/status/1112940220889075712" TargetMode="External"/><Relationship Id="rId1089" Type="http://schemas.openxmlformats.org/officeDocument/2006/relationships/hyperlink" Target="http://twitter.com/LONDONAIMCAP/status/1113388188763066369" TargetMode="External"/><Relationship Id="rId1296" Type="http://schemas.openxmlformats.org/officeDocument/2006/relationships/hyperlink" Target="http://twitter.com/YaLocalBeanerrr/status/1113911369965948932" TargetMode="External"/><Relationship Id="rId221" Type="http://schemas.openxmlformats.org/officeDocument/2006/relationships/hyperlink" Target="http://twitter.com/pedces/status/1112742464622874624" TargetMode="External"/><Relationship Id="rId319" Type="http://schemas.openxmlformats.org/officeDocument/2006/relationships/hyperlink" Target="http://twitter.com/jptolentino3/status/1112774498414194688" TargetMode="External"/><Relationship Id="rId526" Type="http://schemas.openxmlformats.org/officeDocument/2006/relationships/hyperlink" Target="http://twitter.com/prensaelbarrio/status/1112836737225646081" TargetMode="External"/><Relationship Id="rId1156" Type="http://schemas.openxmlformats.org/officeDocument/2006/relationships/hyperlink" Target="http://twitter.com/choquecurat/status/1113581211350372353" TargetMode="External"/><Relationship Id="rId1363" Type="http://schemas.openxmlformats.org/officeDocument/2006/relationships/hyperlink" Target="http://twitter.com/anaedpc/status/1114037313376587777" TargetMode="External"/><Relationship Id="rId733" Type="http://schemas.openxmlformats.org/officeDocument/2006/relationships/hyperlink" Target="http://twitter.com/midoeru/status/1112901701231673350" TargetMode="External"/><Relationship Id="rId940" Type="http://schemas.openxmlformats.org/officeDocument/2006/relationships/hyperlink" Target="http://twitter.com/CiudaPachacutec/status/1113096000137318401" TargetMode="External"/><Relationship Id="rId1016" Type="http://schemas.openxmlformats.org/officeDocument/2006/relationships/hyperlink" Target="http://twitter.com/iza_pontess/status/1113248218509381633" TargetMode="External"/><Relationship Id="rId1570" Type="http://schemas.openxmlformats.org/officeDocument/2006/relationships/hyperlink" Target="http://twitter.com/Juan_Yauca/status/1114500416648155138" TargetMode="External"/><Relationship Id="rId1668" Type="http://schemas.openxmlformats.org/officeDocument/2006/relationships/hyperlink" Target="http://twitter.com/PeruPressTv/status/1114713822428901377" TargetMode="External"/><Relationship Id="rId1875" Type="http://schemas.openxmlformats.org/officeDocument/2006/relationships/hyperlink" Target="http://twitter.com/Hann_Magan/status/1115137840457895942" TargetMode="External"/><Relationship Id="rId800" Type="http://schemas.openxmlformats.org/officeDocument/2006/relationships/hyperlink" Target="http://twitter.com/tonyventur/status/1112921019013087232" TargetMode="External"/><Relationship Id="rId1223" Type="http://schemas.openxmlformats.org/officeDocument/2006/relationships/hyperlink" Target="http://twitter.com/MARLENYSUAREZG/status/1113707322612670464" TargetMode="External"/><Relationship Id="rId1430" Type="http://schemas.openxmlformats.org/officeDocument/2006/relationships/hyperlink" Target="http://twitter.com/jacky15051573/status/1114192034850594816" TargetMode="External"/><Relationship Id="rId1528" Type="http://schemas.openxmlformats.org/officeDocument/2006/relationships/hyperlink" Target="http://twitter.com/eml229/status/1114395070009049088" TargetMode="External"/><Relationship Id="rId1735" Type="http://schemas.openxmlformats.org/officeDocument/2006/relationships/hyperlink" Target="http://twitter.com/luismedinah/status/1114864074981085191" TargetMode="External"/><Relationship Id="rId1942" Type="http://schemas.openxmlformats.org/officeDocument/2006/relationships/hyperlink" Target="http://twitter.com/tuput/status/1115296459027623936" TargetMode="External"/><Relationship Id="rId27" Type="http://schemas.openxmlformats.org/officeDocument/2006/relationships/hyperlink" Target="http://twitter.com/CaudiaAngelica/status/1112681906418659328" TargetMode="External"/><Relationship Id="rId1802" Type="http://schemas.openxmlformats.org/officeDocument/2006/relationships/hyperlink" Target="http://twitter.com/Marimery_97/status/1114984528211337216" TargetMode="External"/><Relationship Id="rId176" Type="http://schemas.openxmlformats.org/officeDocument/2006/relationships/hyperlink" Target="http://twitter.com/a_ibk/status/1112730471505358849" TargetMode="External"/><Relationship Id="rId383" Type="http://schemas.openxmlformats.org/officeDocument/2006/relationships/hyperlink" Target="http://twitter.com/anama_balaguer/status/1112788608077819904" TargetMode="External"/><Relationship Id="rId590" Type="http://schemas.openxmlformats.org/officeDocument/2006/relationships/hyperlink" Target="http://twitter.com/AmazoniaSur/status/1112855692417945601" TargetMode="External"/><Relationship Id="rId243" Type="http://schemas.openxmlformats.org/officeDocument/2006/relationships/hyperlink" Target="http://twitter.com/ISialer/status/1112750413709631493" TargetMode="External"/><Relationship Id="rId450" Type="http://schemas.openxmlformats.org/officeDocument/2006/relationships/hyperlink" Target="http://twitter.com/pezuni5256/status/1112809928861868033" TargetMode="External"/><Relationship Id="rId688" Type="http://schemas.openxmlformats.org/officeDocument/2006/relationships/hyperlink" Target="http://twitter.com/Leslie1723/status/1112889614816239626" TargetMode="External"/><Relationship Id="rId895" Type="http://schemas.openxmlformats.org/officeDocument/2006/relationships/hyperlink" Target="http://twitter.com/KM2PE/status/1112970657866887169" TargetMode="External"/><Relationship Id="rId1080" Type="http://schemas.openxmlformats.org/officeDocument/2006/relationships/hyperlink" Target="http://twitter.com/orates72/status/1113381956157431809" TargetMode="External"/><Relationship Id="rId103" Type="http://schemas.openxmlformats.org/officeDocument/2006/relationships/hyperlink" Target="http://twitter.com/LuisaPalaciosS/status/1112706485308608512" TargetMode="External"/><Relationship Id="rId310" Type="http://schemas.openxmlformats.org/officeDocument/2006/relationships/hyperlink" Target="http://twitter.com/_danielarce/status/1112768132131799045" TargetMode="External"/><Relationship Id="rId548" Type="http://schemas.openxmlformats.org/officeDocument/2006/relationships/hyperlink" Target="http://twitter.com/felipachi58/status/1112843778124124160" TargetMode="External"/><Relationship Id="rId755" Type="http://schemas.openxmlformats.org/officeDocument/2006/relationships/hyperlink" Target="http://twitter.com/Miluska_you/status/1112905359826485249" TargetMode="External"/><Relationship Id="rId962" Type="http://schemas.openxmlformats.org/officeDocument/2006/relationships/hyperlink" Target="http://twitter.com/mercedialo/status/1113127459057270784" TargetMode="External"/><Relationship Id="rId1178" Type="http://schemas.openxmlformats.org/officeDocument/2006/relationships/hyperlink" Target="http://twitter.com/Cesarda27419728/status/1113640257944211456" TargetMode="External"/><Relationship Id="rId1385" Type="http://schemas.openxmlformats.org/officeDocument/2006/relationships/hyperlink" Target="http://twitter.com/All_insasa/status/1114055533999341568" TargetMode="External"/><Relationship Id="rId1592" Type="http://schemas.openxmlformats.org/officeDocument/2006/relationships/hyperlink" Target="http://twitter.com/unknoweather/status/1114532825582243840" TargetMode="External"/><Relationship Id="rId91" Type="http://schemas.openxmlformats.org/officeDocument/2006/relationships/hyperlink" Target="http://twitter.com/ManuelhuntersS/status/1112703248404828160" TargetMode="External"/><Relationship Id="rId408" Type="http://schemas.openxmlformats.org/officeDocument/2006/relationships/hyperlink" Target="http://twitter.com/elmontonero_pe/status/1112799291871944704" TargetMode="External"/><Relationship Id="rId615" Type="http://schemas.openxmlformats.org/officeDocument/2006/relationships/hyperlink" Target="http://twitter.com/canalN_/status/1112864481586102272" TargetMode="External"/><Relationship Id="rId822" Type="http://schemas.openxmlformats.org/officeDocument/2006/relationships/hyperlink" Target="http://twitter.com/LuisHomero20/status/1112926310316281856" TargetMode="External"/><Relationship Id="rId1038" Type="http://schemas.openxmlformats.org/officeDocument/2006/relationships/hyperlink" Target="http://twitter.com/miguelrom2021/status/1113303794153136128" TargetMode="External"/><Relationship Id="rId1245" Type="http://schemas.openxmlformats.org/officeDocument/2006/relationships/hyperlink" Target="http://twitter.com/radioprodemu/status/1113791484103471104" TargetMode="External"/><Relationship Id="rId1452" Type="http://schemas.openxmlformats.org/officeDocument/2006/relationships/hyperlink" Target="http://twitter.com/ada_rengifo/status/1114224864821432321" TargetMode="External"/><Relationship Id="rId1897" Type="http://schemas.openxmlformats.org/officeDocument/2006/relationships/hyperlink" Target="http://twitter.com/teresaarbulu/status/1115166383879393280" TargetMode="External"/><Relationship Id="rId1105" Type="http://schemas.openxmlformats.org/officeDocument/2006/relationships/hyperlink" Target="http://twitter.com/PPKEIKOFREE/status/1113431027211436032" TargetMode="External"/><Relationship Id="rId1312" Type="http://schemas.openxmlformats.org/officeDocument/2006/relationships/hyperlink" Target="http://twitter.com/Fernando27322/status/1113942376706465792" TargetMode="External"/><Relationship Id="rId1757" Type="http://schemas.openxmlformats.org/officeDocument/2006/relationships/hyperlink" Target="http://twitter.com/GabriellaLen1/status/1114894912984629254" TargetMode="External"/><Relationship Id="rId1964" Type="http://schemas.openxmlformats.org/officeDocument/2006/relationships/hyperlink" Target="http://twitter.com/Sra_Tumnus/status/1115355263463231491" TargetMode="External"/><Relationship Id="rId49" Type="http://schemas.openxmlformats.org/officeDocument/2006/relationships/hyperlink" Target="http://twitter.com/Suzzanita/status/1112689848031166464" TargetMode="External"/><Relationship Id="rId1617" Type="http://schemas.openxmlformats.org/officeDocument/2006/relationships/hyperlink" Target="http://twitter.com/josop55/status/1114591714554130436" TargetMode="External"/><Relationship Id="rId1824" Type="http://schemas.openxmlformats.org/officeDocument/2006/relationships/hyperlink" Target="http://twitter.com/Gauchada_ls/status/1115042316761423873" TargetMode="External"/><Relationship Id="rId198" Type="http://schemas.openxmlformats.org/officeDocument/2006/relationships/hyperlink" Target="http://twitter.com/CooperAccionPER/status/1112738893399351296" TargetMode="External"/><Relationship Id="rId265" Type="http://schemas.openxmlformats.org/officeDocument/2006/relationships/hyperlink" Target="http://twitter.com/JSachun/status/1112757374706728966" TargetMode="External"/><Relationship Id="rId472" Type="http://schemas.openxmlformats.org/officeDocument/2006/relationships/hyperlink" Target="http://twitter.com/paulaaz__/status/1112817493259796480" TargetMode="External"/><Relationship Id="rId125" Type="http://schemas.openxmlformats.org/officeDocument/2006/relationships/hyperlink" Target="http://twitter.com/Politica_LR/status/1112712840933228544" TargetMode="External"/><Relationship Id="rId332" Type="http://schemas.openxmlformats.org/officeDocument/2006/relationships/hyperlink" Target="http://twitter.com/Politico_pe/status/1112776645172031488" TargetMode="External"/><Relationship Id="rId777" Type="http://schemas.openxmlformats.org/officeDocument/2006/relationships/hyperlink" Target="http://twitter.com/pruperu/status/1112913588988141569" TargetMode="External"/><Relationship Id="rId984" Type="http://schemas.openxmlformats.org/officeDocument/2006/relationships/hyperlink" Target="http://twitter.com/hlrmariana/status/1113187023769272327" TargetMode="External"/><Relationship Id="rId637" Type="http://schemas.openxmlformats.org/officeDocument/2006/relationships/hyperlink" Target="http://twitter.com/Cesar81357014/status/1112873831088226310" TargetMode="External"/><Relationship Id="rId844" Type="http://schemas.openxmlformats.org/officeDocument/2006/relationships/hyperlink" Target="http://twitter.com/Milenadovil/status/1112933098440847360" TargetMode="External"/><Relationship Id="rId1267" Type="http://schemas.openxmlformats.org/officeDocument/2006/relationships/hyperlink" Target="http://twitter.com/lisarita1956/status/1113850622590234625" TargetMode="External"/><Relationship Id="rId1474" Type="http://schemas.openxmlformats.org/officeDocument/2006/relationships/hyperlink" Target="http://twitter.com/EconomiaECpe/status/1114286591961333761" TargetMode="External"/><Relationship Id="rId1681" Type="http://schemas.openxmlformats.org/officeDocument/2006/relationships/hyperlink" Target="http://twitter.com/RositaFlores12/status/1114742090242695168" TargetMode="External"/><Relationship Id="rId704" Type="http://schemas.openxmlformats.org/officeDocument/2006/relationships/hyperlink" Target="http://twitter.com/oguillenp/status/1112892915376951296" TargetMode="External"/><Relationship Id="rId911" Type="http://schemas.openxmlformats.org/officeDocument/2006/relationships/hyperlink" Target="http://twitter.com/peruenlanoticia/status/1112998964528377857" TargetMode="External"/><Relationship Id="rId1127" Type="http://schemas.openxmlformats.org/officeDocument/2006/relationships/hyperlink" Target="http://twitter.com/WilsonCoronad17/status/1113489184369577986" TargetMode="External"/><Relationship Id="rId1334" Type="http://schemas.openxmlformats.org/officeDocument/2006/relationships/hyperlink" Target="http://twitter.com/BarMarquina/status/1113997547524186113" TargetMode="External"/><Relationship Id="rId1541" Type="http://schemas.openxmlformats.org/officeDocument/2006/relationships/hyperlink" Target="http://twitter.com/silviahupiu/status/1114401349729439744" TargetMode="External"/><Relationship Id="rId1779" Type="http://schemas.openxmlformats.org/officeDocument/2006/relationships/hyperlink" Target="http://twitter.com/nicoalessandrap/status/1114952421795618823" TargetMode="External"/><Relationship Id="rId1986" Type="http://schemas.openxmlformats.org/officeDocument/2006/relationships/hyperlink" Target="http://twitter.com/Ivammaru/status/1115387751854223367" TargetMode="External"/><Relationship Id="rId40" Type="http://schemas.openxmlformats.org/officeDocument/2006/relationships/hyperlink" Target="http://twitter.com/DBR74/status/1112685600241577987" TargetMode="External"/><Relationship Id="rId1401" Type="http://schemas.openxmlformats.org/officeDocument/2006/relationships/hyperlink" Target="http://twitter.com/EfrainArca/status/1114098616732463104" TargetMode="External"/><Relationship Id="rId1639" Type="http://schemas.openxmlformats.org/officeDocument/2006/relationships/hyperlink" Target="http://twitter.com/marycard26/status/1114652079522492417" TargetMode="External"/><Relationship Id="rId1846" Type="http://schemas.openxmlformats.org/officeDocument/2006/relationships/hyperlink" Target="http://twitter.com/LuzC417/status/1115097840840323072" TargetMode="External"/><Relationship Id="rId1706" Type="http://schemas.openxmlformats.org/officeDocument/2006/relationships/hyperlink" Target="http://twitter.com/leoncio1404/status/1114797912012328960" TargetMode="External"/><Relationship Id="rId1913" Type="http://schemas.openxmlformats.org/officeDocument/2006/relationships/hyperlink" Target="http://twitter.com/stramandalopes/status/1115235175951163395" TargetMode="External"/><Relationship Id="rId287" Type="http://schemas.openxmlformats.org/officeDocument/2006/relationships/hyperlink" Target="http://twitter.com/proactivoperu/status/1112762045462659074" TargetMode="External"/><Relationship Id="rId494" Type="http://schemas.openxmlformats.org/officeDocument/2006/relationships/hyperlink" Target="http://twitter.com/MIGUELITOPEREZR/status/1112828433967579138" TargetMode="External"/><Relationship Id="rId147" Type="http://schemas.openxmlformats.org/officeDocument/2006/relationships/hyperlink" Target="http://twitter.com/mportocarrero/status/1112722645554991104" TargetMode="External"/><Relationship Id="rId354" Type="http://schemas.openxmlformats.org/officeDocument/2006/relationships/hyperlink" Target="http://twitter.com/christiansoto77/status/1112781979697778688" TargetMode="External"/><Relationship Id="rId799" Type="http://schemas.openxmlformats.org/officeDocument/2006/relationships/hyperlink" Target="http://twitter.com/cchavarry/status/1112920953124786178" TargetMode="External"/><Relationship Id="rId1191" Type="http://schemas.openxmlformats.org/officeDocument/2006/relationships/hyperlink" Target="http://twitter.com/luisinho_ica/status/1113668570611953664" TargetMode="External"/><Relationship Id="rId561" Type="http://schemas.openxmlformats.org/officeDocument/2006/relationships/hyperlink" Target="http://twitter.com/rayfull6/status/1112849243650383873" TargetMode="External"/><Relationship Id="rId659" Type="http://schemas.openxmlformats.org/officeDocument/2006/relationships/hyperlink" Target="http://twitter.com/pattymoka/status/1112881054224969728" TargetMode="External"/><Relationship Id="rId866" Type="http://schemas.openxmlformats.org/officeDocument/2006/relationships/hyperlink" Target="http://twitter.com/ttvnr/status/1112937878001274881" TargetMode="External"/><Relationship Id="rId1289" Type="http://schemas.openxmlformats.org/officeDocument/2006/relationships/hyperlink" Target="http://twitter.com/Judycastro2/status/1113884604635787264" TargetMode="External"/><Relationship Id="rId1496" Type="http://schemas.openxmlformats.org/officeDocument/2006/relationships/hyperlink" Target="http://twitter.com/loveszmcrls/status/1114319070680186880" TargetMode="External"/><Relationship Id="rId214" Type="http://schemas.openxmlformats.org/officeDocument/2006/relationships/hyperlink" Target="http://twitter.com/ceramosf/status/1112742178269343744" TargetMode="External"/><Relationship Id="rId421" Type="http://schemas.openxmlformats.org/officeDocument/2006/relationships/hyperlink" Target="http://twitter.com/lyudmilaox/status/1112802453550841857" TargetMode="External"/><Relationship Id="rId519" Type="http://schemas.openxmlformats.org/officeDocument/2006/relationships/hyperlink" Target="http://twitter.com/Gioanna30536597/status/1112835858552504320" TargetMode="External"/><Relationship Id="rId1051" Type="http://schemas.openxmlformats.org/officeDocument/2006/relationships/hyperlink" Target="http://twitter.com/LilianaJimnezLo/status/1113325095936593920" TargetMode="External"/><Relationship Id="rId1149" Type="http://schemas.openxmlformats.org/officeDocument/2006/relationships/hyperlink" Target="http://twitter.com/dgrados/status/1113580570720784384" TargetMode="External"/><Relationship Id="rId1356" Type="http://schemas.openxmlformats.org/officeDocument/2006/relationships/hyperlink" Target="http://twitter.com/injusticia100/status/1114028763870838786" TargetMode="External"/><Relationship Id="rId726" Type="http://schemas.openxmlformats.org/officeDocument/2006/relationships/hyperlink" Target="http://twitter.com/Dunia80165787/status/1112898209825865729" TargetMode="External"/><Relationship Id="rId933" Type="http://schemas.openxmlformats.org/officeDocument/2006/relationships/hyperlink" Target="http://twitter.com/compol_peru/status/1113068042617905153" TargetMode="External"/><Relationship Id="rId1009" Type="http://schemas.openxmlformats.org/officeDocument/2006/relationships/hyperlink" Target="http://twitter.com/everreynosoh/status/1113246952123191298" TargetMode="External"/><Relationship Id="rId1563" Type="http://schemas.openxmlformats.org/officeDocument/2006/relationships/hyperlink" Target="http://twitter.com/anaistilinski/status/1114471205254438912" TargetMode="External"/><Relationship Id="rId1770" Type="http://schemas.openxmlformats.org/officeDocument/2006/relationships/hyperlink" Target="http://twitter.com/ruhm_online/status/1114924057928060934" TargetMode="External"/><Relationship Id="rId1868" Type="http://schemas.openxmlformats.org/officeDocument/2006/relationships/hyperlink" Target="http://twitter.com/kidrauhrI/status/1115131362913280000" TargetMode="External"/><Relationship Id="rId62" Type="http://schemas.openxmlformats.org/officeDocument/2006/relationships/hyperlink" Target="http://twitter.com/cenvall/status/1112693427379023873" TargetMode="External"/><Relationship Id="rId1216" Type="http://schemas.openxmlformats.org/officeDocument/2006/relationships/hyperlink" Target="http://twitter.com/Elessandro_J/status/1113703971472977920" TargetMode="External"/><Relationship Id="rId1423" Type="http://schemas.openxmlformats.org/officeDocument/2006/relationships/hyperlink" Target="http://twitter.com/WalterWdbd/status/1114166087158063104" TargetMode="External"/><Relationship Id="rId1630" Type="http://schemas.openxmlformats.org/officeDocument/2006/relationships/hyperlink" Target="http://twitter.com/cviguria/status/1114622923803897857" TargetMode="External"/><Relationship Id="rId1728" Type="http://schemas.openxmlformats.org/officeDocument/2006/relationships/hyperlink" Target="http://twitter.com/paaauulss/status/1114832648755658752" TargetMode="External"/><Relationship Id="rId1935" Type="http://schemas.openxmlformats.org/officeDocument/2006/relationships/hyperlink" Target="http://twitter.com/LaiaHernndez5/status/1115268121043054594" TargetMode="External"/><Relationship Id="rId169" Type="http://schemas.openxmlformats.org/officeDocument/2006/relationships/hyperlink" Target="http://twitter.com/agildemeisterrh/status/1112730239099199488" TargetMode="External"/><Relationship Id="rId376" Type="http://schemas.openxmlformats.org/officeDocument/2006/relationships/hyperlink" Target="http://twitter.com/Sebasco5/status/1112788063611248641" TargetMode="External"/><Relationship Id="rId583" Type="http://schemas.openxmlformats.org/officeDocument/2006/relationships/hyperlink" Target="http://twitter.com/PinchiPinchi20/status/1112852592059715586" TargetMode="External"/><Relationship Id="rId790" Type="http://schemas.openxmlformats.org/officeDocument/2006/relationships/hyperlink" Target="http://twitter.com/versosasesinos/status/1112917800341917696" TargetMode="External"/><Relationship Id="rId4" Type="http://schemas.openxmlformats.org/officeDocument/2006/relationships/hyperlink" Target="http://twitter.com/ArdidDeLaRazon/status/1112676979910823936" TargetMode="External"/><Relationship Id="rId236" Type="http://schemas.openxmlformats.org/officeDocument/2006/relationships/hyperlink" Target="http://twitter.com/rulostercos/status/1112750056896151552" TargetMode="External"/><Relationship Id="rId443" Type="http://schemas.openxmlformats.org/officeDocument/2006/relationships/hyperlink" Target="http://twitter.com/maycol318/status/1112806526840967169" TargetMode="External"/><Relationship Id="rId650" Type="http://schemas.openxmlformats.org/officeDocument/2006/relationships/hyperlink" Target="http://twitter.com/vasaldor/status/1112877874107879425" TargetMode="External"/><Relationship Id="rId888" Type="http://schemas.openxmlformats.org/officeDocument/2006/relationships/hyperlink" Target="http://twitter.com/PeruNews/status/1112968415860350977" TargetMode="External"/><Relationship Id="rId1073" Type="http://schemas.openxmlformats.org/officeDocument/2006/relationships/hyperlink" Target="http://twitter.com/Gestionpe/status/1113351680152678400" TargetMode="External"/><Relationship Id="rId1280" Type="http://schemas.openxmlformats.org/officeDocument/2006/relationships/hyperlink" Target="http://twitter.com/TemplanzaTeson/status/1113883152664154112" TargetMode="External"/><Relationship Id="rId303" Type="http://schemas.openxmlformats.org/officeDocument/2006/relationships/hyperlink" Target="http://twitter.com/intheauron/status/1112766215347494913" TargetMode="External"/><Relationship Id="rId748" Type="http://schemas.openxmlformats.org/officeDocument/2006/relationships/hyperlink" Target="http://twitter.com/davidhpalmar/status/1112904336269611008" TargetMode="External"/><Relationship Id="rId955" Type="http://schemas.openxmlformats.org/officeDocument/2006/relationships/hyperlink" Target="http://twitter.com/leo_dupont/status/1113126531663122434" TargetMode="External"/><Relationship Id="rId1140" Type="http://schemas.openxmlformats.org/officeDocument/2006/relationships/hyperlink" Target="http://twitter.com/LiberalNoProgre/status/1113519204387438593" TargetMode="External"/><Relationship Id="rId1378" Type="http://schemas.openxmlformats.org/officeDocument/2006/relationships/hyperlink" Target="http://twitter.com/parisvi/status/1114051804235431936" TargetMode="External"/><Relationship Id="rId1585" Type="http://schemas.openxmlformats.org/officeDocument/2006/relationships/hyperlink" Target="http://twitter.com/angelmixu/status/1114532568404086784" TargetMode="External"/><Relationship Id="rId1792" Type="http://schemas.openxmlformats.org/officeDocument/2006/relationships/hyperlink" Target="http://twitter.com/ferinnato/status/1114982622286024705" TargetMode="External"/><Relationship Id="rId84" Type="http://schemas.openxmlformats.org/officeDocument/2006/relationships/hyperlink" Target="http://twitter.com/minero_peru/status/1112700260688760834" TargetMode="External"/><Relationship Id="rId510" Type="http://schemas.openxmlformats.org/officeDocument/2006/relationships/hyperlink" Target="http://twitter.com/HUGOCAM01369992/status/1112831298689794049" TargetMode="External"/><Relationship Id="rId608" Type="http://schemas.openxmlformats.org/officeDocument/2006/relationships/hyperlink" Target="http://twitter.com/ImSebastianD/status/1112863543525867521" TargetMode="External"/><Relationship Id="rId815" Type="http://schemas.openxmlformats.org/officeDocument/2006/relationships/hyperlink" Target="http://twitter.com/denisantinori/status/1112925400475357184" TargetMode="External"/><Relationship Id="rId1238" Type="http://schemas.openxmlformats.org/officeDocument/2006/relationships/hyperlink" Target="http://twitter.com/cesarvillarm/status/1113753736474550273" TargetMode="External"/><Relationship Id="rId1445" Type="http://schemas.openxmlformats.org/officeDocument/2006/relationships/hyperlink" Target="http://twitter.com/ALDERRAMAV/status/1114223147195228160" TargetMode="External"/><Relationship Id="rId1652" Type="http://schemas.openxmlformats.org/officeDocument/2006/relationships/hyperlink" Target="http://twitter.com/Marglem_/status/1114681276689199105" TargetMode="External"/><Relationship Id="rId1000" Type="http://schemas.openxmlformats.org/officeDocument/2006/relationships/hyperlink" Target="http://twitter.com/BancadaAPP/status/1113218956918128640" TargetMode="External"/><Relationship Id="rId1305" Type="http://schemas.openxmlformats.org/officeDocument/2006/relationships/hyperlink" Target="http://twitter.com/kismipedro/status/1113941882697072646" TargetMode="External"/><Relationship Id="rId1957" Type="http://schemas.openxmlformats.org/officeDocument/2006/relationships/hyperlink" Target="http://twitter.com/uribenschmuel/status/1115327640863412225" TargetMode="External"/><Relationship Id="rId1512" Type="http://schemas.openxmlformats.org/officeDocument/2006/relationships/hyperlink" Target="http://twitter.com/Elenardea/status/1114369744398766080" TargetMode="External"/><Relationship Id="rId1817" Type="http://schemas.openxmlformats.org/officeDocument/2006/relationships/hyperlink" Target="http://twitter.com/enzzobarrena/status/1115041836224086018" TargetMode="External"/><Relationship Id="rId11" Type="http://schemas.openxmlformats.org/officeDocument/2006/relationships/hyperlink" Target="http://twitter.com/elmontonero_pe/status/1112678496336310274" TargetMode="External"/><Relationship Id="rId398" Type="http://schemas.openxmlformats.org/officeDocument/2006/relationships/hyperlink" Target="http://twitter.com/chaplin2310/status/1112792369420820481" TargetMode="External"/><Relationship Id="rId160" Type="http://schemas.openxmlformats.org/officeDocument/2006/relationships/hyperlink" Target="http://twitter.com/jlmalagachocano/status/1112726089615462401" TargetMode="External"/><Relationship Id="rId258" Type="http://schemas.openxmlformats.org/officeDocument/2006/relationships/hyperlink" Target="http://twitter.com/PatriGarri14/status/1112754698426167296" TargetMode="External"/><Relationship Id="rId465" Type="http://schemas.openxmlformats.org/officeDocument/2006/relationships/hyperlink" Target="http://twitter.com/dosdemaino/status/1112815066573934593" TargetMode="External"/><Relationship Id="rId672" Type="http://schemas.openxmlformats.org/officeDocument/2006/relationships/hyperlink" Target="http://twitter.com/aruizpdc/status/1112884880046583808" TargetMode="External"/><Relationship Id="rId1095" Type="http://schemas.openxmlformats.org/officeDocument/2006/relationships/hyperlink" Target="http://twitter.com/SegundoMattaC/status/1113429072074375168" TargetMode="External"/><Relationship Id="rId118" Type="http://schemas.openxmlformats.org/officeDocument/2006/relationships/hyperlink" Target="http://twitter.com/dianahidalgoD/status/1112712282050568196" TargetMode="External"/><Relationship Id="rId325" Type="http://schemas.openxmlformats.org/officeDocument/2006/relationships/hyperlink" Target="http://twitter.com/Peru_Noticias/status/1112775993423532032" TargetMode="External"/><Relationship Id="rId532" Type="http://schemas.openxmlformats.org/officeDocument/2006/relationships/hyperlink" Target="http://twitter.com/FernandoJGil/status/1112838938044006407" TargetMode="External"/><Relationship Id="rId977" Type="http://schemas.openxmlformats.org/officeDocument/2006/relationships/hyperlink" Target="http://twitter.com/miguelinomen53/status/1113185547911086081" TargetMode="External"/><Relationship Id="rId1162" Type="http://schemas.openxmlformats.org/officeDocument/2006/relationships/hyperlink" Target="http://twitter.com/MezoneRives/status/1113611759993139201" TargetMode="External"/><Relationship Id="rId837" Type="http://schemas.openxmlformats.org/officeDocument/2006/relationships/hyperlink" Target="http://twitter.com/xkathys/status/1112929532888133632" TargetMode="External"/><Relationship Id="rId1022" Type="http://schemas.openxmlformats.org/officeDocument/2006/relationships/hyperlink" Target="http://twitter.com/ucinoticias_pe/status/1113277183206862848" TargetMode="External"/><Relationship Id="rId1467" Type="http://schemas.openxmlformats.org/officeDocument/2006/relationships/hyperlink" Target="http://twitter.com/mercedialo/status/1114253790826332162" TargetMode="External"/><Relationship Id="rId1674" Type="http://schemas.openxmlformats.org/officeDocument/2006/relationships/hyperlink" Target="http://twitter.com/ohornaf/status/1114714163748716544" TargetMode="External"/><Relationship Id="rId1881" Type="http://schemas.openxmlformats.org/officeDocument/2006/relationships/hyperlink" Target="http://twitter.com/Dirtyshoes5/status/1115140167277457409" TargetMode="External"/><Relationship Id="rId904" Type="http://schemas.openxmlformats.org/officeDocument/2006/relationships/hyperlink" Target="http://twitter.com/InfostellePeru/status/1112990620635795456" TargetMode="External"/><Relationship Id="rId1327" Type="http://schemas.openxmlformats.org/officeDocument/2006/relationships/hyperlink" Target="http://twitter.com/09Veroca/status/1113972002061193217" TargetMode="External"/><Relationship Id="rId1534" Type="http://schemas.openxmlformats.org/officeDocument/2006/relationships/hyperlink" Target="http://twitter.com/KristhianWA/status/1114398430523162624" TargetMode="External"/><Relationship Id="rId1741" Type="http://schemas.openxmlformats.org/officeDocument/2006/relationships/hyperlink" Target="http://twitter.com/UnRusoEnBolas/status/1114864589164961793" TargetMode="External"/><Relationship Id="rId1979" Type="http://schemas.openxmlformats.org/officeDocument/2006/relationships/hyperlink" Target="http://twitter.com/hugo11__/status/1115386879501832193" TargetMode="External"/><Relationship Id="rId33" Type="http://schemas.openxmlformats.org/officeDocument/2006/relationships/hyperlink" Target="http://twitter.com/rrvillagomez/status/1112684361755910144" TargetMode="External"/><Relationship Id="rId1601" Type="http://schemas.openxmlformats.org/officeDocument/2006/relationships/hyperlink" Target="http://twitter.com/SamyH1982/status/1114562908543959040" TargetMode="External"/><Relationship Id="rId1839" Type="http://schemas.openxmlformats.org/officeDocument/2006/relationships/hyperlink" Target="http://twitter.com/mediosperuanos/status/1115074541586386945" TargetMode="External"/><Relationship Id="rId182" Type="http://schemas.openxmlformats.org/officeDocument/2006/relationships/hyperlink" Target="http://twitter.com/LSixtomolina/status/1112731420735258624" TargetMode="External"/><Relationship Id="rId1906" Type="http://schemas.openxmlformats.org/officeDocument/2006/relationships/hyperlink" Target="http://twitter.com/ofsmexico/status/1115199054177361921" TargetMode="External"/><Relationship Id="rId487" Type="http://schemas.openxmlformats.org/officeDocument/2006/relationships/hyperlink" Target="http://twitter.com/carlos1504511/status/1112824853701255169" TargetMode="External"/><Relationship Id="rId694" Type="http://schemas.openxmlformats.org/officeDocument/2006/relationships/hyperlink" Target="http://twitter.com/kedelsg/status/1112890620429942784" TargetMode="External"/><Relationship Id="rId347" Type="http://schemas.openxmlformats.org/officeDocument/2006/relationships/hyperlink" Target="http://twitter.com/StorinoAragon/status/1112780016620920832" TargetMode="External"/><Relationship Id="rId999" Type="http://schemas.openxmlformats.org/officeDocument/2006/relationships/hyperlink" Target="http://twitter.com/Malissnu/status/1113218661689495553" TargetMode="External"/><Relationship Id="rId1184" Type="http://schemas.openxmlformats.org/officeDocument/2006/relationships/hyperlink" Target="http://twitter.com/PublicidaMadrid/status/1113665773275373569" TargetMode="External"/><Relationship Id="rId554" Type="http://schemas.openxmlformats.org/officeDocument/2006/relationships/hyperlink" Target="http://twitter.com/Rebeca060670/status/1112848420799176704" TargetMode="External"/><Relationship Id="rId761" Type="http://schemas.openxmlformats.org/officeDocument/2006/relationships/hyperlink" Target="http://twitter.com/gerymoro/status/1112908605630676992" TargetMode="External"/><Relationship Id="rId859" Type="http://schemas.openxmlformats.org/officeDocument/2006/relationships/hyperlink" Target="http://twitter.com/FebresFernando/status/1112935849010827266" TargetMode="External"/><Relationship Id="rId1391" Type="http://schemas.openxmlformats.org/officeDocument/2006/relationships/hyperlink" Target="http://twitter.com/nemo17molle/status/1114092733235384322" TargetMode="External"/><Relationship Id="rId1489" Type="http://schemas.openxmlformats.org/officeDocument/2006/relationships/hyperlink" Target="http://twitter.com/nograbonilla/status/1114316504252788736" TargetMode="External"/><Relationship Id="rId1696" Type="http://schemas.openxmlformats.org/officeDocument/2006/relationships/hyperlink" Target="http://twitter.com/LoreVM/status/1114766626304536579" TargetMode="External"/><Relationship Id="rId207" Type="http://schemas.openxmlformats.org/officeDocument/2006/relationships/hyperlink" Target="http://twitter.com/XavierFiestas/status/1112739292416303110" TargetMode="External"/><Relationship Id="rId414" Type="http://schemas.openxmlformats.org/officeDocument/2006/relationships/hyperlink" Target="http://twitter.com/AlonzSilva/status/1112800696334782464" TargetMode="External"/><Relationship Id="rId621" Type="http://schemas.openxmlformats.org/officeDocument/2006/relationships/hyperlink" Target="http://twitter.com/alvarosalas2006/status/1112868526883303430" TargetMode="External"/><Relationship Id="rId1044" Type="http://schemas.openxmlformats.org/officeDocument/2006/relationships/hyperlink" Target="http://twitter.com/vimefa/status/1113305661855686656" TargetMode="External"/><Relationship Id="rId1251" Type="http://schemas.openxmlformats.org/officeDocument/2006/relationships/hyperlink" Target="http://twitter.com/crysmilagros/status/1113791840585572352" TargetMode="External"/><Relationship Id="rId1349" Type="http://schemas.openxmlformats.org/officeDocument/2006/relationships/hyperlink" Target="http://twitter.com/pepepalaciosq/status/1114027786367315969" TargetMode="External"/><Relationship Id="rId719" Type="http://schemas.openxmlformats.org/officeDocument/2006/relationships/hyperlink" Target="http://twitter.com/Juanricky054/status/1112897309363326976" TargetMode="External"/><Relationship Id="rId926" Type="http://schemas.openxmlformats.org/officeDocument/2006/relationships/hyperlink" Target="http://twitter.com/GomeroRamirez/status/1113067097788215297" TargetMode="External"/><Relationship Id="rId1111" Type="http://schemas.openxmlformats.org/officeDocument/2006/relationships/hyperlink" Target="http://twitter.com/JhenyMin/status/1113459362356449280" TargetMode="External"/><Relationship Id="rId1556" Type="http://schemas.openxmlformats.org/officeDocument/2006/relationships/hyperlink" Target="http://twitter.com/ragoalmaiers/status/1114469889358618624" TargetMode="External"/><Relationship Id="rId1763" Type="http://schemas.openxmlformats.org/officeDocument/2006/relationships/hyperlink" Target="http://twitter.com/mediosperuanos/status/1114895558370562054" TargetMode="External"/><Relationship Id="rId1970" Type="http://schemas.openxmlformats.org/officeDocument/2006/relationships/hyperlink" Target="http://twitter.com/LuisCruzE13/status/1115355868579627011" TargetMode="External"/><Relationship Id="rId55" Type="http://schemas.openxmlformats.org/officeDocument/2006/relationships/hyperlink" Target="http://twitter.com/MERYDELPILAR1/status/1112690625525231616" TargetMode="External"/><Relationship Id="rId1209" Type="http://schemas.openxmlformats.org/officeDocument/2006/relationships/hyperlink" Target="http://twitter.com/RadarApure/status/1113699092029476865" TargetMode="External"/><Relationship Id="rId1416" Type="http://schemas.openxmlformats.org/officeDocument/2006/relationships/hyperlink" Target="http://twitter.com/marthamoyano/status/1114164647920308224" TargetMode="External"/><Relationship Id="rId1623" Type="http://schemas.openxmlformats.org/officeDocument/2006/relationships/hyperlink" Target="http://twitter.com/lamula/status/1114622129742467074" TargetMode="External"/><Relationship Id="rId1830" Type="http://schemas.openxmlformats.org/officeDocument/2006/relationships/hyperlink" Target="http://twitter.com/ALEJAND07145226/status/1115043651053342720" TargetMode="External"/><Relationship Id="rId1928" Type="http://schemas.openxmlformats.org/officeDocument/2006/relationships/hyperlink" Target="http://twitter.com/Rom_mel2/status/1115267654430814209" TargetMode="External"/><Relationship Id="rId271" Type="http://schemas.openxmlformats.org/officeDocument/2006/relationships/hyperlink" Target="http://twitter.com/juan_pablo_b_g/status/1112758056746696706" TargetMode="External"/><Relationship Id="rId131" Type="http://schemas.openxmlformats.org/officeDocument/2006/relationships/hyperlink" Target="http://twitter.com/carmendeate1/status/1112716430741553152" TargetMode="External"/><Relationship Id="rId369" Type="http://schemas.openxmlformats.org/officeDocument/2006/relationships/hyperlink" Target="http://twitter.com/a_ibk/status/1112786407318319104" TargetMode="External"/><Relationship Id="rId576" Type="http://schemas.openxmlformats.org/officeDocument/2006/relationships/hyperlink" Target="http://twitter.com/Paramount_miss/status/1112851234430566401" TargetMode="External"/><Relationship Id="rId783" Type="http://schemas.openxmlformats.org/officeDocument/2006/relationships/hyperlink" Target="http://twitter.com/justigoicochea/status/1112915863756292096" TargetMode="External"/><Relationship Id="rId990" Type="http://schemas.openxmlformats.org/officeDocument/2006/relationships/hyperlink" Target="http://twitter.com/WilsonCoronad17/status/1113188381444505600" TargetMode="External"/><Relationship Id="rId229" Type="http://schemas.openxmlformats.org/officeDocument/2006/relationships/hyperlink" Target="http://twitter.com/gmendoza_/status/1112747352933220354" TargetMode="External"/><Relationship Id="rId436" Type="http://schemas.openxmlformats.org/officeDocument/2006/relationships/hyperlink" Target="http://twitter.com/fgladys02/status/1112804451113467904" TargetMode="External"/><Relationship Id="rId643" Type="http://schemas.openxmlformats.org/officeDocument/2006/relationships/hyperlink" Target="http://twitter.com/apterrones/status/1112876956511436800" TargetMode="External"/><Relationship Id="rId1066" Type="http://schemas.openxmlformats.org/officeDocument/2006/relationships/hyperlink" Target="http://twitter.com/almaberenguel/status/1113344844947251201" TargetMode="External"/><Relationship Id="rId1273" Type="http://schemas.openxmlformats.org/officeDocument/2006/relationships/hyperlink" Target="http://twitter.com/Politica_ECpe/status/1113851042020642817" TargetMode="External"/><Relationship Id="rId1480" Type="http://schemas.openxmlformats.org/officeDocument/2006/relationships/hyperlink" Target="http://twitter.com/frmdg2001/status/1114288202456629248" TargetMode="External"/><Relationship Id="rId850" Type="http://schemas.openxmlformats.org/officeDocument/2006/relationships/hyperlink" Target="http://twitter.com/canalN_/status/1112934427569651714" TargetMode="External"/><Relationship Id="rId948" Type="http://schemas.openxmlformats.org/officeDocument/2006/relationships/hyperlink" Target="http://twitter.com/Santiag99504173/status/1113097120515534848" TargetMode="External"/><Relationship Id="rId1133" Type="http://schemas.openxmlformats.org/officeDocument/2006/relationships/hyperlink" Target="http://twitter.com/louisftsh/status/1113490843372085253" TargetMode="External"/><Relationship Id="rId1578" Type="http://schemas.openxmlformats.org/officeDocument/2006/relationships/hyperlink" Target="http://twitter.com/lilac_lauu/status/1114501916598374400" TargetMode="External"/><Relationship Id="rId1785" Type="http://schemas.openxmlformats.org/officeDocument/2006/relationships/hyperlink" Target="http://twitter.com/rollinthorne/status/1114953448468905984" TargetMode="External"/><Relationship Id="rId1992" Type="http://schemas.openxmlformats.org/officeDocument/2006/relationships/hyperlink" Target="http://twitter.com/irigoin_igor/status/1115388755257561088" TargetMode="External"/><Relationship Id="rId77" Type="http://schemas.openxmlformats.org/officeDocument/2006/relationships/hyperlink" Target="http://twitter.com/3333flores1/status/1112699497832808450" TargetMode="External"/><Relationship Id="rId503" Type="http://schemas.openxmlformats.org/officeDocument/2006/relationships/hyperlink" Target="http://twitter.com/elgasnoticias/status/1112830581027627012" TargetMode="External"/><Relationship Id="rId710" Type="http://schemas.openxmlformats.org/officeDocument/2006/relationships/hyperlink" Target="http://twitter.com/BorisMujica/status/1112894180609716225" TargetMode="External"/><Relationship Id="rId808" Type="http://schemas.openxmlformats.org/officeDocument/2006/relationships/hyperlink" Target="http://twitter.com/wizagp/status/1112923204308422656" TargetMode="External"/><Relationship Id="rId1340" Type="http://schemas.openxmlformats.org/officeDocument/2006/relationships/hyperlink" Target="http://twitter.com/oyukikoji/status/1113998808667566080" TargetMode="External"/><Relationship Id="rId1438" Type="http://schemas.openxmlformats.org/officeDocument/2006/relationships/hyperlink" Target="http://twitter.com/guelymit/status/1114195061376471040" TargetMode="External"/><Relationship Id="rId1645" Type="http://schemas.openxmlformats.org/officeDocument/2006/relationships/hyperlink" Target="http://twitter.com/femalepowerx/status/1114653002244284418" TargetMode="External"/><Relationship Id="rId1200" Type="http://schemas.openxmlformats.org/officeDocument/2006/relationships/hyperlink" Target="http://twitter.com/el_observante_/status/1113684031172956161" TargetMode="External"/><Relationship Id="rId1852" Type="http://schemas.openxmlformats.org/officeDocument/2006/relationships/hyperlink" Target="http://twitter.com/CcSanave/status/1115099700724629504" TargetMode="External"/><Relationship Id="rId1505" Type="http://schemas.openxmlformats.org/officeDocument/2006/relationships/hyperlink" Target="http://twitter.com/MezoneRives/status/1114346023244181504" TargetMode="External"/><Relationship Id="rId1712" Type="http://schemas.openxmlformats.org/officeDocument/2006/relationships/hyperlink" Target="http://twitter.com/ArribaAlianza3/status/1114800431262248965" TargetMode="External"/><Relationship Id="rId293" Type="http://schemas.openxmlformats.org/officeDocument/2006/relationships/hyperlink" Target="http://twitter.com/luislchihuan/status/1112765359810113536" TargetMode="External"/><Relationship Id="rId153" Type="http://schemas.openxmlformats.org/officeDocument/2006/relationships/hyperlink" Target="http://twitter.com/los7rayos/status/1112723794341306375" TargetMode="External"/><Relationship Id="rId360" Type="http://schemas.openxmlformats.org/officeDocument/2006/relationships/hyperlink" Target="http://twitter.com/CosmePalpan/status/1112783584975306752" TargetMode="External"/><Relationship Id="rId598" Type="http://schemas.openxmlformats.org/officeDocument/2006/relationships/hyperlink" Target="http://twitter.com/ErnestoCabralM/status/1112859361930608641" TargetMode="External"/><Relationship Id="rId220" Type="http://schemas.openxmlformats.org/officeDocument/2006/relationships/hyperlink" Target="http://twitter.com/hobinwex/status/1112742456620130304" TargetMode="External"/><Relationship Id="rId458" Type="http://schemas.openxmlformats.org/officeDocument/2006/relationships/hyperlink" Target="http://twitter.com/Insausti_tlSUR/status/1112811488278953984" TargetMode="External"/><Relationship Id="rId665" Type="http://schemas.openxmlformats.org/officeDocument/2006/relationships/hyperlink" Target="http://twitter.com/Pectok/status/1112882072476176389" TargetMode="External"/><Relationship Id="rId872" Type="http://schemas.openxmlformats.org/officeDocument/2006/relationships/hyperlink" Target="http://twitter.com/CesarBejarano21/status/1112940210432696320" TargetMode="External"/><Relationship Id="rId1088" Type="http://schemas.openxmlformats.org/officeDocument/2006/relationships/hyperlink" Target="http://twitter.com/omarzambranoz/status/1113387358022451201" TargetMode="External"/><Relationship Id="rId1295" Type="http://schemas.openxmlformats.org/officeDocument/2006/relationships/hyperlink" Target="http://twitter.com/kuervito76/status/1113911274763689990" TargetMode="External"/><Relationship Id="rId318" Type="http://schemas.openxmlformats.org/officeDocument/2006/relationships/hyperlink" Target="http://twitter.com/AlbetoJess/status/1112774471213940736" TargetMode="External"/><Relationship Id="rId525" Type="http://schemas.openxmlformats.org/officeDocument/2006/relationships/hyperlink" Target="http://twitter.com/PFranciscana/status/1112836623677513728" TargetMode="External"/><Relationship Id="rId732" Type="http://schemas.openxmlformats.org/officeDocument/2006/relationships/hyperlink" Target="http://twitter.com/Mariter77035409/status/1112901356233347072" TargetMode="External"/><Relationship Id="rId1155" Type="http://schemas.openxmlformats.org/officeDocument/2006/relationships/hyperlink" Target="http://twitter.com/eml229/status/1113581170229415937" TargetMode="External"/><Relationship Id="rId1362" Type="http://schemas.openxmlformats.org/officeDocument/2006/relationships/hyperlink" Target="http://twitter.com/FranFerpaco/status/1114036951454244864" TargetMode="External"/><Relationship Id="rId99" Type="http://schemas.openxmlformats.org/officeDocument/2006/relationships/hyperlink" Target="http://twitter.com/eduardo_recoba/status/1112703907673845763" TargetMode="External"/><Relationship Id="rId1015" Type="http://schemas.openxmlformats.org/officeDocument/2006/relationships/hyperlink" Target="http://twitter.com/VozPeru1/status/1113248060019216384" TargetMode="External"/><Relationship Id="rId1222" Type="http://schemas.openxmlformats.org/officeDocument/2006/relationships/hyperlink" Target="http://twitter.com/VecinosMaracay/status/1113707215704264704" TargetMode="External"/><Relationship Id="rId1667" Type="http://schemas.openxmlformats.org/officeDocument/2006/relationships/hyperlink" Target="http://twitter.com/Oswaldo96150822/status/1114713733283102720" TargetMode="External"/><Relationship Id="rId1874" Type="http://schemas.openxmlformats.org/officeDocument/2006/relationships/hyperlink" Target="http://twitter.com/maldittagordura/status/1115137363871711232" TargetMode="External"/><Relationship Id="rId1527" Type="http://schemas.openxmlformats.org/officeDocument/2006/relationships/hyperlink" Target="http://twitter.com/josecastillofer/status/1114394837271359488" TargetMode="External"/><Relationship Id="rId1734" Type="http://schemas.openxmlformats.org/officeDocument/2006/relationships/hyperlink" Target="http://twitter.com/fxckist/status/1114833628641529856" TargetMode="External"/><Relationship Id="rId1941" Type="http://schemas.openxmlformats.org/officeDocument/2006/relationships/hyperlink" Target="http://twitter.com/HumbertoPando19/status/1115295913906458626" TargetMode="External"/><Relationship Id="rId26" Type="http://schemas.openxmlformats.org/officeDocument/2006/relationships/hyperlink" Target="http://twitter.com/yanaurpi1/status/1112681541765947392" TargetMode="External"/><Relationship Id="rId175" Type="http://schemas.openxmlformats.org/officeDocument/2006/relationships/hyperlink" Target="http://twitter.com/morganeborzee/status/1112730447564423170" TargetMode="External"/><Relationship Id="rId1801" Type="http://schemas.openxmlformats.org/officeDocument/2006/relationships/hyperlink" Target="http://twitter.com/NOTIELMOMENTO/status/1114984330261090305" TargetMode="External"/><Relationship Id="rId382" Type="http://schemas.openxmlformats.org/officeDocument/2006/relationships/hyperlink" Target="http://twitter.com/Santiag99504173/status/1112788509692055552" TargetMode="External"/><Relationship Id="rId687" Type="http://schemas.openxmlformats.org/officeDocument/2006/relationships/hyperlink" Target="http://twitter.com/raulrz2015/status/1112889450554646529" TargetMode="External"/><Relationship Id="rId242" Type="http://schemas.openxmlformats.org/officeDocument/2006/relationships/hyperlink" Target="http://twitter.com/juanaavellaneda/status/1112750409381236737" TargetMode="External"/><Relationship Id="rId894" Type="http://schemas.openxmlformats.org/officeDocument/2006/relationships/hyperlink" Target="http://twitter.com/Maroma2/status/1112970080311283712" TargetMode="External"/><Relationship Id="rId1177" Type="http://schemas.openxmlformats.org/officeDocument/2006/relationships/hyperlink" Target="http://twitter.com/HugoMass1972/status/1113639960752553984" TargetMode="External"/><Relationship Id="rId102" Type="http://schemas.openxmlformats.org/officeDocument/2006/relationships/hyperlink" Target="http://twitter.com/ipakankure/status/1112706478429954048" TargetMode="External"/><Relationship Id="rId547" Type="http://schemas.openxmlformats.org/officeDocument/2006/relationships/hyperlink" Target="http://twitter.com/lecorbucier6838/status/1112843652102082560" TargetMode="External"/><Relationship Id="rId754" Type="http://schemas.openxmlformats.org/officeDocument/2006/relationships/hyperlink" Target="http://twitter.com/bsarmien/status/1112905210190598144" TargetMode="External"/><Relationship Id="rId961" Type="http://schemas.openxmlformats.org/officeDocument/2006/relationships/hyperlink" Target="http://twitter.com/Maritza67335907/status/1113127390987870210" TargetMode="External"/><Relationship Id="rId1384" Type="http://schemas.openxmlformats.org/officeDocument/2006/relationships/hyperlink" Target="http://twitter.com/Gatitadelsur/status/1114054831747010566" TargetMode="External"/><Relationship Id="rId1591" Type="http://schemas.openxmlformats.org/officeDocument/2006/relationships/hyperlink" Target="http://twitter.com/parradoftmena/status/1114532700596076545" TargetMode="External"/><Relationship Id="rId1689" Type="http://schemas.openxmlformats.org/officeDocument/2006/relationships/hyperlink" Target="http://twitter.com/TiconaNorma/status/1114743662590795776" TargetMode="External"/><Relationship Id="rId90" Type="http://schemas.openxmlformats.org/officeDocument/2006/relationships/hyperlink" Target="http://twitter.com/Jettersoul/status/1112703228582334464" TargetMode="External"/><Relationship Id="rId407" Type="http://schemas.openxmlformats.org/officeDocument/2006/relationships/hyperlink" Target="http://twitter.com/LinceAntiTuco/status/1112799184938328067" TargetMode="External"/><Relationship Id="rId614" Type="http://schemas.openxmlformats.org/officeDocument/2006/relationships/hyperlink" Target="http://twitter.com/wizagp/status/1112864344067457025" TargetMode="External"/><Relationship Id="rId821" Type="http://schemas.openxmlformats.org/officeDocument/2006/relationships/hyperlink" Target="http://twitter.com/alexerio/status/1112926068900577280" TargetMode="External"/><Relationship Id="rId1037" Type="http://schemas.openxmlformats.org/officeDocument/2006/relationships/hyperlink" Target="http://twitter.com/maldittagordura/status/1113303289129512960" TargetMode="External"/><Relationship Id="rId1244" Type="http://schemas.openxmlformats.org/officeDocument/2006/relationships/hyperlink" Target="http://twitter.com/crysmilagros/status/1113790981503979521" TargetMode="External"/><Relationship Id="rId1451" Type="http://schemas.openxmlformats.org/officeDocument/2006/relationships/hyperlink" Target="http://twitter.com/Agencia_Andina/status/1114224685871398913" TargetMode="External"/><Relationship Id="rId1896" Type="http://schemas.openxmlformats.org/officeDocument/2006/relationships/hyperlink" Target="http://twitter.com/oskarbuto/status/1115165283096899591" TargetMode="External"/><Relationship Id="rId919" Type="http://schemas.openxmlformats.org/officeDocument/2006/relationships/hyperlink" Target="http://twitter.com/soniapovis/status/1113028774277328896" TargetMode="External"/><Relationship Id="rId1104" Type="http://schemas.openxmlformats.org/officeDocument/2006/relationships/hyperlink" Target="http://twitter.com/Matices_revista/status/1113430738660208642" TargetMode="External"/><Relationship Id="rId1311" Type="http://schemas.openxmlformats.org/officeDocument/2006/relationships/hyperlink" Target="http://twitter.com/kuervito76/status/1113942357056065541" TargetMode="External"/><Relationship Id="rId1549" Type="http://schemas.openxmlformats.org/officeDocument/2006/relationships/hyperlink" Target="http://twitter.com/equisna/status/1114431715295006720" TargetMode="External"/><Relationship Id="rId1756" Type="http://schemas.openxmlformats.org/officeDocument/2006/relationships/hyperlink" Target="http://twitter.com/andri000me_2/status/1114894884182212608" TargetMode="External"/><Relationship Id="rId1963" Type="http://schemas.openxmlformats.org/officeDocument/2006/relationships/hyperlink" Target="http://twitter.com/Ranulin/status/1115328105659416579" TargetMode="External"/><Relationship Id="rId48" Type="http://schemas.openxmlformats.org/officeDocument/2006/relationships/hyperlink" Target="http://twitter.com/pintora67/status/1112689741827321856" TargetMode="External"/><Relationship Id="rId1409" Type="http://schemas.openxmlformats.org/officeDocument/2006/relationships/hyperlink" Target="http://twitter.com/princesrosari/status/1114137019897274368" TargetMode="External"/><Relationship Id="rId1616" Type="http://schemas.openxmlformats.org/officeDocument/2006/relationships/hyperlink" Target="http://twitter.com/Gustavo02208978/status/1114591484924309505" TargetMode="External"/><Relationship Id="rId1823" Type="http://schemas.openxmlformats.org/officeDocument/2006/relationships/hyperlink" Target="http://twitter.com/MarioArboledaO1/status/1115042199312510977" TargetMode="External"/><Relationship Id="rId197" Type="http://schemas.openxmlformats.org/officeDocument/2006/relationships/hyperlink" Target="http://twitter.com/EconomiaECpe/status/1112738893005115394" TargetMode="External"/><Relationship Id="rId264" Type="http://schemas.openxmlformats.org/officeDocument/2006/relationships/hyperlink" Target="http://twitter.com/tonyventur/status/1112757339340320770" TargetMode="External"/><Relationship Id="rId471" Type="http://schemas.openxmlformats.org/officeDocument/2006/relationships/hyperlink" Target="http://twitter.com/fernando_got/status/1112815496389226501" TargetMode="External"/><Relationship Id="rId124" Type="http://schemas.openxmlformats.org/officeDocument/2006/relationships/hyperlink" Target="http://twitter.com/lamula/status/1112712752211152896" TargetMode="External"/><Relationship Id="rId569" Type="http://schemas.openxmlformats.org/officeDocument/2006/relationships/hyperlink" Target="http://twitter.com/JLlacsahuacheG/status/1112850878933991424" TargetMode="External"/><Relationship Id="rId776" Type="http://schemas.openxmlformats.org/officeDocument/2006/relationships/hyperlink" Target="http://twitter.com/vozdelatierra/status/1112912642136567808" TargetMode="External"/><Relationship Id="rId983" Type="http://schemas.openxmlformats.org/officeDocument/2006/relationships/hyperlink" Target="http://twitter.com/MvergaraMendiv1/status/1113186922606809089" TargetMode="External"/><Relationship Id="rId1199" Type="http://schemas.openxmlformats.org/officeDocument/2006/relationships/hyperlink" Target="http://twitter.com/OlekTeresa/status/1113683326647373825" TargetMode="External"/><Relationship Id="rId331" Type="http://schemas.openxmlformats.org/officeDocument/2006/relationships/hyperlink" Target="http://twitter.com/r_sin_tapujos/status/1112776635273576448" TargetMode="External"/><Relationship Id="rId429" Type="http://schemas.openxmlformats.org/officeDocument/2006/relationships/hyperlink" Target="http://twitter.com/MaClau120/status/1112803075503411200" TargetMode="External"/><Relationship Id="rId636" Type="http://schemas.openxmlformats.org/officeDocument/2006/relationships/hyperlink" Target="http://twitter.com/luisescarreola/status/1112873799702274048" TargetMode="External"/><Relationship Id="rId1059" Type="http://schemas.openxmlformats.org/officeDocument/2006/relationships/hyperlink" Target="http://twitter.com/JStayin/status/1113329623096528896" TargetMode="External"/><Relationship Id="rId1266" Type="http://schemas.openxmlformats.org/officeDocument/2006/relationships/hyperlink" Target="http://twitter.com/aingar/status/1113823573603508226" TargetMode="External"/><Relationship Id="rId1473" Type="http://schemas.openxmlformats.org/officeDocument/2006/relationships/hyperlink" Target="http://twitter.com/proactivoperu/status/1114286344795082752" TargetMode="External"/><Relationship Id="rId843" Type="http://schemas.openxmlformats.org/officeDocument/2006/relationships/hyperlink" Target="http://twitter.com/PAULCAB77297084/status/1112933050214768640" TargetMode="External"/><Relationship Id="rId1126" Type="http://schemas.openxmlformats.org/officeDocument/2006/relationships/hyperlink" Target="http://twitter.com/LuisRuiz0901/status/1113489162001317888" TargetMode="External"/><Relationship Id="rId1680" Type="http://schemas.openxmlformats.org/officeDocument/2006/relationships/hyperlink" Target="http://twitter.com/TaliaLVE/status/1114741912777502721" TargetMode="External"/><Relationship Id="rId1778" Type="http://schemas.openxmlformats.org/officeDocument/2006/relationships/hyperlink" Target="http://twitter.com/Jhonney2020/status/1114952389696589824" TargetMode="External"/><Relationship Id="rId1985" Type="http://schemas.openxmlformats.org/officeDocument/2006/relationships/hyperlink" Target="http://twitter.com/Alicia94784200/status/1115387321317195780" TargetMode="External"/><Relationship Id="rId703" Type="http://schemas.openxmlformats.org/officeDocument/2006/relationships/hyperlink" Target="http://twitter.com/soyrazuri/status/1112892824113090560" TargetMode="External"/><Relationship Id="rId910" Type="http://schemas.openxmlformats.org/officeDocument/2006/relationships/hyperlink" Target="http://twitter.com/Vania_asesoria/status/1112998926838390784" TargetMode="External"/><Relationship Id="rId1333" Type="http://schemas.openxmlformats.org/officeDocument/2006/relationships/hyperlink" Target="http://twitter.com/LuisNue87974893/status/1113997177897013248" TargetMode="External"/><Relationship Id="rId1540" Type="http://schemas.openxmlformats.org/officeDocument/2006/relationships/hyperlink" Target="http://twitter.com/mRsPozo1/status/1114401275481853952" TargetMode="External"/><Relationship Id="rId1638" Type="http://schemas.openxmlformats.org/officeDocument/2006/relationships/hyperlink" Target="http://twitter.com/JuanRibeyromano/status/1114652071393988608" TargetMode="External"/><Relationship Id="rId1400" Type="http://schemas.openxmlformats.org/officeDocument/2006/relationships/hyperlink" Target="http://twitter.com/OSilenciosa/status/1114098571320725504" TargetMode="External"/><Relationship Id="rId1845" Type="http://schemas.openxmlformats.org/officeDocument/2006/relationships/hyperlink" Target="http://twitter.com/guillermoenuso/status/1115075306010873860" TargetMode="External"/><Relationship Id="rId1705" Type="http://schemas.openxmlformats.org/officeDocument/2006/relationships/hyperlink" Target="http://twitter.com/chang_olivares/status/1114771277561122816" TargetMode="External"/><Relationship Id="rId1912" Type="http://schemas.openxmlformats.org/officeDocument/2006/relationships/hyperlink" Target="http://twitter.com/lecorbucier6838/status/1115234938012479488" TargetMode="External"/><Relationship Id="rId286" Type="http://schemas.openxmlformats.org/officeDocument/2006/relationships/hyperlink" Target="http://twitter.com/ELSV97/status/1112761748417888258" TargetMode="External"/><Relationship Id="rId493" Type="http://schemas.openxmlformats.org/officeDocument/2006/relationships/hyperlink" Target="http://twitter.com/marisolgarcia11/status/1112828415550345217" TargetMode="External"/><Relationship Id="rId146" Type="http://schemas.openxmlformats.org/officeDocument/2006/relationships/hyperlink" Target="http://twitter.com/tucto/status/1112722452826722304" TargetMode="External"/><Relationship Id="rId353" Type="http://schemas.openxmlformats.org/officeDocument/2006/relationships/hyperlink" Target="http://twitter.com/alanocturna10/status/1112781609575632906" TargetMode="External"/><Relationship Id="rId560" Type="http://schemas.openxmlformats.org/officeDocument/2006/relationships/hyperlink" Target="http://twitter.com/aleonca/status/1112849134632005632" TargetMode="External"/><Relationship Id="rId798" Type="http://schemas.openxmlformats.org/officeDocument/2006/relationships/hyperlink" Target="http://twitter.com/edgardoori/status/1112920858161565696" TargetMode="External"/><Relationship Id="rId1190" Type="http://schemas.openxmlformats.org/officeDocument/2006/relationships/hyperlink" Target="http://twitter.com/Jurisxx/status/1113667775199887360" TargetMode="External"/><Relationship Id="rId213" Type="http://schemas.openxmlformats.org/officeDocument/2006/relationships/hyperlink" Target="http://twitter.com/jdeechave/status/1112742176969146374" TargetMode="External"/><Relationship Id="rId420" Type="http://schemas.openxmlformats.org/officeDocument/2006/relationships/hyperlink" Target="http://twitter.com/ClynCampos/status/1112802190073192448" TargetMode="External"/><Relationship Id="rId658" Type="http://schemas.openxmlformats.org/officeDocument/2006/relationships/hyperlink" Target="http://twitter.com/aldov67/status/1112880930606235650" TargetMode="External"/><Relationship Id="rId865" Type="http://schemas.openxmlformats.org/officeDocument/2006/relationships/hyperlink" Target="http://twitter.com/SignoriTita/status/1112937078659088385" TargetMode="External"/><Relationship Id="rId1050" Type="http://schemas.openxmlformats.org/officeDocument/2006/relationships/hyperlink" Target="http://twitter.com/davidmoralesv_/status/1113324143234170880" TargetMode="External"/><Relationship Id="rId1288" Type="http://schemas.openxmlformats.org/officeDocument/2006/relationships/hyperlink" Target="http://twitter.com/miguelinomen53/status/1113884467716870144" TargetMode="External"/><Relationship Id="rId1495" Type="http://schemas.openxmlformats.org/officeDocument/2006/relationships/hyperlink" Target="http://twitter.com/jorazem/status/1114318997602865152" TargetMode="External"/><Relationship Id="rId518" Type="http://schemas.openxmlformats.org/officeDocument/2006/relationships/hyperlink" Target="http://twitter.com/FedericoPFE/status/1112835819876872194" TargetMode="External"/><Relationship Id="rId725" Type="http://schemas.openxmlformats.org/officeDocument/2006/relationships/hyperlink" Target="http://twitter.com/Cgerardochacon/status/1112898035351207936" TargetMode="External"/><Relationship Id="rId932" Type="http://schemas.openxmlformats.org/officeDocument/2006/relationships/hyperlink" Target="http://twitter.com/javierocamponce/status/1113067927555788800" TargetMode="External"/><Relationship Id="rId1148" Type="http://schemas.openxmlformats.org/officeDocument/2006/relationships/hyperlink" Target="http://twitter.com/vbroccap/status/1113580347164381184" TargetMode="External"/><Relationship Id="rId1355" Type="http://schemas.openxmlformats.org/officeDocument/2006/relationships/hyperlink" Target="http://twitter.com/carlossoria_p/status/1114028098645839872" TargetMode="External"/><Relationship Id="rId1562" Type="http://schemas.openxmlformats.org/officeDocument/2006/relationships/hyperlink" Target="http://twitter.com/InfostellePeru/status/1114471122811203584" TargetMode="External"/><Relationship Id="rId157" Type="http://schemas.openxmlformats.org/officeDocument/2006/relationships/hyperlink" Target="http://twitter.com/danielle7591/status/1112725778796593152" TargetMode="External"/><Relationship Id="rId364" Type="http://schemas.openxmlformats.org/officeDocument/2006/relationships/hyperlink" Target="http://twitter.com/maedaTinna/status/1112785760439226372" TargetMode="External"/><Relationship Id="rId1008" Type="http://schemas.openxmlformats.org/officeDocument/2006/relationships/hyperlink" Target="http://twitter.com/danielamunira/status/1113246844992327680" TargetMode="External"/><Relationship Id="rId1215" Type="http://schemas.openxmlformats.org/officeDocument/2006/relationships/hyperlink" Target="http://twitter.com/SamyH1982/status/1113703328997879808" TargetMode="External"/><Relationship Id="rId1422" Type="http://schemas.openxmlformats.org/officeDocument/2006/relationships/hyperlink" Target="http://twitter.com/sdamazom/status/1114165731556560896" TargetMode="External"/><Relationship Id="rId1867" Type="http://schemas.openxmlformats.org/officeDocument/2006/relationships/hyperlink" Target="http://twitter.com/ThabitSenior/status/1115130892140388354" TargetMode="External"/><Relationship Id="rId61" Type="http://schemas.openxmlformats.org/officeDocument/2006/relationships/hyperlink" Target="http://twitter.com/bostonews/status/1112693344226824192" TargetMode="External"/><Relationship Id="rId571" Type="http://schemas.openxmlformats.org/officeDocument/2006/relationships/hyperlink" Target="http://twitter.com/Jazzyplus/status/1112851114112815104" TargetMode="External"/><Relationship Id="rId669" Type="http://schemas.openxmlformats.org/officeDocument/2006/relationships/hyperlink" Target="http://twitter.com/jofe189/status/1112882454539501568" TargetMode="External"/><Relationship Id="rId876" Type="http://schemas.openxmlformats.org/officeDocument/2006/relationships/hyperlink" Target="http://twitter.com/Lizslh/status/1112942148876427265" TargetMode="External"/><Relationship Id="rId1299" Type="http://schemas.openxmlformats.org/officeDocument/2006/relationships/hyperlink" Target="http://twitter.com/luchoalvarez64/status/1113912022008254473" TargetMode="External"/><Relationship Id="rId1727" Type="http://schemas.openxmlformats.org/officeDocument/2006/relationships/hyperlink" Target="http://twitter.com/rosasynebulosas/status/1114832189768781825" TargetMode="External"/><Relationship Id="rId1934" Type="http://schemas.openxmlformats.org/officeDocument/2006/relationships/hyperlink" Target="http://twitter.com/Caranlazo/status/1115268088008671232" TargetMode="External"/><Relationship Id="rId19" Type="http://schemas.openxmlformats.org/officeDocument/2006/relationships/hyperlink" Target="http://twitter.com/MaquinasEmpac/status/1112680423316811776" TargetMode="External"/><Relationship Id="rId224" Type="http://schemas.openxmlformats.org/officeDocument/2006/relationships/hyperlink" Target="http://twitter.com/BassiTanise/status/1112746920798232577" TargetMode="External"/><Relationship Id="rId431" Type="http://schemas.openxmlformats.org/officeDocument/2006/relationships/hyperlink" Target="http://twitter.com/G_vigo/status/1112803552056016898" TargetMode="External"/><Relationship Id="rId529" Type="http://schemas.openxmlformats.org/officeDocument/2006/relationships/hyperlink" Target="http://twitter.com/alfatrionn/status/1112838252782813187" TargetMode="External"/><Relationship Id="rId736" Type="http://schemas.openxmlformats.org/officeDocument/2006/relationships/hyperlink" Target="http://twitter.com/derveterano/status/1112902566466215936" TargetMode="External"/><Relationship Id="rId1061" Type="http://schemas.openxmlformats.org/officeDocument/2006/relationships/hyperlink" Target="http://twitter.com/prettydamocles/status/1113329968413597696" TargetMode="External"/><Relationship Id="rId1159" Type="http://schemas.openxmlformats.org/officeDocument/2006/relationships/hyperlink" Target="http://twitter.com/PeruanosN/status/1113611315145265152" TargetMode="External"/><Relationship Id="rId1366" Type="http://schemas.openxmlformats.org/officeDocument/2006/relationships/hyperlink" Target="http://twitter.com/SoriaEstevez/status/1114037578515320832" TargetMode="External"/><Relationship Id="rId168" Type="http://schemas.openxmlformats.org/officeDocument/2006/relationships/hyperlink" Target="http://twitter.com/frankri14641759/status/1112727278180593666" TargetMode="External"/><Relationship Id="rId943" Type="http://schemas.openxmlformats.org/officeDocument/2006/relationships/hyperlink" Target="http://twitter.com/ron_zea/status/1113096294468382721" TargetMode="External"/><Relationship Id="rId1019" Type="http://schemas.openxmlformats.org/officeDocument/2006/relationships/hyperlink" Target="http://twitter.com/Brunachr_/status/1113276509819682821" TargetMode="External"/><Relationship Id="rId1573" Type="http://schemas.openxmlformats.org/officeDocument/2006/relationships/hyperlink" Target="http://twitter.com/EdeNaziHazard/status/1114500850943184896" TargetMode="External"/><Relationship Id="rId1780" Type="http://schemas.openxmlformats.org/officeDocument/2006/relationships/hyperlink" Target="http://twitter.com/utilitiesperu/status/1114952693985030147" TargetMode="External"/><Relationship Id="rId1878" Type="http://schemas.openxmlformats.org/officeDocument/2006/relationships/hyperlink" Target="http://twitter.com/Maroma2/status/1115139003970408449" TargetMode="External"/><Relationship Id="rId72" Type="http://schemas.openxmlformats.org/officeDocument/2006/relationships/hyperlink" Target="http://twitter.com/Patricia_Neyra/status/1112695685219082242" TargetMode="External"/><Relationship Id="rId375" Type="http://schemas.openxmlformats.org/officeDocument/2006/relationships/hyperlink" Target="http://twitter.com/Qzhizha/status/1112787424990674947" TargetMode="External"/><Relationship Id="rId582" Type="http://schemas.openxmlformats.org/officeDocument/2006/relationships/hyperlink" Target="http://twitter.com/trileniumsac/status/1112852514104336385" TargetMode="External"/><Relationship Id="rId803" Type="http://schemas.openxmlformats.org/officeDocument/2006/relationships/hyperlink" Target="http://twitter.com/roxanagbm/status/1112922144240029696" TargetMode="External"/><Relationship Id="rId1226" Type="http://schemas.openxmlformats.org/officeDocument/2006/relationships/hyperlink" Target="http://twitter.com/contracaidas/status/1113746565917753344" TargetMode="External"/><Relationship Id="rId1433" Type="http://schemas.openxmlformats.org/officeDocument/2006/relationships/hyperlink" Target="http://twitter.com/cocooncacho/status/1114192670715518978" TargetMode="External"/><Relationship Id="rId1640" Type="http://schemas.openxmlformats.org/officeDocument/2006/relationships/hyperlink" Target="http://twitter.com/EsterRubio2/status/1114652176264175617" TargetMode="External"/><Relationship Id="rId1738" Type="http://schemas.openxmlformats.org/officeDocument/2006/relationships/hyperlink" Target="http://twitter.com/Asgeir08/status/1114864535289192449" TargetMode="External"/><Relationship Id="rId3" Type="http://schemas.openxmlformats.org/officeDocument/2006/relationships/hyperlink" Target="http://twitter.com/djjmils/status/1112676957513240577" TargetMode="External"/><Relationship Id="rId235" Type="http://schemas.openxmlformats.org/officeDocument/2006/relationships/hyperlink" Target="http://twitter.com/Arturo_Orozco/status/1112750016001658881" TargetMode="External"/><Relationship Id="rId442" Type="http://schemas.openxmlformats.org/officeDocument/2006/relationships/hyperlink" Target="http://twitter.com/oitosafada/status/1112806216403767297" TargetMode="External"/><Relationship Id="rId887" Type="http://schemas.openxmlformats.org/officeDocument/2006/relationships/hyperlink" Target="http://twitter.com/brayan0923/status/1112967571165208576" TargetMode="External"/><Relationship Id="rId1072" Type="http://schemas.openxmlformats.org/officeDocument/2006/relationships/hyperlink" Target="http://twitter.com/EmaNoticias/status/1113349279198916609" TargetMode="External"/><Relationship Id="rId1500" Type="http://schemas.openxmlformats.org/officeDocument/2006/relationships/hyperlink" Target="http://twitter.com/psiuthamy/status/1114345328222834688" TargetMode="External"/><Relationship Id="rId1945" Type="http://schemas.openxmlformats.org/officeDocument/2006/relationships/hyperlink" Target="http://twitter.com/diegoblazquez16/status/1115296867284287488" TargetMode="External"/><Relationship Id="rId302" Type="http://schemas.openxmlformats.org/officeDocument/2006/relationships/hyperlink" Target="http://twitter.com/vigilfran/status/1112766153217241091" TargetMode="External"/><Relationship Id="rId747" Type="http://schemas.openxmlformats.org/officeDocument/2006/relationships/hyperlink" Target="http://twitter.com/IvanGarciaMayer/status/1112904292460101632" TargetMode="External"/><Relationship Id="rId954" Type="http://schemas.openxmlformats.org/officeDocument/2006/relationships/hyperlink" Target="http://twitter.com/diariocorreo/status/1113126376566124544" TargetMode="External"/><Relationship Id="rId1377" Type="http://schemas.openxmlformats.org/officeDocument/2006/relationships/hyperlink" Target="http://twitter.com/Carlosquispec/status/1114049824670633987" TargetMode="External"/><Relationship Id="rId1584" Type="http://schemas.openxmlformats.org/officeDocument/2006/relationships/hyperlink" Target="http://twitter.com/yoni3556_luis/status/1114532424765984768" TargetMode="External"/><Relationship Id="rId1791" Type="http://schemas.openxmlformats.org/officeDocument/2006/relationships/hyperlink" Target="http://twitter.com/LauraMasanet/status/1114982507882131457" TargetMode="External"/><Relationship Id="rId1805" Type="http://schemas.openxmlformats.org/officeDocument/2006/relationships/hyperlink" Target="http://twitter.com/Natizmez/status/1115014257689624576" TargetMode="External"/><Relationship Id="rId83" Type="http://schemas.openxmlformats.org/officeDocument/2006/relationships/hyperlink" Target="http://twitter.com/pajaroazulperu/status/1112699984850358272" TargetMode="External"/><Relationship Id="rId179" Type="http://schemas.openxmlformats.org/officeDocument/2006/relationships/hyperlink" Target="http://twitter.com/peruenlanoticia/status/1112730877417672705" TargetMode="External"/><Relationship Id="rId386" Type="http://schemas.openxmlformats.org/officeDocument/2006/relationships/hyperlink" Target="http://twitter.com/veronic03902460/status/1112789072253054976" TargetMode="External"/><Relationship Id="rId593" Type="http://schemas.openxmlformats.org/officeDocument/2006/relationships/hyperlink" Target="http://twitter.com/Miguelochave1/status/1112858867510272000" TargetMode="External"/><Relationship Id="rId607" Type="http://schemas.openxmlformats.org/officeDocument/2006/relationships/hyperlink" Target="http://twitter.com/Latina_pe/status/1112863530074755074" TargetMode="External"/><Relationship Id="rId814" Type="http://schemas.openxmlformats.org/officeDocument/2006/relationships/hyperlink" Target="http://twitter.com/FVeraPozo/status/1112925382175490048" TargetMode="External"/><Relationship Id="rId1237" Type="http://schemas.openxmlformats.org/officeDocument/2006/relationships/hyperlink" Target="http://twitter.com/aloha_belaa/status/1113753618702917632" TargetMode="External"/><Relationship Id="rId1444" Type="http://schemas.openxmlformats.org/officeDocument/2006/relationships/hyperlink" Target="http://twitter.com/syouthmendes/status/1114222707934224384" TargetMode="External"/><Relationship Id="rId1651" Type="http://schemas.openxmlformats.org/officeDocument/2006/relationships/hyperlink" Target="http://twitter.com/dellanottesfera/status/1114681205969100800" TargetMode="External"/><Relationship Id="rId1889" Type="http://schemas.openxmlformats.org/officeDocument/2006/relationships/hyperlink" Target="http://twitter.com/cxmmngirl/status/1115157777612251136" TargetMode="External"/><Relationship Id="rId246" Type="http://schemas.openxmlformats.org/officeDocument/2006/relationships/hyperlink" Target="http://twitter.com/Andrelosorio/status/1112750645650640897" TargetMode="External"/><Relationship Id="rId453" Type="http://schemas.openxmlformats.org/officeDocument/2006/relationships/hyperlink" Target="http://twitter.com/HellenMesones/status/1112810626873810945" TargetMode="External"/><Relationship Id="rId660" Type="http://schemas.openxmlformats.org/officeDocument/2006/relationships/hyperlink" Target="http://twitter.com/tabo_sosa/status/1112881096922943489" TargetMode="External"/><Relationship Id="rId898" Type="http://schemas.openxmlformats.org/officeDocument/2006/relationships/hyperlink" Target="http://twitter.com/JA_ERNAU/status/1112982867947085824" TargetMode="External"/><Relationship Id="rId1083" Type="http://schemas.openxmlformats.org/officeDocument/2006/relationships/hyperlink" Target="http://twitter.com/MaikaGoncalves/status/1113384051925241856" TargetMode="External"/><Relationship Id="rId1290" Type="http://schemas.openxmlformats.org/officeDocument/2006/relationships/hyperlink" Target="http://twitter.com/mlag181/status/1113884707803017218" TargetMode="External"/><Relationship Id="rId1304" Type="http://schemas.openxmlformats.org/officeDocument/2006/relationships/hyperlink" Target="http://twitter.com/DiegoQuispeSanc/status/1113912179282120704" TargetMode="External"/><Relationship Id="rId1511" Type="http://schemas.openxmlformats.org/officeDocument/2006/relationships/hyperlink" Target="http://twitter.com/LenaSoles/status/1114349141025488896" TargetMode="External"/><Relationship Id="rId1749" Type="http://schemas.openxmlformats.org/officeDocument/2006/relationships/hyperlink" Target="http://twitter.com/maeba1218/status/1114864975128997888" TargetMode="External"/><Relationship Id="rId1956" Type="http://schemas.openxmlformats.org/officeDocument/2006/relationships/hyperlink" Target="http://twitter.com/aaanamartineeez/status/1115327461431099392" TargetMode="External"/><Relationship Id="rId106" Type="http://schemas.openxmlformats.org/officeDocument/2006/relationships/hyperlink" Target="http://twitter.com/demy113/status/1112706817648410624" TargetMode="External"/><Relationship Id="rId313" Type="http://schemas.openxmlformats.org/officeDocument/2006/relationships/hyperlink" Target="http://twitter.com/FUIKAOMAR/status/1112769024025399297" TargetMode="External"/><Relationship Id="rId758" Type="http://schemas.openxmlformats.org/officeDocument/2006/relationships/hyperlink" Target="http://twitter.com/suselparedes/status/1112907500515360769" TargetMode="External"/><Relationship Id="rId965" Type="http://schemas.openxmlformats.org/officeDocument/2006/relationships/hyperlink" Target="http://twitter.com/morgxan/status/1113155750329757697" TargetMode="External"/><Relationship Id="rId1150" Type="http://schemas.openxmlformats.org/officeDocument/2006/relationships/hyperlink" Target="http://twitter.com/vbroccap/status/1113580590555643904" TargetMode="External"/><Relationship Id="rId1388" Type="http://schemas.openxmlformats.org/officeDocument/2006/relationships/hyperlink" Target="http://twitter.com/Ismael89283771/status/1114057080372178945" TargetMode="External"/><Relationship Id="rId1595" Type="http://schemas.openxmlformats.org/officeDocument/2006/relationships/hyperlink" Target="http://twitter.com/Anjhela18/status/1114562425590833152" TargetMode="External"/><Relationship Id="rId1609" Type="http://schemas.openxmlformats.org/officeDocument/2006/relationships/hyperlink" Target="http://twitter.com/cviguria/status/1114589255563718658" TargetMode="External"/><Relationship Id="rId1816" Type="http://schemas.openxmlformats.org/officeDocument/2006/relationships/hyperlink" Target="http://twitter.com/PaulinaRoberta/status/1115041521324253184" TargetMode="External"/><Relationship Id="rId10" Type="http://schemas.openxmlformats.org/officeDocument/2006/relationships/hyperlink" Target="http://twitter.com/ApacheDHC/status/1112678298524504065" TargetMode="External"/><Relationship Id="rId94" Type="http://schemas.openxmlformats.org/officeDocument/2006/relationships/hyperlink" Target="http://twitter.com/patarevalo/status/1112703658242818048" TargetMode="External"/><Relationship Id="rId397" Type="http://schemas.openxmlformats.org/officeDocument/2006/relationships/hyperlink" Target="http://twitter.com/miguelinomen53/status/1112791886979350528" TargetMode="External"/><Relationship Id="rId520" Type="http://schemas.openxmlformats.org/officeDocument/2006/relationships/hyperlink" Target="http://twitter.com/raffa0401/status/1112835934704291845" TargetMode="External"/><Relationship Id="rId618" Type="http://schemas.openxmlformats.org/officeDocument/2006/relationships/hyperlink" Target="http://twitter.com/PersiCristal400/status/1112865815949447169" TargetMode="External"/><Relationship Id="rId825" Type="http://schemas.openxmlformats.org/officeDocument/2006/relationships/hyperlink" Target="http://twitter.com/peredo_jessica/status/1112926500431499264" TargetMode="External"/><Relationship Id="rId1248" Type="http://schemas.openxmlformats.org/officeDocument/2006/relationships/hyperlink" Target="http://twitter.com/Eda2005Del/status/1113791632523051008" TargetMode="External"/><Relationship Id="rId1455" Type="http://schemas.openxmlformats.org/officeDocument/2006/relationships/hyperlink" Target="http://twitter.com/Peru_Noticias/status/1114225485314174976" TargetMode="External"/><Relationship Id="rId1662" Type="http://schemas.openxmlformats.org/officeDocument/2006/relationships/hyperlink" Target="http://twitter.com/RaulAlcmun/status/1114713630384304129" TargetMode="External"/><Relationship Id="rId257" Type="http://schemas.openxmlformats.org/officeDocument/2006/relationships/hyperlink" Target="http://twitter.com/arzohuancayo/status/1112754698111590401" TargetMode="External"/><Relationship Id="rId464" Type="http://schemas.openxmlformats.org/officeDocument/2006/relationships/hyperlink" Target="http://twitter.com/Maritza67335907/status/1112814913980956673" TargetMode="External"/><Relationship Id="rId1010" Type="http://schemas.openxmlformats.org/officeDocument/2006/relationships/hyperlink" Target="http://twitter.com/canalN_/status/1113247072822681600" TargetMode="External"/><Relationship Id="rId1094" Type="http://schemas.openxmlformats.org/officeDocument/2006/relationships/hyperlink" Target="http://twitter.com/SegundoMattaC/status/1113429052948398080" TargetMode="External"/><Relationship Id="rId1108" Type="http://schemas.openxmlformats.org/officeDocument/2006/relationships/hyperlink" Target="http://twitter.com/diariocorreo/status/1113459014971604992" TargetMode="External"/><Relationship Id="rId1315" Type="http://schemas.openxmlformats.org/officeDocument/2006/relationships/hyperlink" Target="http://twitter.com/drocabas/status/1113943321238482944" TargetMode="External"/><Relationship Id="rId1967" Type="http://schemas.openxmlformats.org/officeDocument/2006/relationships/hyperlink" Target="http://twitter.com/beaminm/status/1115355383504072704" TargetMode="External"/><Relationship Id="rId117" Type="http://schemas.openxmlformats.org/officeDocument/2006/relationships/hyperlink" Target="http://twitter.com/grupormperugma1/status/1112712140320894976" TargetMode="External"/><Relationship Id="rId671" Type="http://schemas.openxmlformats.org/officeDocument/2006/relationships/hyperlink" Target="http://twitter.com/luisrp1101/status/1112883100005158912" TargetMode="External"/><Relationship Id="rId769" Type="http://schemas.openxmlformats.org/officeDocument/2006/relationships/hyperlink" Target="http://twitter.com/santosjaimes/status/1112911611176484864" TargetMode="External"/><Relationship Id="rId976" Type="http://schemas.openxmlformats.org/officeDocument/2006/relationships/hyperlink" Target="http://twitter.com/Educol49/status/1113158483640246272" TargetMode="External"/><Relationship Id="rId1399" Type="http://schemas.openxmlformats.org/officeDocument/2006/relationships/hyperlink" Target="http://twitter.com/EfrainArca/status/1114098556133154817" TargetMode="External"/><Relationship Id="rId324" Type="http://schemas.openxmlformats.org/officeDocument/2006/relationships/hyperlink" Target="http://twitter.com/Omar_Pinedo/status/1112775423220477953" TargetMode="External"/><Relationship Id="rId531" Type="http://schemas.openxmlformats.org/officeDocument/2006/relationships/hyperlink" Target="http://twitter.com/Huamanigrij2/status/1112838815792586752" TargetMode="External"/><Relationship Id="rId629" Type="http://schemas.openxmlformats.org/officeDocument/2006/relationships/hyperlink" Target="http://twitter.com/nelly19070419/status/1112869816195563520" TargetMode="External"/><Relationship Id="rId1161" Type="http://schemas.openxmlformats.org/officeDocument/2006/relationships/hyperlink" Target="http://twitter.com/MiguelA87974638/status/1113611687503044608" TargetMode="External"/><Relationship Id="rId1259" Type="http://schemas.openxmlformats.org/officeDocument/2006/relationships/hyperlink" Target="http://twitter.com/Visionhuaraz/status/1113822646351929344" TargetMode="External"/><Relationship Id="rId1466" Type="http://schemas.openxmlformats.org/officeDocument/2006/relationships/hyperlink" Target="http://twitter.com/sopeverses/status/1114253772858056704" TargetMode="External"/><Relationship Id="rId836" Type="http://schemas.openxmlformats.org/officeDocument/2006/relationships/hyperlink" Target="http://twitter.com/Jhonney2020/status/1112929148463448064" TargetMode="External"/><Relationship Id="rId1021" Type="http://schemas.openxmlformats.org/officeDocument/2006/relationships/hyperlink" Target="http://twitter.com/Dua_poli/status/1113277113598119937" TargetMode="External"/><Relationship Id="rId1119" Type="http://schemas.openxmlformats.org/officeDocument/2006/relationships/hyperlink" Target="http://twitter.com/josferperu/status/1113460305391226880" TargetMode="External"/><Relationship Id="rId1673" Type="http://schemas.openxmlformats.org/officeDocument/2006/relationships/hyperlink" Target="http://twitter.com/CarmenRozas3/status/1114714125949706241" TargetMode="External"/><Relationship Id="rId1880" Type="http://schemas.openxmlformats.org/officeDocument/2006/relationships/hyperlink" Target="http://twitter.com/kuervito76/status/1115139849940545536" TargetMode="External"/><Relationship Id="rId1978" Type="http://schemas.openxmlformats.org/officeDocument/2006/relationships/hyperlink" Target="http://twitter.com/veroca327/status/1115386831720407042" TargetMode="External"/><Relationship Id="rId903" Type="http://schemas.openxmlformats.org/officeDocument/2006/relationships/hyperlink" Target="http://twitter.com/AngieNegron/status/1112987465109757952" TargetMode="External"/><Relationship Id="rId1326" Type="http://schemas.openxmlformats.org/officeDocument/2006/relationships/hyperlink" Target="http://twitter.com/Carrio8/status/1113971968527695873" TargetMode="External"/><Relationship Id="rId1533" Type="http://schemas.openxmlformats.org/officeDocument/2006/relationships/hyperlink" Target="http://twitter.com/GacetaUcayalina/status/1114398034962595840" TargetMode="External"/><Relationship Id="rId1740" Type="http://schemas.openxmlformats.org/officeDocument/2006/relationships/hyperlink" Target="http://twitter.com/isabeldiceesto/status/1114864573608337408" TargetMode="External"/><Relationship Id="rId32" Type="http://schemas.openxmlformats.org/officeDocument/2006/relationships/hyperlink" Target="http://twitter.com/JrgrupoService/status/1112682571366846465" TargetMode="External"/><Relationship Id="rId1600" Type="http://schemas.openxmlformats.org/officeDocument/2006/relationships/hyperlink" Target="http://twitter.com/SamyH1982/status/1114562906543263745" TargetMode="External"/><Relationship Id="rId1838" Type="http://schemas.openxmlformats.org/officeDocument/2006/relationships/hyperlink" Target="http://twitter.com/geopoliting/status/1115074099339038720" TargetMode="External"/><Relationship Id="rId181" Type="http://schemas.openxmlformats.org/officeDocument/2006/relationships/hyperlink" Target="http://twitter.com/degohm/status/1112731026860789761" TargetMode="External"/><Relationship Id="rId1905" Type="http://schemas.openxmlformats.org/officeDocument/2006/relationships/hyperlink" Target="http://twitter.com/AgenceFides/status/1115198365359202304" TargetMode="External"/><Relationship Id="rId279" Type="http://schemas.openxmlformats.org/officeDocument/2006/relationships/hyperlink" Target="http://twitter.com/ExpresoPeru/status/1112760851084312576" TargetMode="External"/><Relationship Id="rId486" Type="http://schemas.openxmlformats.org/officeDocument/2006/relationships/hyperlink" Target="http://twitter.com/propria_afar/status/1112824622423162880" TargetMode="External"/><Relationship Id="rId693" Type="http://schemas.openxmlformats.org/officeDocument/2006/relationships/hyperlink" Target="http://twitter.com/JorgeEv27674587/status/1112890584744644608" TargetMode="External"/><Relationship Id="rId139" Type="http://schemas.openxmlformats.org/officeDocument/2006/relationships/hyperlink" Target="http://twitter.com/racsoprimero/status/1112716934204870656" TargetMode="External"/><Relationship Id="rId346" Type="http://schemas.openxmlformats.org/officeDocument/2006/relationships/hyperlink" Target="http://twitter.com/netoflix3/status/1112779845036015616" TargetMode="External"/><Relationship Id="rId553" Type="http://schemas.openxmlformats.org/officeDocument/2006/relationships/hyperlink" Target="http://twitter.com/Kalin_gl/status/1112848328524480512" TargetMode="External"/><Relationship Id="rId760" Type="http://schemas.openxmlformats.org/officeDocument/2006/relationships/hyperlink" Target="http://twitter.com/wilsonpsc/status/1112908421077057536" TargetMode="External"/><Relationship Id="rId998" Type="http://schemas.openxmlformats.org/officeDocument/2006/relationships/hyperlink" Target="http://twitter.com/SariSant03/status/1113218527379505158" TargetMode="External"/><Relationship Id="rId1183" Type="http://schemas.openxmlformats.org/officeDocument/2006/relationships/hyperlink" Target="http://twitter.com/CsargutiCesar/status/1113641238866137089" TargetMode="External"/><Relationship Id="rId1390" Type="http://schemas.openxmlformats.org/officeDocument/2006/relationships/hyperlink" Target="http://twitter.com/imejiapalomimo/status/1114090902962806784" TargetMode="External"/><Relationship Id="rId206" Type="http://schemas.openxmlformats.org/officeDocument/2006/relationships/hyperlink" Target="http://twitter.com/Perusupport/status/1112739230957096960" TargetMode="External"/><Relationship Id="rId413" Type="http://schemas.openxmlformats.org/officeDocument/2006/relationships/hyperlink" Target="http://twitter.com/nipio_es/status/1112800460073787392" TargetMode="External"/><Relationship Id="rId858" Type="http://schemas.openxmlformats.org/officeDocument/2006/relationships/hyperlink" Target="http://twitter.com/kuervito76/status/1112935719591464965" TargetMode="External"/><Relationship Id="rId1043" Type="http://schemas.openxmlformats.org/officeDocument/2006/relationships/hyperlink" Target="http://twitter.com/vimefa/status/1113305535309385730" TargetMode="External"/><Relationship Id="rId1488" Type="http://schemas.openxmlformats.org/officeDocument/2006/relationships/hyperlink" Target="http://twitter.com/NLepan/status/1114315491995033611" TargetMode="External"/><Relationship Id="rId1695" Type="http://schemas.openxmlformats.org/officeDocument/2006/relationships/hyperlink" Target="http://twitter.com/medmariomiguel/status/1114766149990920192" TargetMode="External"/><Relationship Id="rId620" Type="http://schemas.openxmlformats.org/officeDocument/2006/relationships/hyperlink" Target="http://twitter.com/DeltaMdelta/status/1112868428145201152" TargetMode="External"/><Relationship Id="rId718" Type="http://schemas.openxmlformats.org/officeDocument/2006/relationships/hyperlink" Target="http://twitter.com/nellywarmi/status/1112896928814170112" TargetMode="External"/><Relationship Id="rId925" Type="http://schemas.openxmlformats.org/officeDocument/2006/relationships/hyperlink" Target="http://twitter.com/AsesoI/status/1113067033309208576" TargetMode="External"/><Relationship Id="rId1250" Type="http://schemas.openxmlformats.org/officeDocument/2006/relationships/hyperlink" Target="http://twitter.com/insanaironia/status/1113791727725420544" TargetMode="External"/><Relationship Id="rId1348" Type="http://schemas.openxmlformats.org/officeDocument/2006/relationships/hyperlink" Target="http://twitter.com/pepepalaciosq/status/1114027757497982976" TargetMode="External"/><Relationship Id="rId1555" Type="http://schemas.openxmlformats.org/officeDocument/2006/relationships/hyperlink" Target="http://twitter.com/sandruski_5/status/1114469662547431424" TargetMode="External"/><Relationship Id="rId1762" Type="http://schemas.openxmlformats.org/officeDocument/2006/relationships/hyperlink" Target="http://twitter.com/VeriCaducat_/status/1114895546043518983" TargetMode="External"/><Relationship Id="rId1110" Type="http://schemas.openxmlformats.org/officeDocument/2006/relationships/hyperlink" Target="http://twitter.com/arrunte5/status/1113459313039749121" TargetMode="External"/><Relationship Id="rId1208" Type="http://schemas.openxmlformats.org/officeDocument/2006/relationships/hyperlink" Target="http://twitter.com/william759/status/1113693391617966085" TargetMode="External"/><Relationship Id="rId1415" Type="http://schemas.openxmlformats.org/officeDocument/2006/relationships/hyperlink" Target="http://twitter.com/princesrosari/status/1114138522917724162" TargetMode="External"/><Relationship Id="rId54" Type="http://schemas.openxmlformats.org/officeDocument/2006/relationships/hyperlink" Target="http://twitter.com/agjimenezm/status/1112690569661345792" TargetMode="External"/><Relationship Id="rId1622" Type="http://schemas.openxmlformats.org/officeDocument/2006/relationships/hyperlink" Target="http://twitter.com/ErickDiax/status/1114621995143053312" TargetMode="External"/><Relationship Id="rId1927" Type="http://schemas.openxmlformats.org/officeDocument/2006/relationships/hyperlink" Target="http://twitter.com/SariSant03/status/1115267374704410624" TargetMode="External"/><Relationship Id="rId270" Type="http://schemas.openxmlformats.org/officeDocument/2006/relationships/hyperlink" Target="http://twitter.com/tonyventur/status/1112757967747719168" TargetMode="External"/><Relationship Id="rId130" Type="http://schemas.openxmlformats.org/officeDocument/2006/relationships/hyperlink" Target="http://twitter.com/anna__hard/status/1112716428954779649" TargetMode="External"/><Relationship Id="rId368" Type="http://schemas.openxmlformats.org/officeDocument/2006/relationships/hyperlink" Target="http://twitter.com/ricartealmeida/status/1112786316444532738" TargetMode="External"/><Relationship Id="rId575" Type="http://schemas.openxmlformats.org/officeDocument/2006/relationships/hyperlink" Target="http://twitter.com/contracaidas/status/1112851216424427523" TargetMode="External"/><Relationship Id="rId782" Type="http://schemas.openxmlformats.org/officeDocument/2006/relationships/hyperlink" Target="http://twitter.com/jradzinsky/status/1112914308986417152" TargetMode="External"/><Relationship Id="rId228" Type="http://schemas.openxmlformats.org/officeDocument/2006/relationships/hyperlink" Target="http://twitter.com/jaimedelcastill/status/1112747334658674688" TargetMode="External"/><Relationship Id="rId435" Type="http://schemas.openxmlformats.org/officeDocument/2006/relationships/hyperlink" Target="http://twitter.com/JuanCarlosLL/status/1112804090499588097" TargetMode="External"/><Relationship Id="rId642" Type="http://schemas.openxmlformats.org/officeDocument/2006/relationships/hyperlink" Target="http://twitter.com/oscarda45/status/1112874401299685377" TargetMode="External"/><Relationship Id="rId1065" Type="http://schemas.openxmlformats.org/officeDocument/2006/relationships/hyperlink" Target="http://twitter.com/marianalup/status/1113344032552509440" TargetMode="External"/><Relationship Id="rId1272" Type="http://schemas.openxmlformats.org/officeDocument/2006/relationships/hyperlink" Target="http://twitter.com/lisarita1956/status/1113850916434739200" TargetMode="External"/><Relationship Id="rId502" Type="http://schemas.openxmlformats.org/officeDocument/2006/relationships/hyperlink" Target="http://twitter.com/elgasnoticias/status/1112830524291203077" TargetMode="External"/><Relationship Id="rId947" Type="http://schemas.openxmlformats.org/officeDocument/2006/relationships/hyperlink" Target="http://twitter.com/pulsonoticias_G/status/1113096598379290625" TargetMode="External"/><Relationship Id="rId1132" Type="http://schemas.openxmlformats.org/officeDocument/2006/relationships/hyperlink" Target="http://twitter.com/Laus52651533/status/1113490354249129984" TargetMode="External"/><Relationship Id="rId1577" Type="http://schemas.openxmlformats.org/officeDocument/2006/relationships/hyperlink" Target="http://twitter.com/aspauzarazuri/status/1114501778299596800" TargetMode="External"/><Relationship Id="rId1784" Type="http://schemas.openxmlformats.org/officeDocument/2006/relationships/hyperlink" Target="http://twitter.com/Regui97/status/1114953203437776896" TargetMode="External"/><Relationship Id="rId1991" Type="http://schemas.openxmlformats.org/officeDocument/2006/relationships/hyperlink" Target="http://twitter.com/castalva123/status/1115388628325359616" TargetMode="External"/><Relationship Id="rId76" Type="http://schemas.openxmlformats.org/officeDocument/2006/relationships/hyperlink" Target="http://twitter.com/MilagrosLeivaG/status/1112699421605707776" TargetMode="External"/><Relationship Id="rId807" Type="http://schemas.openxmlformats.org/officeDocument/2006/relationships/hyperlink" Target="http://twitter.com/willaxtv/status/1112923167939616768" TargetMode="External"/><Relationship Id="rId1437" Type="http://schemas.openxmlformats.org/officeDocument/2006/relationships/hyperlink" Target="http://twitter.com/clauudesool/status/1114194660300349446" TargetMode="External"/><Relationship Id="rId1644" Type="http://schemas.openxmlformats.org/officeDocument/2006/relationships/hyperlink" Target="http://twitter.com/anatari33/status/1114652997860986880" TargetMode="External"/><Relationship Id="rId1851" Type="http://schemas.openxmlformats.org/officeDocument/2006/relationships/hyperlink" Target="http://twitter.com/CATORRE66418246/status/1115098507201761280" TargetMode="External"/><Relationship Id="rId1504" Type="http://schemas.openxmlformats.org/officeDocument/2006/relationships/hyperlink" Target="http://twitter.com/DeltaMdelta/status/1114345997537296386" TargetMode="External"/><Relationship Id="rId1711" Type="http://schemas.openxmlformats.org/officeDocument/2006/relationships/hyperlink" Target="http://twitter.com/srtanvarro/status/1114800172612108290" TargetMode="External"/><Relationship Id="rId1949" Type="http://schemas.openxmlformats.org/officeDocument/2006/relationships/hyperlink" Target="http://twitter.com/arno_anibal/status/1115297288958689284" TargetMode="External"/><Relationship Id="rId292" Type="http://schemas.openxmlformats.org/officeDocument/2006/relationships/hyperlink" Target="http://twitter.com/ExpresoPeru/status/1112765269758435328" TargetMode="External"/><Relationship Id="rId1809" Type="http://schemas.openxmlformats.org/officeDocument/2006/relationships/hyperlink" Target="http://twitter.com/judithmxrtinezz/status/1115014989226676224" TargetMode="External"/><Relationship Id="rId597" Type="http://schemas.openxmlformats.org/officeDocument/2006/relationships/hyperlink" Target="http://twitter.com/arrobadeusz/status/1112859232595009536" TargetMode="External"/><Relationship Id="rId152" Type="http://schemas.openxmlformats.org/officeDocument/2006/relationships/hyperlink" Target="http://twitter.com/3100Rafa/status/1112723670382854144" TargetMode="External"/><Relationship Id="rId457" Type="http://schemas.openxmlformats.org/officeDocument/2006/relationships/hyperlink" Target="http://twitter.com/pruperu/status/1112811430825390080" TargetMode="External"/><Relationship Id="rId1087" Type="http://schemas.openxmlformats.org/officeDocument/2006/relationships/hyperlink" Target="http://twitter.com/saezitus/status/1113386871822913536" TargetMode="External"/><Relationship Id="rId1294" Type="http://schemas.openxmlformats.org/officeDocument/2006/relationships/hyperlink" Target="http://twitter.com/LuisaPalaciosS/status/1113911201380077569" TargetMode="External"/><Relationship Id="rId664" Type="http://schemas.openxmlformats.org/officeDocument/2006/relationships/hyperlink" Target="http://twitter.com/Gustavo61818090/status/1112881968474193920" TargetMode="External"/><Relationship Id="rId871" Type="http://schemas.openxmlformats.org/officeDocument/2006/relationships/hyperlink" Target="http://twitter.com/THEWARRON/status/1112939950645837829" TargetMode="External"/><Relationship Id="rId969" Type="http://schemas.openxmlformats.org/officeDocument/2006/relationships/hyperlink" Target="http://twitter.com/ubillus_jaime/status/1113156669742043136" TargetMode="External"/><Relationship Id="rId1599" Type="http://schemas.openxmlformats.org/officeDocument/2006/relationships/hyperlink" Target="http://twitter.com/noeliamorcillo5/status/1114562874624471040" TargetMode="External"/><Relationship Id="rId317" Type="http://schemas.openxmlformats.org/officeDocument/2006/relationships/hyperlink" Target="http://twitter.com/martinbelaundem/status/1112774089524088833" TargetMode="External"/><Relationship Id="rId524" Type="http://schemas.openxmlformats.org/officeDocument/2006/relationships/hyperlink" Target="http://twitter.com/LiliaMati/status/1112836535655776257" TargetMode="External"/><Relationship Id="rId731" Type="http://schemas.openxmlformats.org/officeDocument/2006/relationships/hyperlink" Target="http://twitter.com/JorgeEv27674587/status/1112901211336794112" TargetMode="External"/><Relationship Id="rId1154" Type="http://schemas.openxmlformats.org/officeDocument/2006/relationships/hyperlink" Target="http://twitter.com/RICARDOALBERTO_/status/1113581132589694981" TargetMode="External"/><Relationship Id="rId1361" Type="http://schemas.openxmlformats.org/officeDocument/2006/relationships/hyperlink" Target="http://twitter.com/pezuni5256/status/1114036571370606592" TargetMode="External"/><Relationship Id="rId1459" Type="http://schemas.openxmlformats.org/officeDocument/2006/relationships/hyperlink" Target="http://twitter.com/chancos/status/1114251557195911168" TargetMode="External"/><Relationship Id="rId98" Type="http://schemas.openxmlformats.org/officeDocument/2006/relationships/hyperlink" Target="http://twitter.com/pepevilaala/status/1112703860303372288" TargetMode="External"/><Relationship Id="rId829" Type="http://schemas.openxmlformats.org/officeDocument/2006/relationships/hyperlink" Target="http://twitter.com/AugustoAcostaB/status/1112927695762067457" TargetMode="External"/><Relationship Id="rId1014" Type="http://schemas.openxmlformats.org/officeDocument/2006/relationships/hyperlink" Target="http://twitter.com/opsldn/status/1113247814086266880" TargetMode="External"/><Relationship Id="rId1221" Type="http://schemas.openxmlformats.org/officeDocument/2006/relationships/hyperlink" Target="http://twitter.com/PanamericanaTV/status/1113706626412896257" TargetMode="External"/><Relationship Id="rId1666" Type="http://schemas.openxmlformats.org/officeDocument/2006/relationships/hyperlink" Target="http://twitter.com/juanaponte1939/status/1114713666824355840" TargetMode="External"/><Relationship Id="rId1873" Type="http://schemas.openxmlformats.org/officeDocument/2006/relationships/hyperlink" Target="http://twitter.com/Jof_chavez/status/1115137161047625728" TargetMode="External"/><Relationship Id="rId1319" Type="http://schemas.openxmlformats.org/officeDocument/2006/relationships/hyperlink" Target="http://twitter.com/JuanEst71164374/status/1113970715026493441" TargetMode="External"/><Relationship Id="rId1526" Type="http://schemas.openxmlformats.org/officeDocument/2006/relationships/hyperlink" Target="http://twitter.com/ISialer/status/1114374847486812161" TargetMode="External"/><Relationship Id="rId1733" Type="http://schemas.openxmlformats.org/officeDocument/2006/relationships/hyperlink" Target="http://twitter.com/SrMickeyMouse28/status/1114833421325537281" TargetMode="External"/><Relationship Id="rId1940" Type="http://schemas.openxmlformats.org/officeDocument/2006/relationships/hyperlink" Target="http://twitter.com/jcalderonv74/status/1115295857971212288" TargetMode="External"/><Relationship Id="rId25" Type="http://schemas.openxmlformats.org/officeDocument/2006/relationships/hyperlink" Target="http://twitter.com/mariapiaev/status/1112681520005697536" TargetMode="External"/><Relationship Id="rId1800" Type="http://schemas.openxmlformats.org/officeDocument/2006/relationships/hyperlink" Target="http://twitter.com/DinoLoft/status/1114984298958946304" TargetMode="External"/><Relationship Id="rId174" Type="http://schemas.openxmlformats.org/officeDocument/2006/relationships/hyperlink" Target="http://twitter.com/SandritaCcori/status/1112730408985202689" TargetMode="External"/><Relationship Id="rId381" Type="http://schemas.openxmlformats.org/officeDocument/2006/relationships/hyperlink" Target="http://twitter.com/THEWARRON/status/1112788492235534337" TargetMode="External"/><Relationship Id="rId241" Type="http://schemas.openxmlformats.org/officeDocument/2006/relationships/hyperlink" Target="http://twitter.com/StorinoAragon/status/1112750381132640256" TargetMode="External"/><Relationship Id="rId479" Type="http://schemas.openxmlformats.org/officeDocument/2006/relationships/hyperlink" Target="http://twitter.com/Ojo_Publico/status/1112822660554260480" TargetMode="External"/><Relationship Id="rId686" Type="http://schemas.openxmlformats.org/officeDocument/2006/relationships/hyperlink" Target="http://twitter.com/HacerPeruPe/status/1112889444363776010" TargetMode="External"/><Relationship Id="rId893" Type="http://schemas.openxmlformats.org/officeDocument/2006/relationships/hyperlink" Target="http://twitter.com/LilianaJimnezLo/status/1112969914279579649" TargetMode="External"/><Relationship Id="rId339" Type="http://schemas.openxmlformats.org/officeDocument/2006/relationships/hyperlink" Target="http://twitter.com/heey_Tibes/status/1112778984192966656" TargetMode="External"/><Relationship Id="rId546" Type="http://schemas.openxmlformats.org/officeDocument/2006/relationships/hyperlink" Target="http://twitter.com/MarioPa56744878/status/1112843091105538050" TargetMode="External"/><Relationship Id="rId753" Type="http://schemas.openxmlformats.org/officeDocument/2006/relationships/hyperlink" Target="http://twitter.com/julio35671551/status/1112905201806135296" TargetMode="External"/><Relationship Id="rId1176" Type="http://schemas.openxmlformats.org/officeDocument/2006/relationships/hyperlink" Target="http://twitter.com/homerorm7/status/1113639677897134080" TargetMode="External"/><Relationship Id="rId1383" Type="http://schemas.openxmlformats.org/officeDocument/2006/relationships/hyperlink" Target="http://twitter.com/_RafaelSalgado/status/1114054782824714241" TargetMode="External"/><Relationship Id="rId101" Type="http://schemas.openxmlformats.org/officeDocument/2006/relationships/hyperlink" Target="http://twitter.com/Jess49504626/status/1112704549586956290" TargetMode="External"/><Relationship Id="rId406" Type="http://schemas.openxmlformats.org/officeDocument/2006/relationships/hyperlink" Target="http://twitter.com/crownthelau/status/1112798730430889989" TargetMode="External"/><Relationship Id="rId960" Type="http://schemas.openxmlformats.org/officeDocument/2006/relationships/hyperlink" Target="http://twitter.com/apranorte/status/1113127329541382145" TargetMode="External"/><Relationship Id="rId1036" Type="http://schemas.openxmlformats.org/officeDocument/2006/relationships/hyperlink" Target="http://twitter.com/flecarosb/status/1113303192245362688" TargetMode="External"/><Relationship Id="rId1243" Type="http://schemas.openxmlformats.org/officeDocument/2006/relationships/hyperlink" Target="http://twitter.com/joneyjuana/status/1113790486446247937" TargetMode="External"/><Relationship Id="rId1590" Type="http://schemas.openxmlformats.org/officeDocument/2006/relationships/hyperlink" Target="http://twitter.com/Alex_is_OP/status/1114532693927243781" TargetMode="External"/><Relationship Id="rId1688" Type="http://schemas.openxmlformats.org/officeDocument/2006/relationships/hyperlink" Target="http://twitter.com/rupertomacha/status/1114743432101101568" TargetMode="External"/><Relationship Id="rId1895" Type="http://schemas.openxmlformats.org/officeDocument/2006/relationships/hyperlink" Target="http://twitter.com/exitosape/status/1115164144397967360" TargetMode="External"/><Relationship Id="rId613" Type="http://schemas.openxmlformats.org/officeDocument/2006/relationships/hyperlink" Target="http://twitter.com/miguel957/status/1112864278615351296" TargetMode="External"/><Relationship Id="rId820" Type="http://schemas.openxmlformats.org/officeDocument/2006/relationships/hyperlink" Target="http://twitter.com/kdiazea23/status/1112925996670386178" TargetMode="External"/><Relationship Id="rId918" Type="http://schemas.openxmlformats.org/officeDocument/2006/relationships/hyperlink" Target="http://twitter.com/HeribertoSnch16/status/1113028680719241216" TargetMode="External"/><Relationship Id="rId1450" Type="http://schemas.openxmlformats.org/officeDocument/2006/relationships/hyperlink" Target="http://twitter.com/VirtuosoTetsu/status/1114224086723567618" TargetMode="External"/><Relationship Id="rId1548" Type="http://schemas.openxmlformats.org/officeDocument/2006/relationships/hyperlink" Target="http://twitter.com/laurammate/status/1114431385719197696" TargetMode="External"/><Relationship Id="rId1755" Type="http://schemas.openxmlformats.org/officeDocument/2006/relationships/hyperlink" Target="http://twitter.com/heinzroque/status/1114894879757361152" TargetMode="External"/><Relationship Id="rId1103" Type="http://schemas.openxmlformats.org/officeDocument/2006/relationships/hyperlink" Target="http://twitter.com/jcsilvagonzales/status/1113430735086673920" TargetMode="External"/><Relationship Id="rId1310" Type="http://schemas.openxmlformats.org/officeDocument/2006/relationships/hyperlink" Target="http://twitter.com/EmilianoRumiche/status/1113942340748623878" TargetMode="External"/><Relationship Id="rId1408" Type="http://schemas.openxmlformats.org/officeDocument/2006/relationships/hyperlink" Target="http://twitter.com/paomiatorres/status/1114136769828667392" TargetMode="External"/><Relationship Id="rId1962" Type="http://schemas.openxmlformats.org/officeDocument/2006/relationships/hyperlink" Target="http://twitter.com/POLITICATOTALpe/status/1115328056800026626" TargetMode="External"/><Relationship Id="rId47" Type="http://schemas.openxmlformats.org/officeDocument/2006/relationships/hyperlink" Target="http://twitter.com/EquidadMd/status/1112689701977292800" TargetMode="External"/><Relationship Id="rId1615" Type="http://schemas.openxmlformats.org/officeDocument/2006/relationships/hyperlink" Target="http://twitter.com/Khabarov5k/status/1114591222033731584" TargetMode="External"/><Relationship Id="rId1822" Type="http://schemas.openxmlformats.org/officeDocument/2006/relationships/hyperlink" Target="http://twitter.com/99marichu/status/1115042024103657474" TargetMode="External"/><Relationship Id="rId196" Type="http://schemas.openxmlformats.org/officeDocument/2006/relationships/hyperlink" Target="http://twitter.com/yoisy01/status/1112735146032148484" TargetMode="External"/><Relationship Id="rId263" Type="http://schemas.openxmlformats.org/officeDocument/2006/relationships/hyperlink" Target="http://twitter.com/Jhope1611/status/1112757270826356737" TargetMode="External"/><Relationship Id="rId470" Type="http://schemas.openxmlformats.org/officeDocument/2006/relationships/hyperlink" Target="http://twitter.com/YsmeldaI/status/1112815492673175552" TargetMode="External"/><Relationship Id="rId123" Type="http://schemas.openxmlformats.org/officeDocument/2006/relationships/hyperlink" Target="http://twitter.com/QoriKatari/status/1112712684972240896" TargetMode="External"/><Relationship Id="rId330" Type="http://schemas.openxmlformats.org/officeDocument/2006/relationships/hyperlink" Target="http://twitter.com/choquecurat/status/1112776520198651905" TargetMode="External"/><Relationship Id="rId568" Type="http://schemas.openxmlformats.org/officeDocument/2006/relationships/hyperlink" Target="http://twitter.com/Steppenwolf90/status/1112850868041388038" TargetMode="External"/><Relationship Id="rId775" Type="http://schemas.openxmlformats.org/officeDocument/2006/relationships/hyperlink" Target="http://twitter.com/AmberMining/status/1112912560242745345" TargetMode="External"/><Relationship Id="rId982" Type="http://schemas.openxmlformats.org/officeDocument/2006/relationships/hyperlink" Target="http://twitter.com/girlsynick/status/1113186445760577538" TargetMode="External"/><Relationship Id="rId1198" Type="http://schemas.openxmlformats.org/officeDocument/2006/relationships/hyperlink" Target="http://twitter.com/mRsPozo1/status/1113682780855181312" TargetMode="External"/><Relationship Id="rId428" Type="http://schemas.openxmlformats.org/officeDocument/2006/relationships/hyperlink" Target="http://twitter.com/PepeMoquillaza/status/1112803073972424706" TargetMode="External"/><Relationship Id="rId635" Type="http://schemas.openxmlformats.org/officeDocument/2006/relationships/hyperlink" Target="http://twitter.com/TaliaLVE/status/1112873790684450817" TargetMode="External"/><Relationship Id="rId842" Type="http://schemas.openxmlformats.org/officeDocument/2006/relationships/hyperlink" Target="http://twitter.com/ArdidDeLaRazon/status/1112932905007886337" TargetMode="External"/><Relationship Id="rId1058" Type="http://schemas.openxmlformats.org/officeDocument/2006/relationships/hyperlink" Target="http://twitter.com/tidd_83/status/1113328209372819456" TargetMode="External"/><Relationship Id="rId1265" Type="http://schemas.openxmlformats.org/officeDocument/2006/relationships/hyperlink" Target="http://twitter.com/martindela67/status/1113823555291156481" TargetMode="External"/><Relationship Id="rId1472" Type="http://schemas.openxmlformats.org/officeDocument/2006/relationships/hyperlink" Target="http://twitter.com/Pepepalaciosc/status/1114286292341280768" TargetMode="External"/><Relationship Id="rId702" Type="http://schemas.openxmlformats.org/officeDocument/2006/relationships/hyperlink" Target="http://twitter.com/r0bq/status/1112892566146613249" TargetMode="External"/><Relationship Id="rId1125" Type="http://schemas.openxmlformats.org/officeDocument/2006/relationships/hyperlink" Target="http://twitter.com/driandemyx/status/1113489025199955968" TargetMode="External"/><Relationship Id="rId1332" Type="http://schemas.openxmlformats.org/officeDocument/2006/relationships/hyperlink" Target="http://twitter.com/Mari2067/status/1113973323250192384" TargetMode="External"/><Relationship Id="rId1777" Type="http://schemas.openxmlformats.org/officeDocument/2006/relationships/hyperlink" Target="http://twitter.com/informateperu/status/1114952343555117056" TargetMode="External"/><Relationship Id="rId1984" Type="http://schemas.openxmlformats.org/officeDocument/2006/relationships/hyperlink" Target="http://twitter.com/Eda2005Del/status/1115387318427373568" TargetMode="External"/><Relationship Id="rId69" Type="http://schemas.openxmlformats.org/officeDocument/2006/relationships/hyperlink" Target="http://twitter.com/pintora67/status/1112694577452978176" TargetMode="External"/><Relationship Id="rId1637" Type="http://schemas.openxmlformats.org/officeDocument/2006/relationships/hyperlink" Target="http://twitter.com/matuk/status/1114652053190606849" TargetMode="External"/><Relationship Id="rId1844" Type="http://schemas.openxmlformats.org/officeDocument/2006/relationships/hyperlink" Target="http://twitter.com/peruvianhappy/status/1115075162242678784" TargetMode="External"/><Relationship Id="rId1704" Type="http://schemas.openxmlformats.org/officeDocument/2006/relationships/hyperlink" Target="http://twitter.com/ucinoticias_pe/status/1114771014049832960" TargetMode="External"/><Relationship Id="rId285" Type="http://schemas.openxmlformats.org/officeDocument/2006/relationships/hyperlink" Target="http://twitter.com/GoFuentes_/status/1112761564715720705" TargetMode="External"/><Relationship Id="rId1911" Type="http://schemas.openxmlformats.org/officeDocument/2006/relationships/hyperlink" Target="http://twitter.com/JL_ValeraC/status/1115234683158257664" TargetMode="External"/><Relationship Id="rId492" Type="http://schemas.openxmlformats.org/officeDocument/2006/relationships/hyperlink" Target="http://twitter.com/Jorgedelama/status/1112828342732980224" TargetMode="External"/><Relationship Id="rId797" Type="http://schemas.openxmlformats.org/officeDocument/2006/relationships/hyperlink" Target="http://twitter.com/Mar_vin29/status/1112919660637323264" TargetMode="External"/><Relationship Id="rId145" Type="http://schemas.openxmlformats.org/officeDocument/2006/relationships/hyperlink" Target="http://twitter.com/CarlosAranaMant/status/1112722361613197312" TargetMode="External"/><Relationship Id="rId352" Type="http://schemas.openxmlformats.org/officeDocument/2006/relationships/hyperlink" Target="http://twitter.com/osalgulama/status/1112781447839039488" TargetMode="External"/><Relationship Id="rId1287" Type="http://schemas.openxmlformats.org/officeDocument/2006/relationships/hyperlink" Target="http://twitter.com/rodama9758/status/1113884391963615232" TargetMode="External"/><Relationship Id="rId212" Type="http://schemas.openxmlformats.org/officeDocument/2006/relationships/hyperlink" Target="http://twitter.com/rosamespule/status/1112742168110776320" TargetMode="External"/><Relationship Id="rId657" Type="http://schemas.openxmlformats.org/officeDocument/2006/relationships/hyperlink" Target="http://twitter.com/canalN_/status/1112878657633124352" TargetMode="External"/><Relationship Id="rId864" Type="http://schemas.openxmlformats.org/officeDocument/2006/relationships/hyperlink" Target="http://twitter.com/Paz07088742/status/1112936629507948545" TargetMode="External"/><Relationship Id="rId1494" Type="http://schemas.openxmlformats.org/officeDocument/2006/relationships/hyperlink" Target="http://twitter.com/ANDRESAR16/status/1114318884423778305" TargetMode="External"/><Relationship Id="rId1799" Type="http://schemas.openxmlformats.org/officeDocument/2006/relationships/hyperlink" Target="http://twitter.com/Latina_Noticias/status/1114983935224606720" TargetMode="External"/><Relationship Id="rId517" Type="http://schemas.openxmlformats.org/officeDocument/2006/relationships/hyperlink" Target="http://twitter.com/Mery2005E/status/1112835577152499712" TargetMode="External"/><Relationship Id="rId724" Type="http://schemas.openxmlformats.org/officeDocument/2006/relationships/hyperlink" Target="http://twitter.com/90shannigan/status/1112897798842867712" TargetMode="External"/><Relationship Id="rId931" Type="http://schemas.openxmlformats.org/officeDocument/2006/relationships/hyperlink" Target="http://twitter.com/CriticoLibre/status/1113067838309163008" TargetMode="External"/><Relationship Id="rId1147" Type="http://schemas.openxmlformats.org/officeDocument/2006/relationships/hyperlink" Target="http://twitter.com/Indiraorozco/status/1113580223495323649" TargetMode="External"/><Relationship Id="rId1354" Type="http://schemas.openxmlformats.org/officeDocument/2006/relationships/hyperlink" Target="http://twitter.com/vargasescribe/status/1114028077477179392" TargetMode="External"/><Relationship Id="rId1561" Type="http://schemas.openxmlformats.org/officeDocument/2006/relationships/hyperlink" Target="http://twitter.com/_kelp/status/1114470986269765632" TargetMode="External"/><Relationship Id="rId60" Type="http://schemas.openxmlformats.org/officeDocument/2006/relationships/hyperlink" Target="http://twitter.com/jcpuertas/status/1112691364544892929" TargetMode="External"/><Relationship Id="rId1007" Type="http://schemas.openxmlformats.org/officeDocument/2006/relationships/hyperlink" Target="http://twitter.com/BPerdisci/status/1113246762754560000" TargetMode="External"/><Relationship Id="rId1214" Type="http://schemas.openxmlformats.org/officeDocument/2006/relationships/hyperlink" Target="http://twitter.com/SamyH1982/status/1113703319120351232" TargetMode="External"/><Relationship Id="rId1421" Type="http://schemas.openxmlformats.org/officeDocument/2006/relationships/hyperlink" Target="http://twitter.com/lamula/status/1114165726112301056" TargetMode="External"/><Relationship Id="rId1659" Type="http://schemas.openxmlformats.org/officeDocument/2006/relationships/hyperlink" Target="http://twitter.com/EduardoZegT/status/1114682828388798465" TargetMode="External"/><Relationship Id="rId1866" Type="http://schemas.openxmlformats.org/officeDocument/2006/relationships/hyperlink" Target="http://twitter.com/kuervito76/status/1115130851124240385" TargetMode="External"/><Relationship Id="rId1519" Type="http://schemas.openxmlformats.org/officeDocument/2006/relationships/hyperlink" Target="http://twitter.com/bancadablanca/status/1114372304576950272" TargetMode="External"/><Relationship Id="rId1726" Type="http://schemas.openxmlformats.org/officeDocument/2006/relationships/hyperlink" Target="http://twitter.com/marcso1111/status/1114831236239904774" TargetMode="External"/><Relationship Id="rId1933" Type="http://schemas.openxmlformats.org/officeDocument/2006/relationships/hyperlink" Target="http://twitter.com/rubensolo25/status/1115268064159961088" TargetMode="External"/><Relationship Id="rId18" Type="http://schemas.openxmlformats.org/officeDocument/2006/relationships/hyperlink" Target="http://twitter.com/MaquinasEmpac/status/1112680321235877888" TargetMode="External"/><Relationship Id="rId167" Type="http://schemas.openxmlformats.org/officeDocument/2006/relationships/hyperlink" Target="http://twitter.com/peru21noticias/status/1112727023255019520" TargetMode="External"/><Relationship Id="rId374" Type="http://schemas.openxmlformats.org/officeDocument/2006/relationships/hyperlink" Target="http://twitter.com/LinceAntiTuco/status/1112787393298526208" TargetMode="External"/><Relationship Id="rId581" Type="http://schemas.openxmlformats.org/officeDocument/2006/relationships/hyperlink" Target="http://twitter.com/Belasantos31/status/1112852481111941120" TargetMode="External"/><Relationship Id="rId234" Type="http://schemas.openxmlformats.org/officeDocument/2006/relationships/hyperlink" Target="http://twitter.com/Roberto455111/status/1112747645657858048" TargetMode="External"/><Relationship Id="rId679" Type="http://schemas.openxmlformats.org/officeDocument/2006/relationships/hyperlink" Target="http://twitter.com/harlangar/status/1112887358280658944" TargetMode="External"/><Relationship Id="rId886" Type="http://schemas.openxmlformats.org/officeDocument/2006/relationships/hyperlink" Target="http://twitter.com/ApacheDHC/status/1112965100883922944" TargetMode="External"/><Relationship Id="rId2" Type="http://schemas.openxmlformats.org/officeDocument/2006/relationships/hyperlink" Target="http://twitter.com/MaquinasEmpac/status/1112676916123697152" TargetMode="External"/><Relationship Id="rId441" Type="http://schemas.openxmlformats.org/officeDocument/2006/relationships/hyperlink" Target="http://twitter.com/rochi1529/status/1112806117095165952" TargetMode="External"/><Relationship Id="rId539" Type="http://schemas.openxmlformats.org/officeDocument/2006/relationships/hyperlink" Target="http://twitter.com/Floyseve/status/1112841644909449217" TargetMode="External"/><Relationship Id="rId746" Type="http://schemas.openxmlformats.org/officeDocument/2006/relationships/hyperlink" Target="http://twitter.com/diegomezv28/status/1112904123387658240" TargetMode="External"/><Relationship Id="rId1071" Type="http://schemas.openxmlformats.org/officeDocument/2006/relationships/hyperlink" Target="http://twitter.com/Consy2017/status/1113347373466640385" TargetMode="External"/><Relationship Id="rId1169" Type="http://schemas.openxmlformats.org/officeDocument/2006/relationships/hyperlink" Target="http://twitter.com/IvanGarciaMayer/status/1113612627970789377" TargetMode="External"/><Relationship Id="rId1376" Type="http://schemas.openxmlformats.org/officeDocument/2006/relationships/hyperlink" Target="http://twitter.com/AliGar1995/status/1114048995599552512" TargetMode="External"/><Relationship Id="rId1583" Type="http://schemas.openxmlformats.org/officeDocument/2006/relationships/hyperlink" Target="http://twitter.com/buena_diabla/status/1114532403643604992" TargetMode="External"/><Relationship Id="rId301" Type="http://schemas.openxmlformats.org/officeDocument/2006/relationships/hyperlink" Target="http://twitter.com/Mavalittos/status/1112765674965946370" TargetMode="External"/><Relationship Id="rId953" Type="http://schemas.openxmlformats.org/officeDocument/2006/relationships/hyperlink" Target="http://twitter.com/Maritza67335907/status/1113126351874260997" TargetMode="External"/><Relationship Id="rId1029" Type="http://schemas.openxmlformats.org/officeDocument/2006/relationships/hyperlink" Target="http://twitter.com/guillermoenuso/status/1113277885379428353" TargetMode="External"/><Relationship Id="rId1236" Type="http://schemas.openxmlformats.org/officeDocument/2006/relationships/hyperlink" Target="http://twitter.com/williamchavez/status/1113753339345477632" TargetMode="External"/><Relationship Id="rId1790" Type="http://schemas.openxmlformats.org/officeDocument/2006/relationships/hyperlink" Target="http://twitter.com/LerodrenirJane/status/1114982289644163072" TargetMode="External"/><Relationship Id="rId1888" Type="http://schemas.openxmlformats.org/officeDocument/2006/relationships/hyperlink" Target="http://twitter.com/porto0507/status/1115155777910657024" TargetMode="External"/><Relationship Id="rId82" Type="http://schemas.openxmlformats.org/officeDocument/2006/relationships/hyperlink" Target="http://twitter.com/Rom_mel2/status/1112699944052371456" TargetMode="External"/><Relationship Id="rId606" Type="http://schemas.openxmlformats.org/officeDocument/2006/relationships/hyperlink" Target="http://twitter.com/malita0550/status/1112861015040016384" TargetMode="External"/><Relationship Id="rId813" Type="http://schemas.openxmlformats.org/officeDocument/2006/relationships/hyperlink" Target="http://twitter.com/Fabiantc23/status/1112924642812063745" TargetMode="External"/><Relationship Id="rId1443" Type="http://schemas.openxmlformats.org/officeDocument/2006/relationships/hyperlink" Target="http://twitter.com/iamgaonaxlol/status/1114196157192974336" TargetMode="External"/><Relationship Id="rId1650" Type="http://schemas.openxmlformats.org/officeDocument/2006/relationships/hyperlink" Target="http://twitter.com/CiudaPachacutec/status/1114681021050556418" TargetMode="External"/><Relationship Id="rId1748" Type="http://schemas.openxmlformats.org/officeDocument/2006/relationships/hyperlink" Target="http://twitter.com/alexortiz1511/status/1114864909291085825" TargetMode="External"/><Relationship Id="rId1303" Type="http://schemas.openxmlformats.org/officeDocument/2006/relationships/hyperlink" Target="http://twitter.com/Lidia197760/status/1113912162437746705" TargetMode="External"/><Relationship Id="rId1510" Type="http://schemas.openxmlformats.org/officeDocument/2006/relationships/hyperlink" Target="http://twitter.com/Rolandoperezin1/status/1114348327288619010" TargetMode="External"/><Relationship Id="rId1955" Type="http://schemas.openxmlformats.org/officeDocument/2006/relationships/hyperlink" Target="http://twitter.com/LordJimjr/status/1115327370125352960" TargetMode="External"/><Relationship Id="rId1608" Type="http://schemas.openxmlformats.org/officeDocument/2006/relationships/hyperlink" Target="http://twitter.com/julyssaforever/status/1114589167126757376" TargetMode="External"/><Relationship Id="rId1815" Type="http://schemas.openxmlformats.org/officeDocument/2006/relationships/hyperlink" Target="http://twitter.com/simples_humanos/status/1115015993443717120" TargetMode="External"/><Relationship Id="rId189" Type="http://schemas.openxmlformats.org/officeDocument/2006/relationships/hyperlink" Target="http://twitter.com/rubenlima2017/status/1112734498549043201" TargetMode="External"/><Relationship Id="rId396" Type="http://schemas.openxmlformats.org/officeDocument/2006/relationships/hyperlink" Target="http://twitter.com/tecminera/status/1112791774613864455" TargetMode="External"/><Relationship Id="rId256" Type="http://schemas.openxmlformats.org/officeDocument/2006/relationships/hyperlink" Target="http://twitter.com/peru21noticias/status/1112754519165804544" TargetMode="External"/><Relationship Id="rId463" Type="http://schemas.openxmlformats.org/officeDocument/2006/relationships/hyperlink" Target="http://twitter.com/Juliana62077034/status/1112814809752522753" TargetMode="External"/><Relationship Id="rId670" Type="http://schemas.openxmlformats.org/officeDocument/2006/relationships/hyperlink" Target="http://twitter.com/EduJeduardo/status/1112882872195612674" TargetMode="External"/><Relationship Id="rId1093" Type="http://schemas.openxmlformats.org/officeDocument/2006/relationships/hyperlink" Target="http://twitter.com/Plinio2009/status/1113428574076395520" TargetMode="External"/><Relationship Id="rId116" Type="http://schemas.openxmlformats.org/officeDocument/2006/relationships/hyperlink" Target="http://twitter.com/JudyRo94/status/1112712088953196546" TargetMode="External"/><Relationship Id="rId323" Type="http://schemas.openxmlformats.org/officeDocument/2006/relationships/hyperlink" Target="http://twitter.com/LiliaMati/status/1112775212611899392" TargetMode="External"/><Relationship Id="rId530" Type="http://schemas.openxmlformats.org/officeDocument/2006/relationships/hyperlink" Target="http://twitter.com/percenteno/status/1112838441270738944" TargetMode="External"/><Relationship Id="rId768" Type="http://schemas.openxmlformats.org/officeDocument/2006/relationships/hyperlink" Target="http://twitter.com/CrisisHasArisen/status/1112911597004046337" TargetMode="External"/><Relationship Id="rId975" Type="http://schemas.openxmlformats.org/officeDocument/2006/relationships/hyperlink" Target="http://twitter.com/peruconsume/status/1113157914343034880" TargetMode="External"/><Relationship Id="rId1160" Type="http://schemas.openxmlformats.org/officeDocument/2006/relationships/hyperlink" Target="http://twitter.com/EduardoSalaza48/status/1113611544036892672" TargetMode="External"/><Relationship Id="rId1398" Type="http://schemas.openxmlformats.org/officeDocument/2006/relationships/hyperlink" Target="http://twitter.com/carmendeate1/status/1114098457294385152" TargetMode="External"/><Relationship Id="rId628" Type="http://schemas.openxmlformats.org/officeDocument/2006/relationships/hyperlink" Target="http://twitter.com/uvk_jg/status/1112869381107826689" TargetMode="External"/><Relationship Id="rId835" Type="http://schemas.openxmlformats.org/officeDocument/2006/relationships/hyperlink" Target="http://twitter.com/reyconbarba/status/1112928759617896448" TargetMode="External"/><Relationship Id="rId1258" Type="http://schemas.openxmlformats.org/officeDocument/2006/relationships/hyperlink" Target="http://twitter.com/Otoniel1109/status/1113822520816361477" TargetMode="External"/><Relationship Id="rId1465" Type="http://schemas.openxmlformats.org/officeDocument/2006/relationships/hyperlink" Target="http://twitter.com/macusani12345/status/1114253333110431745" TargetMode="External"/><Relationship Id="rId1672" Type="http://schemas.openxmlformats.org/officeDocument/2006/relationships/hyperlink" Target="http://twitter.com/waqrawiri7/status/1114714125714718720" TargetMode="External"/><Relationship Id="rId1020" Type="http://schemas.openxmlformats.org/officeDocument/2006/relationships/hyperlink" Target="http://twitter.com/luismanassevit1/status/1113276827794059264" TargetMode="External"/><Relationship Id="rId1118" Type="http://schemas.openxmlformats.org/officeDocument/2006/relationships/hyperlink" Target="http://twitter.com/Absoluta64/status/1113459812485009408" TargetMode="External"/><Relationship Id="rId1325" Type="http://schemas.openxmlformats.org/officeDocument/2006/relationships/hyperlink" Target="http://twitter.com/CheCarolo/status/1113971961531641856" TargetMode="External"/><Relationship Id="rId1532" Type="http://schemas.openxmlformats.org/officeDocument/2006/relationships/hyperlink" Target="http://twitter.com/garciasifuente1/status/1114397993187278848" TargetMode="External"/><Relationship Id="rId1977" Type="http://schemas.openxmlformats.org/officeDocument/2006/relationships/hyperlink" Target="http://twitter.com/GisellaSotelo/status/1115357694666264576" TargetMode="External"/><Relationship Id="rId902" Type="http://schemas.openxmlformats.org/officeDocument/2006/relationships/hyperlink" Target="http://twitter.com/mccc14pf/status/1112985969853128705" TargetMode="External"/><Relationship Id="rId1837" Type="http://schemas.openxmlformats.org/officeDocument/2006/relationships/hyperlink" Target="http://twitter.com/angelneyra2016/status/1115074056519323654" TargetMode="External"/><Relationship Id="rId31" Type="http://schemas.openxmlformats.org/officeDocument/2006/relationships/hyperlink" Target="http://twitter.com/pedrofrancke/status/1112682399467331584" TargetMode="External"/><Relationship Id="rId180" Type="http://schemas.openxmlformats.org/officeDocument/2006/relationships/hyperlink" Target="http://twitter.com/DemetrioEng/status/1112730965615562753" TargetMode="External"/><Relationship Id="rId278" Type="http://schemas.openxmlformats.org/officeDocument/2006/relationships/hyperlink" Target="http://twitter.com/homerorm7/status/1112760476570734593" TargetMode="External"/><Relationship Id="rId1904" Type="http://schemas.openxmlformats.org/officeDocument/2006/relationships/hyperlink" Target="http://twitter.com/Imaliyadw/status/1115197981710360576" TargetMode="External"/><Relationship Id="rId485" Type="http://schemas.openxmlformats.org/officeDocument/2006/relationships/hyperlink" Target="http://twitter.com/malcom_x1x/status/1112823846263050240" TargetMode="External"/><Relationship Id="rId692" Type="http://schemas.openxmlformats.org/officeDocument/2006/relationships/hyperlink" Target="http://twitter.com/jsaldanacuba/status/1112890353311469569" TargetMode="External"/><Relationship Id="rId138" Type="http://schemas.openxmlformats.org/officeDocument/2006/relationships/hyperlink" Target="http://twitter.com/Gonzavi/status/1112716807276761088" TargetMode="External"/><Relationship Id="rId345" Type="http://schemas.openxmlformats.org/officeDocument/2006/relationships/hyperlink" Target="http://twitter.com/nograbonilla/status/1112779444857573383" TargetMode="External"/><Relationship Id="rId552" Type="http://schemas.openxmlformats.org/officeDocument/2006/relationships/hyperlink" Target="http://twitter.com/leo_valra/status/1112848291056832512" TargetMode="External"/><Relationship Id="rId997" Type="http://schemas.openxmlformats.org/officeDocument/2006/relationships/hyperlink" Target="http://twitter.com/pieldeotonio/status/1113218132154433537" TargetMode="External"/><Relationship Id="rId1182" Type="http://schemas.openxmlformats.org/officeDocument/2006/relationships/hyperlink" Target="http://twitter.com/Leon_final1980/status/1113641194796527617" TargetMode="External"/><Relationship Id="rId205" Type="http://schemas.openxmlformats.org/officeDocument/2006/relationships/hyperlink" Target="http://twitter.com/elcomercio_peru/status/1112739223382179840" TargetMode="External"/><Relationship Id="rId412" Type="http://schemas.openxmlformats.org/officeDocument/2006/relationships/hyperlink" Target="http://twitter.com/trileniumsac/status/1112800356264804358" TargetMode="External"/><Relationship Id="rId857" Type="http://schemas.openxmlformats.org/officeDocument/2006/relationships/hyperlink" Target="http://twitter.com/Palomavc/status/1112935653032058880" TargetMode="External"/><Relationship Id="rId1042" Type="http://schemas.openxmlformats.org/officeDocument/2006/relationships/hyperlink" Target="http://twitter.com/Riikka_aa/status/1113305393135005696" TargetMode="External"/><Relationship Id="rId1487" Type="http://schemas.openxmlformats.org/officeDocument/2006/relationships/hyperlink" Target="http://twitter.com/Felipericarte18/status/1114314145195855873" TargetMode="External"/><Relationship Id="rId1694" Type="http://schemas.openxmlformats.org/officeDocument/2006/relationships/hyperlink" Target="http://twitter.com/nelly19070419/status/1114765585047609344" TargetMode="External"/><Relationship Id="rId717" Type="http://schemas.openxmlformats.org/officeDocument/2006/relationships/hyperlink" Target="http://twitter.com/RenranMza/status/1112896519970193408" TargetMode="External"/><Relationship Id="rId924" Type="http://schemas.openxmlformats.org/officeDocument/2006/relationships/hyperlink" Target="http://twitter.com/ReddyHuaman/status/1113067011620384769" TargetMode="External"/><Relationship Id="rId1347" Type="http://schemas.openxmlformats.org/officeDocument/2006/relationships/hyperlink" Target="http://twitter.com/01LoucaDePedra/status/1114000029600104448" TargetMode="External"/><Relationship Id="rId1554" Type="http://schemas.openxmlformats.org/officeDocument/2006/relationships/hyperlink" Target="http://twitter.com/palacixs_/status/1114437329580642304" TargetMode="External"/><Relationship Id="rId1761" Type="http://schemas.openxmlformats.org/officeDocument/2006/relationships/hyperlink" Target="http://twitter.com/ComoEnLaCombi/status/1114895192589520897" TargetMode="External"/><Relationship Id="rId1999" Type="http://schemas.openxmlformats.org/officeDocument/2006/relationships/hyperlink" Target="http://twitter.com/purocachitos/status/1115417467898167302" TargetMode="External"/><Relationship Id="rId53" Type="http://schemas.openxmlformats.org/officeDocument/2006/relationships/hyperlink" Target="http://twitter.com/gonzalonunez98/status/1112690362261344256" TargetMode="External"/><Relationship Id="rId1207" Type="http://schemas.openxmlformats.org/officeDocument/2006/relationships/hyperlink" Target="http://twitter.com/elialegre13/status/1113692319356600322" TargetMode="External"/><Relationship Id="rId1414" Type="http://schemas.openxmlformats.org/officeDocument/2006/relationships/hyperlink" Target="http://twitter.com/carlos1504511/status/1114138270387134464" TargetMode="External"/><Relationship Id="rId1621" Type="http://schemas.openxmlformats.org/officeDocument/2006/relationships/hyperlink" Target="http://twitter.com/LiberalNoProgre/status/1114621973664022532" TargetMode="External"/><Relationship Id="rId1859" Type="http://schemas.openxmlformats.org/officeDocument/2006/relationships/hyperlink" Target="http://twitter.com/Galieh_29/status/1115127047196532736" TargetMode="External"/><Relationship Id="rId1719" Type="http://schemas.openxmlformats.org/officeDocument/2006/relationships/hyperlink" Target="http://twitter.com/javierledesmare/status/1114829303433375745" TargetMode="External"/><Relationship Id="rId1926" Type="http://schemas.openxmlformats.org/officeDocument/2006/relationships/hyperlink" Target="http://twitter.com/arkadin1/status/1115267306525949952" TargetMode="External"/><Relationship Id="rId367" Type="http://schemas.openxmlformats.org/officeDocument/2006/relationships/hyperlink" Target="http://twitter.com/luisveratorres1/status/1112786012680437762" TargetMode="External"/><Relationship Id="rId574" Type="http://schemas.openxmlformats.org/officeDocument/2006/relationships/hyperlink" Target="http://twitter.com/Paramount_miss/status/1112851207608066048" TargetMode="External"/><Relationship Id="rId227" Type="http://schemas.openxmlformats.org/officeDocument/2006/relationships/hyperlink" Target="http://twitter.com/annseamaid/status/1112747212533043202" TargetMode="External"/><Relationship Id="rId781" Type="http://schemas.openxmlformats.org/officeDocument/2006/relationships/hyperlink" Target="http://twitter.com/LainezLozada22/status/1112913941506686978" TargetMode="External"/><Relationship Id="rId879" Type="http://schemas.openxmlformats.org/officeDocument/2006/relationships/hyperlink" Target="http://twitter.com/BettySchaper1/status/1112942915863621632" TargetMode="External"/><Relationship Id="rId434" Type="http://schemas.openxmlformats.org/officeDocument/2006/relationships/hyperlink" Target="http://twitter.com/lgutierreza2000/status/1112803935285383169" TargetMode="External"/><Relationship Id="rId641" Type="http://schemas.openxmlformats.org/officeDocument/2006/relationships/hyperlink" Target="http://twitter.com/ArturoReyes_C/status/1112874385793323009" TargetMode="External"/><Relationship Id="rId739" Type="http://schemas.openxmlformats.org/officeDocument/2006/relationships/hyperlink" Target="http://twitter.com/homerorm7/status/1112903612353732608" TargetMode="External"/><Relationship Id="rId1064" Type="http://schemas.openxmlformats.org/officeDocument/2006/relationships/hyperlink" Target="http://twitter.com/rondonaza/status/1113343602401345536" TargetMode="External"/><Relationship Id="rId1271" Type="http://schemas.openxmlformats.org/officeDocument/2006/relationships/hyperlink" Target="http://twitter.com/claudia_mho/status/1113850913494577152" TargetMode="External"/><Relationship Id="rId1369" Type="http://schemas.openxmlformats.org/officeDocument/2006/relationships/hyperlink" Target="http://twitter.com/MarioS759/status/1114039075965734913" TargetMode="External"/><Relationship Id="rId1576" Type="http://schemas.openxmlformats.org/officeDocument/2006/relationships/hyperlink" Target="http://twitter.com/juanapancha1/status/1114501652982190080" TargetMode="External"/><Relationship Id="rId501" Type="http://schemas.openxmlformats.org/officeDocument/2006/relationships/hyperlink" Target="http://twitter.com/Alicia94784200/status/1112830462966292482" TargetMode="External"/><Relationship Id="rId946" Type="http://schemas.openxmlformats.org/officeDocument/2006/relationships/hyperlink" Target="http://twitter.com/kamajara/status/1113096474886393856" TargetMode="External"/><Relationship Id="rId1131" Type="http://schemas.openxmlformats.org/officeDocument/2006/relationships/hyperlink" Target="http://twitter.com/jeonglamour/status/1113489836541919242" TargetMode="External"/><Relationship Id="rId1229" Type="http://schemas.openxmlformats.org/officeDocument/2006/relationships/hyperlink" Target="http://twitter.com/pepeponte88/status/1113747097457766400" TargetMode="External"/><Relationship Id="rId1783" Type="http://schemas.openxmlformats.org/officeDocument/2006/relationships/hyperlink" Target="http://twitter.com/danielfbv/status/1114953064790876160" TargetMode="External"/><Relationship Id="rId1990" Type="http://schemas.openxmlformats.org/officeDocument/2006/relationships/hyperlink" Target="http://twitter.com/rgalarreta/status/1115388193937948673" TargetMode="External"/><Relationship Id="rId75" Type="http://schemas.openxmlformats.org/officeDocument/2006/relationships/hyperlink" Target="http://twitter.com/ttovarsamanez/status/1112699272993169413" TargetMode="External"/><Relationship Id="rId806" Type="http://schemas.openxmlformats.org/officeDocument/2006/relationships/hyperlink" Target="http://twitter.com/alvarosarco/status/1112923031603740672" TargetMode="External"/><Relationship Id="rId1436" Type="http://schemas.openxmlformats.org/officeDocument/2006/relationships/hyperlink" Target="http://twitter.com/westieyyo/status/1114194015467995136" TargetMode="External"/><Relationship Id="rId1643" Type="http://schemas.openxmlformats.org/officeDocument/2006/relationships/hyperlink" Target="http://twitter.com/_enumerado/status/1114652847092764673" TargetMode="External"/><Relationship Id="rId1850" Type="http://schemas.openxmlformats.org/officeDocument/2006/relationships/hyperlink" Target="http://twitter.com/CATORRE66418246/status/1115098293711724551" TargetMode="External"/><Relationship Id="rId1503" Type="http://schemas.openxmlformats.org/officeDocument/2006/relationships/hyperlink" Target="http://twitter.com/medelin_torres/status/1114345786358341632" TargetMode="External"/><Relationship Id="rId1710" Type="http://schemas.openxmlformats.org/officeDocument/2006/relationships/hyperlink" Target="http://twitter.com/LadyGamer_of/status/1114799914347896832" TargetMode="External"/><Relationship Id="rId1948" Type="http://schemas.openxmlformats.org/officeDocument/2006/relationships/hyperlink" Target="http://twitter.com/Fabianasd/status/1115297194213629954" TargetMode="External"/><Relationship Id="rId291" Type="http://schemas.openxmlformats.org/officeDocument/2006/relationships/hyperlink" Target="http://twitter.com/galanes55/status/1112765261008900096" TargetMode="External"/><Relationship Id="rId1808" Type="http://schemas.openxmlformats.org/officeDocument/2006/relationships/hyperlink" Target="http://twitter.com/VictorP51418565/status/1115014662880407560" TargetMode="External"/><Relationship Id="rId151" Type="http://schemas.openxmlformats.org/officeDocument/2006/relationships/hyperlink" Target="http://twitter.com/iormachea/status/1112723124343181312" TargetMode="External"/><Relationship Id="rId389" Type="http://schemas.openxmlformats.org/officeDocument/2006/relationships/hyperlink" Target="http://twitter.com/PaulaPizan/status/1112790299909160960" TargetMode="External"/><Relationship Id="rId596" Type="http://schemas.openxmlformats.org/officeDocument/2006/relationships/hyperlink" Target="http://twitter.com/LUZXKAZ/status/1112859187091005441" TargetMode="External"/><Relationship Id="rId249" Type="http://schemas.openxmlformats.org/officeDocument/2006/relationships/hyperlink" Target="http://twitter.com/GuilleNolasco/status/1112753752933650433" TargetMode="External"/><Relationship Id="rId456" Type="http://schemas.openxmlformats.org/officeDocument/2006/relationships/hyperlink" Target="http://twitter.com/Jimmyortega1709/status/1112811421832708096" TargetMode="External"/><Relationship Id="rId663" Type="http://schemas.openxmlformats.org/officeDocument/2006/relationships/hyperlink" Target="http://twitter.com/0andressinha/status/1112881663074336769" TargetMode="External"/><Relationship Id="rId870" Type="http://schemas.openxmlformats.org/officeDocument/2006/relationships/hyperlink" Target="http://twitter.com/voletita/status/1112939720017956864" TargetMode="External"/><Relationship Id="rId1086" Type="http://schemas.openxmlformats.org/officeDocument/2006/relationships/hyperlink" Target="http://twitter.com/FuenTerera/status/1113386148376797184" TargetMode="External"/><Relationship Id="rId1293" Type="http://schemas.openxmlformats.org/officeDocument/2006/relationships/hyperlink" Target="http://twitter.com/itsambrown/status/1113911109986258950" TargetMode="External"/><Relationship Id="rId109" Type="http://schemas.openxmlformats.org/officeDocument/2006/relationships/hyperlink" Target="http://twitter.com/YanuaLiseth/status/1112707123589324800" TargetMode="External"/><Relationship Id="rId316" Type="http://schemas.openxmlformats.org/officeDocument/2006/relationships/hyperlink" Target="http://twitter.com/proactivoperu/status/1112769595235094529" TargetMode="External"/><Relationship Id="rId523" Type="http://schemas.openxmlformats.org/officeDocument/2006/relationships/hyperlink" Target="http://twitter.com/InfostellePeru/status/1112836387085148161" TargetMode="External"/><Relationship Id="rId968" Type="http://schemas.openxmlformats.org/officeDocument/2006/relationships/hyperlink" Target="http://twitter.com/ZumaetaOyarce/status/1113156632681308161" TargetMode="External"/><Relationship Id="rId1153" Type="http://schemas.openxmlformats.org/officeDocument/2006/relationships/hyperlink" Target="http://twitter.com/Urozas/status/1113580979577339906" TargetMode="External"/><Relationship Id="rId1598" Type="http://schemas.openxmlformats.org/officeDocument/2006/relationships/hyperlink" Target="http://twitter.com/Loirox25/status/1114562738519515136" TargetMode="External"/><Relationship Id="rId97" Type="http://schemas.openxmlformats.org/officeDocument/2006/relationships/hyperlink" Target="http://twitter.com/jofe189/status/1112703821736747009" TargetMode="External"/><Relationship Id="rId730" Type="http://schemas.openxmlformats.org/officeDocument/2006/relationships/hyperlink" Target="http://twitter.com/betovf40/status/1112901190986186752" TargetMode="External"/><Relationship Id="rId828" Type="http://schemas.openxmlformats.org/officeDocument/2006/relationships/hyperlink" Target="http://twitter.com/Gestionpe/status/1112927636068560897" TargetMode="External"/><Relationship Id="rId1013" Type="http://schemas.openxmlformats.org/officeDocument/2006/relationships/hyperlink" Target="http://twitter.com/victori39804465/status/1113247498393538562" TargetMode="External"/><Relationship Id="rId1360" Type="http://schemas.openxmlformats.org/officeDocument/2006/relationships/hyperlink" Target="http://twitter.com/el_observante_/status/1114031619671769088" TargetMode="External"/><Relationship Id="rId1458" Type="http://schemas.openxmlformats.org/officeDocument/2006/relationships/hyperlink" Target="http://twitter.com/Carol_silvaX/status/1114250917740675074" TargetMode="External"/><Relationship Id="rId1665" Type="http://schemas.openxmlformats.org/officeDocument/2006/relationships/hyperlink" Target="http://twitter.com/Oswaldo96150822/status/1114713661048856582" TargetMode="External"/><Relationship Id="rId1872" Type="http://schemas.openxmlformats.org/officeDocument/2006/relationships/hyperlink" Target="http://twitter.com/adjin_/status/1115136831635382274" TargetMode="External"/><Relationship Id="rId1220" Type="http://schemas.openxmlformats.org/officeDocument/2006/relationships/hyperlink" Target="http://twitter.com/24HorasTV/status/1113706625657987082" TargetMode="External"/><Relationship Id="rId1318" Type="http://schemas.openxmlformats.org/officeDocument/2006/relationships/hyperlink" Target="http://twitter.com/kamajara/status/1113970454925139968" TargetMode="External"/><Relationship Id="rId1525" Type="http://schemas.openxmlformats.org/officeDocument/2006/relationships/hyperlink" Target="http://twitter.com/Ricardogonsam/status/1114374360616378368" TargetMode="External"/><Relationship Id="rId1732" Type="http://schemas.openxmlformats.org/officeDocument/2006/relationships/hyperlink" Target="http://twitter.com/aleexitus/status/1114833349015556096" TargetMode="External"/><Relationship Id="rId24" Type="http://schemas.openxmlformats.org/officeDocument/2006/relationships/hyperlink" Target="http://twitter.com/TENERIFEFELIZ/status/1112681305303584768" TargetMode="External"/><Relationship Id="rId173" Type="http://schemas.openxmlformats.org/officeDocument/2006/relationships/hyperlink" Target="http://twitter.com/vanguardiaapra/status/1112730331344457728" TargetMode="External"/><Relationship Id="rId380" Type="http://schemas.openxmlformats.org/officeDocument/2006/relationships/hyperlink" Target="http://twitter.com/zemaribeiro/status/1112788436795224066" TargetMode="External"/><Relationship Id="rId240" Type="http://schemas.openxmlformats.org/officeDocument/2006/relationships/hyperlink" Target="http://twitter.com/StorinoAragon/status/1112750363084578816" TargetMode="External"/><Relationship Id="rId478" Type="http://schemas.openxmlformats.org/officeDocument/2006/relationships/hyperlink" Target="http://twitter.com/cisepa_pucp/status/1112822545852653570" TargetMode="External"/><Relationship Id="rId685" Type="http://schemas.openxmlformats.org/officeDocument/2006/relationships/hyperlink" Target="http://twitter.com/zicozocialvol2/status/1112887724070129665" TargetMode="External"/><Relationship Id="rId892" Type="http://schemas.openxmlformats.org/officeDocument/2006/relationships/hyperlink" Target="http://twitter.com/Giannipajuelo/status/1112969703180382209" TargetMode="External"/><Relationship Id="rId100" Type="http://schemas.openxmlformats.org/officeDocument/2006/relationships/hyperlink" Target="http://twitter.com/peru21noticias/status/1112704465575051265" TargetMode="External"/><Relationship Id="rId338" Type="http://schemas.openxmlformats.org/officeDocument/2006/relationships/hyperlink" Target="http://twitter.com/luroel/status/1112778878957830149" TargetMode="External"/><Relationship Id="rId545" Type="http://schemas.openxmlformats.org/officeDocument/2006/relationships/hyperlink" Target="http://twitter.com/luisfranco_2014/status/1112842919969521665" TargetMode="External"/><Relationship Id="rId752" Type="http://schemas.openxmlformats.org/officeDocument/2006/relationships/hyperlink" Target="http://twitter.com/VictorP51418565/status/1112905081542905856" TargetMode="External"/><Relationship Id="rId1175" Type="http://schemas.openxmlformats.org/officeDocument/2006/relationships/hyperlink" Target="http://twitter.com/LuisNue87974893/status/1113639657571594242" TargetMode="External"/><Relationship Id="rId1382" Type="http://schemas.openxmlformats.org/officeDocument/2006/relationships/hyperlink" Target="http://twitter.com/Tasacaro55Tapia/status/1114054564129517568" TargetMode="External"/><Relationship Id="rId405" Type="http://schemas.openxmlformats.org/officeDocument/2006/relationships/hyperlink" Target="http://twitter.com/carlossoria_p/status/1112798543394291717" TargetMode="External"/><Relationship Id="rId612" Type="http://schemas.openxmlformats.org/officeDocument/2006/relationships/hyperlink" Target="http://twitter.com/franlandauro1/status/1112864100034494464" TargetMode="External"/><Relationship Id="rId1035" Type="http://schemas.openxmlformats.org/officeDocument/2006/relationships/hyperlink" Target="http://twitter.com/arnoldferriv/status/1113302322896150528" TargetMode="External"/><Relationship Id="rId1242" Type="http://schemas.openxmlformats.org/officeDocument/2006/relationships/hyperlink" Target="http://twitter.com/EfrainArca/status/1113790469379633152" TargetMode="External"/><Relationship Id="rId1687" Type="http://schemas.openxmlformats.org/officeDocument/2006/relationships/hyperlink" Target="http://twitter.com/silviav69702394/status/1114743181529288707" TargetMode="External"/><Relationship Id="rId1894" Type="http://schemas.openxmlformats.org/officeDocument/2006/relationships/hyperlink" Target="http://twitter.com/yojose1981/status/1115163430552571904" TargetMode="External"/><Relationship Id="rId917" Type="http://schemas.openxmlformats.org/officeDocument/2006/relationships/hyperlink" Target="http://twitter.com/PercyParedes9/status/1113028568106270720" TargetMode="External"/><Relationship Id="rId1102" Type="http://schemas.openxmlformats.org/officeDocument/2006/relationships/hyperlink" Target="http://twitter.com/RaulQuintarueda/status/1113430704271036416" TargetMode="External"/><Relationship Id="rId1547" Type="http://schemas.openxmlformats.org/officeDocument/2006/relationships/hyperlink" Target="http://twitter.com/PabloCastroLima/status/1114431259453874177" TargetMode="External"/><Relationship Id="rId1754" Type="http://schemas.openxmlformats.org/officeDocument/2006/relationships/hyperlink" Target="http://twitter.com/quepasabil/status/1114894851177365505" TargetMode="External"/><Relationship Id="rId1961" Type="http://schemas.openxmlformats.org/officeDocument/2006/relationships/hyperlink" Target="http://twitter.com/geopoliting/status/1115327768215138304" TargetMode="External"/><Relationship Id="rId46" Type="http://schemas.openxmlformats.org/officeDocument/2006/relationships/hyperlink" Target="http://twitter.com/Robert_latino/status/1112689696059129856" TargetMode="External"/><Relationship Id="rId1407" Type="http://schemas.openxmlformats.org/officeDocument/2006/relationships/hyperlink" Target="http://twitter.com/peru21noticias/status/1114136664593580032" TargetMode="External"/><Relationship Id="rId1614" Type="http://schemas.openxmlformats.org/officeDocument/2006/relationships/hyperlink" Target="http://twitter.com/Albalopez6215/status/1114591206124728320" TargetMode="External"/><Relationship Id="rId1821" Type="http://schemas.openxmlformats.org/officeDocument/2006/relationships/hyperlink" Target="http://twitter.com/MiguelNique/status/1115042010904264705" TargetMode="External"/><Relationship Id="rId195" Type="http://schemas.openxmlformats.org/officeDocument/2006/relationships/hyperlink" Target="http://twitter.com/ferdezmen/status/1112734920928083968" TargetMode="External"/><Relationship Id="rId1919" Type="http://schemas.openxmlformats.org/officeDocument/2006/relationships/hyperlink" Target="http://twitter.com/JennyferGiselle/status/1115236303703089152" TargetMode="External"/><Relationship Id="rId262" Type="http://schemas.openxmlformats.org/officeDocument/2006/relationships/hyperlink" Target="http://twitter.com/Nicolas4h/status/1112755068221210626" TargetMode="External"/><Relationship Id="rId567" Type="http://schemas.openxmlformats.org/officeDocument/2006/relationships/hyperlink" Target="http://twitter.com/WalterWdbd/status/1112850691914170368" TargetMode="External"/><Relationship Id="rId1197" Type="http://schemas.openxmlformats.org/officeDocument/2006/relationships/hyperlink" Target="http://twitter.com/peru21noticias/status/1113682613036879872" TargetMode="External"/><Relationship Id="rId122" Type="http://schemas.openxmlformats.org/officeDocument/2006/relationships/hyperlink" Target="http://twitter.com/Paramount_miss/status/1112712539778048001" TargetMode="External"/><Relationship Id="rId774" Type="http://schemas.openxmlformats.org/officeDocument/2006/relationships/hyperlink" Target="http://twitter.com/Papi1949/status/1112912485609361408" TargetMode="External"/><Relationship Id="rId981" Type="http://schemas.openxmlformats.org/officeDocument/2006/relationships/hyperlink" Target="http://twitter.com/I_Karit0/status/1113186210569183232" TargetMode="External"/><Relationship Id="rId1057" Type="http://schemas.openxmlformats.org/officeDocument/2006/relationships/hyperlink" Target="http://twitter.com/tidd_83/status/1113328174811832320" TargetMode="External"/><Relationship Id="rId427" Type="http://schemas.openxmlformats.org/officeDocument/2006/relationships/hyperlink" Target="http://twitter.com/agenciacmalatam/status/1112803069543284737" TargetMode="External"/><Relationship Id="rId634" Type="http://schemas.openxmlformats.org/officeDocument/2006/relationships/hyperlink" Target="http://twitter.com/canalN_/status/1112873364824182784" TargetMode="External"/><Relationship Id="rId841" Type="http://schemas.openxmlformats.org/officeDocument/2006/relationships/hyperlink" Target="http://twitter.com/salfarorotondo/status/1112932412768436224" TargetMode="External"/><Relationship Id="rId1264" Type="http://schemas.openxmlformats.org/officeDocument/2006/relationships/hyperlink" Target="http://twitter.com/delro3000/status/1113823377804943360" TargetMode="External"/><Relationship Id="rId1471" Type="http://schemas.openxmlformats.org/officeDocument/2006/relationships/hyperlink" Target="http://twitter.com/mercedialo/status/1114255159868252162" TargetMode="External"/><Relationship Id="rId1569" Type="http://schemas.openxmlformats.org/officeDocument/2006/relationships/hyperlink" Target="http://twitter.com/mepabl0nas/status/1114500212402290689" TargetMode="External"/><Relationship Id="rId701" Type="http://schemas.openxmlformats.org/officeDocument/2006/relationships/hyperlink" Target="http://twitter.com/tequilasax/status/1112892255751335941" TargetMode="External"/><Relationship Id="rId939" Type="http://schemas.openxmlformats.org/officeDocument/2006/relationships/hyperlink" Target="http://twitter.com/nsoouza_/status/1113095307787730944" TargetMode="External"/><Relationship Id="rId1124" Type="http://schemas.openxmlformats.org/officeDocument/2006/relationships/hyperlink" Target="http://twitter.com/luiz7zz/status/1113488740108906498" TargetMode="External"/><Relationship Id="rId1331" Type="http://schemas.openxmlformats.org/officeDocument/2006/relationships/hyperlink" Target="http://twitter.com/BIrreplaceable/status/1113972771338555392" TargetMode="External"/><Relationship Id="rId1776" Type="http://schemas.openxmlformats.org/officeDocument/2006/relationships/hyperlink" Target="http://twitter.com/GaboooTM/status/1114924837082996739" TargetMode="External"/><Relationship Id="rId1983" Type="http://schemas.openxmlformats.org/officeDocument/2006/relationships/hyperlink" Target="http://twitter.com/LiberalNoProgre/status/1115387312156958721" TargetMode="External"/><Relationship Id="rId68" Type="http://schemas.openxmlformats.org/officeDocument/2006/relationships/hyperlink" Target="http://twitter.com/Gyf96Rony/status/1112694471467114497" TargetMode="External"/><Relationship Id="rId1429" Type="http://schemas.openxmlformats.org/officeDocument/2006/relationships/hyperlink" Target="http://twitter.com/santosgabi03/status/1114166685978828801" TargetMode="External"/><Relationship Id="rId1636" Type="http://schemas.openxmlformats.org/officeDocument/2006/relationships/hyperlink" Target="http://twitter.com/M_Viieiraa/status/1114652037302583296" TargetMode="External"/><Relationship Id="rId1843" Type="http://schemas.openxmlformats.org/officeDocument/2006/relationships/hyperlink" Target="http://twitter.com/sadorarere/status/1115075080667709441" TargetMode="External"/><Relationship Id="rId1703" Type="http://schemas.openxmlformats.org/officeDocument/2006/relationships/hyperlink" Target="http://twitter.com/malita0550/status/1114770610666844161" TargetMode="External"/><Relationship Id="rId1910" Type="http://schemas.openxmlformats.org/officeDocument/2006/relationships/hyperlink" Target="http://twitter.com/MedeaAbanto/status/1115199884414550016" TargetMode="External"/><Relationship Id="rId284" Type="http://schemas.openxmlformats.org/officeDocument/2006/relationships/hyperlink" Target="http://twitter.com/elmontonero_pe/status/1112761542905344002" TargetMode="External"/><Relationship Id="rId491" Type="http://schemas.openxmlformats.org/officeDocument/2006/relationships/hyperlink" Target="http://twitter.com/pezuni5256/status/1112828115380826112" TargetMode="External"/><Relationship Id="rId144" Type="http://schemas.openxmlformats.org/officeDocument/2006/relationships/hyperlink" Target="http://twitter.com/DavidPbPrz10/status/1112722238229274624" TargetMode="External"/><Relationship Id="rId589" Type="http://schemas.openxmlformats.org/officeDocument/2006/relationships/hyperlink" Target="http://twitter.com/HUGOCAM01369992/status/1112855486364303360" TargetMode="External"/><Relationship Id="rId796" Type="http://schemas.openxmlformats.org/officeDocument/2006/relationships/hyperlink" Target="http://twitter.com/s_cucho/status/1112919358697693185" TargetMode="External"/><Relationship Id="rId351" Type="http://schemas.openxmlformats.org/officeDocument/2006/relationships/hyperlink" Target="http://twitter.com/Loqueven/status/1112781386530869248" TargetMode="External"/><Relationship Id="rId449" Type="http://schemas.openxmlformats.org/officeDocument/2006/relationships/hyperlink" Target="http://twitter.com/Rom_mel2/status/1112809647105363970" TargetMode="External"/><Relationship Id="rId656" Type="http://schemas.openxmlformats.org/officeDocument/2006/relationships/hyperlink" Target="http://twitter.com/CarlosOrdonez11/status/1112878582483877888" TargetMode="External"/><Relationship Id="rId863" Type="http://schemas.openxmlformats.org/officeDocument/2006/relationships/hyperlink" Target="http://twitter.com/americatv_peru/status/1112936547081490432" TargetMode="External"/><Relationship Id="rId1079" Type="http://schemas.openxmlformats.org/officeDocument/2006/relationships/hyperlink" Target="http://twitter.com/verdadalmundo/status/1113380169140580352" TargetMode="External"/><Relationship Id="rId1286" Type="http://schemas.openxmlformats.org/officeDocument/2006/relationships/hyperlink" Target="http://twitter.com/JorgeLuisSedano/status/1113884374993461255" TargetMode="External"/><Relationship Id="rId1493" Type="http://schemas.openxmlformats.org/officeDocument/2006/relationships/hyperlink" Target="http://twitter.com/Rolandoperezin1/status/1114317893590814722" TargetMode="External"/><Relationship Id="rId211" Type="http://schemas.openxmlformats.org/officeDocument/2006/relationships/hyperlink" Target="http://twitter.com/FredyDeledesma/status/1112742024174809090" TargetMode="External"/><Relationship Id="rId309" Type="http://schemas.openxmlformats.org/officeDocument/2006/relationships/hyperlink" Target="http://twitter.com/GIGICABRERA31/status/1112768117640495104" TargetMode="External"/><Relationship Id="rId516" Type="http://schemas.openxmlformats.org/officeDocument/2006/relationships/hyperlink" Target="http://twitter.com/sonisope/status/1112835134980571137" TargetMode="External"/><Relationship Id="rId1146" Type="http://schemas.openxmlformats.org/officeDocument/2006/relationships/hyperlink" Target="http://twitter.com/ppmarino/status/1113580218084728833" TargetMode="External"/><Relationship Id="rId1798" Type="http://schemas.openxmlformats.org/officeDocument/2006/relationships/hyperlink" Target="http://twitter.com/hugonopo/status/1114983900172955648" TargetMode="External"/><Relationship Id="rId723" Type="http://schemas.openxmlformats.org/officeDocument/2006/relationships/hyperlink" Target="http://twitter.com/CCabra157/status/1112897766404079616" TargetMode="External"/><Relationship Id="rId930" Type="http://schemas.openxmlformats.org/officeDocument/2006/relationships/hyperlink" Target="http://twitter.com/Jorgedelama/status/1113067735867518979" TargetMode="External"/><Relationship Id="rId1006" Type="http://schemas.openxmlformats.org/officeDocument/2006/relationships/hyperlink" Target="http://twitter.com/NarcizoMirna/status/1113246702713090048" TargetMode="External"/><Relationship Id="rId1353" Type="http://schemas.openxmlformats.org/officeDocument/2006/relationships/hyperlink" Target="http://twitter.com/Mikelakest/status/1114027946174500864" TargetMode="External"/><Relationship Id="rId1560" Type="http://schemas.openxmlformats.org/officeDocument/2006/relationships/hyperlink" Target="http://twitter.com/_judcc/status/1114470916275281921" TargetMode="External"/><Relationship Id="rId1658" Type="http://schemas.openxmlformats.org/officeDocument/2006/relationships/hyperlink" Target="http://twitter.com/conf_episcopal/status/1114682735434637312" TargetMode="External"/><Relationship Id="rId1865" Type="http://schemas.openxmlformats.org/officeDocument/2006/relationships/hyperlink" Target="http://twitter.com/CACPRODUCCIONES/status/1115130366509981696" TargetMode="External"/><Relationship Id="rId1213" Type="http://schemas.openxmlformats.org/officeDocument/2006/relationships/hyperlink" Target="http://twitter.com/PubliMBI/status/1113703138530353152" TargetMode="External"/><Relationship Id="rId1420" Type="http://schemas.openxmlformats.org/officeDocument/2006/relationships/hyperlink" Target="http://twitter.com/Perseveranciami/status/1114165697976913922" TargetMode="External"/><Relationship Id="rId1518" Type="http://schemas.openxmlformats.org/officeDocument/2006/relationships/hyperlink" Target="http://twitter.com/salvaradosan/status/1114372185152544768" TargetMode="External"/><Relationship Id="rId1725" Type="http://schemas.openxmlformats.org/officeDocument/2006/relationships/hyperlink" Target="http://twitter.com/Naethda/status/1114831096716365825" TargetMode="External"/><Relationship Id="rId1932" Type="http://schemas.openxmlformats.org/officeDocument/2006/relationships/hyperlink" Target="http://twitter.com/Politico_pe/status/1115268060099690497" TargetMode="External"/><Relationship Id="rId17" Type="http://schemas.openxmlformats.org/officeDocument/2006/relationships/hyperlink" Target="http://twitter.com/ShucuyJb/status/1112679981585448962" TargetMode="External"/><Relationship Id="rId166" Type="http://schemas.openxmlformats.org/officeDocument/2006/relationships/hyperlink" Target="http://twitter.com/soniapovis/status/1112727011032788992" TargetMode="External"/><Relationship Id="rId373" Type="http://schemas.openxmlformats.org/officeDocument/2006/relationships/hyperlink" Target="http://twitter.com/ricartealmeida/status/1112787054813962247" TargetMode="External"/><Relationship Id="rId580" Type="http://schemas.openxmlformats.org/officeDocument/2006/relationships/hyperlink" Target="http://twitter.com/Galo45751869/status/1112852452921966593" TargetMode="External"/><Relationship Id="rId1" Type="http://schemas.openxmlformats.org/officeDocument/2006/relationships/hyperlink" Target="http://twitter.com/MaquinasEmpac/status/1112676535083778048" TargetMode="External"/><Relationship Id="rId233" Type="http://schemas.openxmlformats.org/officeDocument/2006/relationships/hyperlink" Target="http://twitter.com/amesacha/status/1112747578653847552" TargetMode="External"/><Relationship Id="rId440" Type="http://schemas.openxmlformats.org/officeDocument/2006/relationships/hyperlink" Target="http://twitter.com/kathyzegarra/status/1112806066964893696" TargetMode="External"/><Relationship Id="rId678" Type="http://schemas.openxmlformats.org/officeDocument/2006/relationships/hyperlink" Target="http://twitter.com/the_lips/status/1112887339213357057" TargetMode="External"/><Relationship Id="rId885" Type="http://schemas.openxmlformats.org/officeDocument/2006/relationships/hyperlink" Target="http://twitter.com/driftermarie/status/1112965047310041091" TargetMode="External"/><Relationship Id="rId1070" Type="http://schemas.openxmlformats.org/officeDocument/2006/relationships/hyperlink" Target="http://twitter.com/2730Mera/status/1113347090661498880" TargetMode="External"/><Relationship Id="rId300" Type="http://schemas.openxmlformats.org/officeDocument/2006/relationships/hyperlink" Target="http://twitter.com/aaronsalomong/status/1112765670163468295" TargetMode="External"/><Relationship Id="rId538" Type="http://schemas.openxmlformats.org/officeDocument/2006/relationships/hyperlink" Target="http://twitter.com/Jaime211264/status/1112840345677692929" TargetMode="External"/><Relationship Id="rId745" Type="http://schemas.openxmlformats.org/officeDocument/2006/relationships/hyperlink" Target="http://twitter.com/veritatisperu/status/1112904052491337729" TargetMode="External"/><Relationship Id="rId952" Type="http://schemas.openxmlformats.org/officeDocument/2006/relationships/hyperlink" Target="http://twitter.com/cohe_sonia/status/1113126294101913600" TargetMode="External"/><Relationship Id="rId1168" Type="http://schemas.openxmlformats.org/officeDocument/2006/relationships/hyperlink" Target="http://twitter.com/cesarvillarm/status/1113612592268836864" TargetMode="External"/><Relationship Id="rId1375" Type="http://schemas.openxmlformats.org/officeDocument/2006/relationships/hyperlink" Target="http://twitter.com/AliGar1995/status/1114048669198766080" TargetMode="External"/><Relationship Id="rId1582" Type="http://schemas.openxmlformats.org/officeDocument/2006/relationships/hyperlink" Target="http://twitter.com/Azhura__/status/1114532330511712257" TargetMode="External"/><Relationship Id="rId81" Type="http://schemas.openxmlformats.org/officeDocument/2006/relationships/hyperlink" Target="http://twitter.com/MiKu_CL_15/status/1112699940927692800" TargetMode="External"/><Relationship Id="rId605" Type="http://schemas.openxmlformats.org/officeDocument/2006/relationships/hyperlink" Target="http://twitter.com/VerdadDigitalsv/status/1112860960224624641" TargetMode="External"/><Relationship Id="rId812" Type="http://schemas.openxmlformats.org/officeDocument/2006/relationships/hyperlink" Target="http://twitter.com/Jof_chavez/status/1112924599384248322" TargetMode="External"/><Relationship Id="rId1028" Type="http://schemas.openxmlformats.org/officeDocument/2006/relationships/hyperlink" Target="http://twitter.com/Robmelen/status/1113277614028988417" TargetMode="External"/><Relationship Id="rId1235" Type="http://schemas.openxmlformats.org/officeDocument/2006/relationships/hyperlink" Target="http://twitter.com/riilara/status/1113751391196131328" TargetMode="External"/><Relationship Id="rId1442" Type="http://schemas.openxmlformats.org/officeDocument/2006/relationships/hyperlink" Target="http://twitter.com/Paulinopilco/status/1114195971280375809" TargetMode="External"/><Relationship Id="rId1887" Type="http://schemas.openxmlformats.org/officeDocument/2006/relationships/hyperlink" Target="http://twitter.com/eriicEA/status/1115155692875390976" TargetMode="External"/><Relationship Id="rId1302" Type="http://schemas.openxmlformats.org/officeDocument/2006/relationships/hyperlink" Target="http://twitter.com/aeropuerto_/status/1113912074831388672" TargetMode="External"/><Relationship Id="rId1747" Type="http://schemas.openxmlformats.org/officeDocument/2006/relationships/hyperlink" Target="http://twitter.com/Nayarabora1/status/1114864850881138694" TargetMode="External"/><Relationship Id="rId1954" Type="http://schemas.openxmlformats.org/officeDocument/2006/relationships/hyperlink" Target="http://twitter.com/pablicoso/status/1115327209160552448" TargetMode="External"/><Relationship Id="rId39" Type="http://schemas.openxmlformats.org/officeDocument/2006/relationships/hyperlink" Target="http://twitter.com/Frospigliosi/status/1112685477365252096" TargetMode="External"/><Relationship Id="rId1607" Type="http://schemas.openxmlformats.org/officeDocument/2006/relationships/hyperlink" Target="http://twitter.com/Consy2017/status/1114563137620140033" TargetMode="External"/><Relationship Id="rId1814" Type="http://schemas.openxmlformats.org/officeDocument/2006/relationships/hyperlink" Target="http://twitter.com/william759/status/1115015857611124736" TargetMode="External"/><Relationship Id="rId188" Type="http://schemas.openxmlformats.org/officeDocument/2006/relationships/hyperlink" Target="http://twitter.com/rubenlima2017/status/1112734480370941952" TargetMode="External"/><Relationship Id="rId395" Type="http://schemas.openxmlformats.org/officeDocument/2006/relationships/hyperlink" Target="http://twitter.com/ManuelhuntersS/status/1112791617583374336" TargetMode="External"/><Relationship Id="rId255" Type="http://schemas.openxmlformats.org/officeDocument/2006/relationships/hyperlink" Target="http://twitter.com/Enrique_aqp/status/1112754365834674177" TargetMode="External"/><Relationship Id="rId462" Type="http://schemas.openxmlformats.org/officeDocument/2006/relationships/hyperlink" Target="http://twitter.com/medialunaazul/status/1112814356171980801" TargetMode="External"/><Relationship Id="rId1092" Type="http://schemas.openxmlformats.org/officeDocument/2006/relationships/hyperlink" Target="http://twitter.com/geopoliting/status/1113428251320492032" TargetMode="External"/><Relationship Id="rId1397" Type="http://schemas.openxmlformats.org/officeDocument/2006/relationships/hyperlink" Target="http://twitter.com/AtticusMontag/status/1114096863072985088" TargetMode="External"/><Relationship Id="rId115" Type="http://schemas.openxmlformats.org/officeDocument/2006/relationships/hyperlink" Target="http://twitter.com/augustoreyh/status/1112707966921261056" TargetMode="External"/><Relationship Id="rId322" Type="http://schemas.openxmlformats.org/officeDocument/2006/relationships/hyperlink" Target="http://twitter.com/miracomome/status/1112775186955362304" TargetMode="External"/><Relationship Id="rId767" Type="http://schemas.openxmlformats.org/officeDocument/2006/relationships/hyperlink" Target="http://twitter.com/mercedialo/status/1112910332782051328" TargetMode="External"/><Relationship Id="rId974" Type="http://schemas.openxmlformats.org/officeDocument/2006/relationships/hyperlink" Target="http://twitter.com/RoselySevilla/status/1113157313484009479" TargetMode="External"/><Relationship Id="rId627" Type="http://schemas.openxmlformats.org/officeDocument/2006/relationships/hyperlink" Target="http://twitter.com/Helios3880/status/1112869158398672897" TargetMode="External"/><Relationship Id="rId834" Type="http://schemas.openxmlformats.org/officeDocument/2006/relationships/hyperlink" Target="http://twitter.com/Grellaud/status/1112928293563531264" TargetMode="External"/><Relationship Id="rId1257" Type="http://schemas.openxmlformats.org/officeDocument/2006/relationships/hyperlink" Target="http://twitter.com/PoliciaPeru/status/1113822507264557057" TargetMode="External"/><Relationship Id="rId1464" Type="http://schemas.openxmlformats.org/officeDocument/2006/relationships/hyperlink" Target="http://twitter.com/juanaguardia3/status/1114253199240830977" TargetMode="External"/><Relationship Id="rId1671" Type="http://schemas.openxmlformats.org/officeDocument/2006/relationships/hyperlink" Target="http://twitter.com/wizagp/status/1114714095289135107" TargetMode="External"/><Relationship Id="rId901" Type="http://schemas.openxmlformats.org/officeDocument/2006/relationships/hyperlink" Target="http://twitter.com/juliorlandoT/status/1112984841807638528" TargetMode="External"/><Relationship Id="rId1117" Type="http://schemas.openxmlformats.org/officeDocument/2006/relationships/hyperlink" Target="http://twitter.com/CuscoEnPortada/status/1113459794818400258" TargetMode="External"/><Relationship Id="rId1324" Type="http://schemas.openxmlformats.org/officeDocument/2006/relationships/hyperlink" Target="http://twitter.com/Carrio8/status/1113971932381290496" TargetMode="External"/><Relationship Id="rId1531" Type="http://schemas.openxmlformats.org/officeDocument/2006/relationships/hyperlink" Target="http://twitter.com/chanheegirI/status/1114397185934753793" TargetMode="External"/><Relationship Id="rId1769" Type="http://schemas.openxmlformats.org/officeDocument/2006/relationships/hyperlink" Target="http://twitter.com/itszaynx/status/1114923985056227328" TargetMode="External"/><Relationship Id="rId1976" Type="http://schemas.openxmlformats.org/officeDocument/2006/relationships/hyperlink" Target="http://twitter.com/MarinaFrancos1/status/1115356953394515968" TargetMode="External"/><Relationship Id="rId30" Type="http://schemas.openxmlformats.org/officeDocument/2006/relationships/hyperlink" Target="http://twitter.com/JuanCar49682973/status/1112682047183691777" TargetMode="External"/><Relationship Id="rId1629" Type="http://schemas.openxmlformats.org/officeDocument/2006/relationships/hyperlink" Target="http://twitter.com/PulpinPolitico/status/1114622822003798016" TargetMode="External"/><Relationship Id="rId1836" Type="http://schemas.openxmlformats.org/officeDocument/2006/relationships/hyperlink" Target="http://twitter.com/heisenmuark/status/1115073976974422016" TargetMode="External"/><Relationship Id="rId1903" Type="http://schemas.openxmlformats.org/officeDocument/2006/relationships/hyperlink" Target="http://twitter.com/larsainz/status/1115197950752370688" TargetMode="External"/><Relationship Id="rId277" Type="http://schemas.openxmlformats.org/officeDocument/2006/relationships/hyperlink" Target="http://twitter.com/Rramosb1/status/1112760326980857862" TargetMode="External"/><Relationship Id="rId484" Type="http://schemas.openxmlformats.org/officeDocument/2006/relationships/hyperlink" Target="http://twitter.com/prosperayamada/status/1112823789346308097" TargetMode="External"/><Relationship Id="rId137" Type="http://schemas.openxmlformats.org/officeDocument/2006/relationships/hyperlink" Target="http://twitter.com/Wilfred53403757/status/1112716798913404928" TargetMode="External"/><Relationship Id="rId344" Type="http://schemas.openxmlformats.org/officeDocument/2006/relationships/hyperlink" Target="http://twitter.com/rlopezaliaga1/status/1112779295913644032" TargetMode="External"/><Relationship Id="rId691" Type="http://schemas.openxmlformats.org/officeDocument/2006/relationships/hyperlink" Target="http://twitter.com/cristian_reda/status/1112890288744353793" TargetMode="External"/><Relationship Id="rId789" Type="http://schemas.openxmlformats.org/officeDocument/2006/relationships/hyperlink" Target="http://twitter.com/MagdaWong/status/1112917672734416896" TargetMode="External"/><Relationship Id="rId996" Type="http://schemas.openxmlformats.org/officeDocument/2006/relationships/hyperlink" Target="http://twitter.com/proactivoperu/status/1113218084943421448" TargetMode="External"/><Relationship Id="rId551" Type="http://schemas.openxmlformats.org/officeDocument/2006/relationships/hyperlink" Target="http://twitter.com/Paramount_miss/status/1112844390500876290" TargetMode="External"/><Relationship Id="rId649" Type="http://schemas.openxmlformats.org/officeDocument/2006/relationships/hyperlink" Target="http://twitter.com/karina37836221/status/1112877860509966337" TargetMode="External"/><Relationship Id="rId856" Type="http://schemas.openxmlformats.org/officeDocument/2006/relationships/hyperlink" Target="http://twitter.com/ucinoticias_pe/status/1112935312504905731" TargetMode="External"/><Relationship Id="rId1181" Type="http://schemas.openxmlformats.org/officeDocument/2006/relationships/hyperlink" Target="http://twitter.com/CsargutiCesar/status/1113641170423418880" TargetMode="External"/><Relationship Id="rId1279" Type="http://schemas.openxmlformats.org/officeDocument/2006/relationships/hyperlink" Target="http://twitter.com/mariiadepaaz/status/1113883051237543936" TargetMode="External"/><Relationship Id="rId1486" Type="http://schemas.openxmlformats.org/officeDocument/2006/relationships/hyperlink" Target="http://twitter.com/larepublica_pe/status/1114314074920296449" TargetMode="External"/><Relationship Id="rId204" Type="http://schemas.openxmlformats.org/officeDocument/2006/relationships/hyperlink" Target="http://twitter.com/Enrique_aqp/status/1112739213747937281" TargetMode="External"/><Relationship Id="rId411" Type="http://schemas.openxmlformats.org/officeDocument/2006/relationships/hyperlink" Target="http://twitter.com/Maynor_lopez_t/status/1112800133740101632" TargetMode="External"/><Relationship Id="rId509" Type="http://schemas.openxmlformats.org/officeDocument/2006/relationships/hyperlink" Target="http://twitter.com/berafaelalvarez/status/1112831210177347585" TargetMode="External"/><Relationship Id="rId1041" Type="http://schemas.openxmlformats.org/officeDocument/2006/relationships/hyperlink" Target="http://twitter.com/Gatitadelsur/status/1113304897733169154" TargetMode="External"/><Relationship Id="rId1139" Type="http://schemas.openxmlformats.org/officeDocument/2006/relationships/hyperlink" Target="http://twitter.com/ClauLiberat/status/1113518976095739904" TargetMode="External"/><Relationship Id="rId1346" Type="http://schemas.openxmlformats.org/officeDocument/2006/relationships/hyperlink" Target="http://twitter.com/SofiaSofiah4/status/1113999998461599748" TargetMode="External"/><Relationship Id="rId1693" Type="http://schemas.openxmlformats.org/officeDocument/2006/relationships/hyperlink" Target="http://twitter.com/silviahupiu/status/1114764899274641408" TargetMode="External"/><Relationship Id="rId1998" Type="http://schemas.openxmlformats.org/officeDocument/2006/relationships/hyperlink" Target="http://twitter.com/zmluchoa/status/1115417465423630337" TargetMode="External"/><Relationship Id="rId716" Type="http://schemas.openxmlformats.org/officeDocument/2006/relationships/hyperlink" Target="http://twitter.com/PaulaPizan/status/1112896325476118528" TargetMode="External"/><Relationship Id="rId923" Type="http://schemas.openxmlformats.org/officeDocument/2006/relationships/hyperlink" Target="http://twitter.com/lansaxana_/status/1113030181403459585" TargetMode="External"/><Relationship Id="rId1553" Type="http://schemas.openxmlformats.org/officeDocument/2006/relationships/hyperlink" Target="http://twitter.com/martamm08/status/1114435972945588224" TargetMode="External"/><Relationship Id="rId1760" Type="http://schemas.openxmlformats.org/officeDocument/2006/relationships/hyperlink" Target="http://twitter.com/laurimm05/status/1114895134695591937" TargetMode="External"/><Relationship Id="rId1858" Type="http://schemas.openxmlformats.org/officeDocument/2006/relationships/hyperlink" Target="http://twitter.com/Consy2017/status/1115126941097574402" TargetMode="External"/><Relationship Id="rId52" Type="http://schemas.openxmlformats.org/officeDocument/2006/relationships/hyperlink" Target="http://twitter.com/ucinoticias_pe/status/1112690230132461568" TargetMode="External"/><Relationship Id="rId1206" Type="http://schemas.openxmlformats.org/officeDocument/2006/relationships/hyperlink" Target="http://twitter.com/MiguelM45020717/status/1113690694642696192" TargetMode="External"/><Relationship Id="rId1413" Type="http://schemas.openxmlformats.org/officeDocument/2006/relationships/hyperlink" Target="http://twitter.com/Az_Dantesca/status/1114138141533908998" TargetMode="External"/><Relationship Id="rId1620" Type="http://schemas.openxmlformats.org/officeDocument/2006/relationships/hyperlink" Target="http://twitter.com/SariSant03/status/1114592073280311296" TargetMode="External"/><Relationship Id="rId1718" Type="http://schemas.openxmlformats.org/officeDocument/2006/relationships/hyperlink" Target="http://twitter.com/elmundodechris/status/1114802467131330560" TargetMode="External"/><Relationship Id="rId1925" Type="http://schemas.openxmlformats.org/officeDocument/2006/relationships/hyperlink" Target="http://twitter.com/lh99197572/status/1115267153236721664" TargetMode="External"/><Relationship Id="rId299" Type="http://schemas.openxmlformats.org/officeDocument/2006/relationships/hyperlink" Target="http://twitter.com/RipoRicardo/status/1112765656464871424" TargetMode="External"/><Relationship Id="rId159" Type="http://schemas.openxmlformats.org/officeDocument/2006/relationships/hyperlink" Target="http://twitter.com/kassey21/status/1112725854411472896" TargetMode="External"/><Relationship Id="rId366" Type="http://schemas.openxmlformats.org/officeDocument/2006/relationships/hyperlink" Target="http://twitter.com/brendast2/status/1112785861161246721" TargetMode="External"/><Relationship Id="rId573" Type="http://schemas.openxmlformats.org/officeDocument/2006/relationships/hyperlink" Target="http://twitter.com/pattyjcordova/status/1112851139987496961" TargetMode="External"/><Relationship Id="rId780" Type="http://schemas.openxmlformats.org/officeDocument/2006/relationships/hyperlink" Target="http://twitter.com/ROGERSWUUU/status/1112913905871933440" TargetMode="External"/><Relationship Id="rId226" Type="http://schemas.openxmlformats.org/officeDocument/2006/relationships/hyperlink" Target="http://twitter.com/Dantuzum/status/1112747116143828993" TargetMode="External"/><Relationship Id="rId433" Type="http://schemas.openxmlformats.org/officeDocument/2006/relationships/hyperlink" Target="http://twitter.com/fernando_roman1/status/1112803925130870791" TargetMode="External"/><Relationship Id="rId878" Type="http://schemas.openxmlformats.org/officeDocument/2006/relationships/hyperlink" Target="http://twitter.com/PasquinDeM/status/1112942751358824449" TargetMode="External"/><Relationship Id="rId1063" Type="http://schemas.openxmlformats.org/officeDocument/2006/relationships/hyperlink" Target="http://twitter.com/bobbyoflondon/status/1113341531610656768" TargetMode="External"/><Relationship Id="rId1270" Type="http://schemas.openxmlformats.org/officeDocument/2006/relationships/hyperlink" Target="http://twitter.com/CalderonPasache/status/1113850904271302662" TargetMode="External"/><Relationship Id="rId640" Type="http://schemas.openxmlformats.org/officeDocument/2006/relationships/hyperlink" Target="http://twitter.com/RalfHuertas/status/1112874189877362690" TargetMode="External"/><Relationship Id="rId738" Type="http://schemas.openxmlformats.org/officeDocument/2006/relationships/hyperlink" Target="http://twitter.com/ROLANDO251064/status/1112903601268187136" TargetMode="External"/><Relationship Id="rId945" Type="http://schemas.openxmlformats.org/officeDocument/2006/relationships/hyperlink" Target="http://twitter.com/LIMAENESCENA10/status/1113096349657059330" TargetMode="External"/><Relationship Id="rId1368" Type="http://schemas.openxmlformats.org/officeDocument/2006/relationships/hyperlink" Target="http://twitter.com/PERUANOS21/status/1114037694089367553" TargetMode="External"/><Relationship Id="rId1575" Type="http://schemas.openxmlformats.org/officeDocument/2006/relationships/hyperlink" Target="http://twitter.com/xafu/status/1114501451433353216" TargetMode="External"/><Relationship Id="rId1782" Type="http://schemas.openxmlformats.org/officeDocument/2006/relationships/hyperlink" Target="http://twitter.com/malita0550/status/1114952874566606853" TargetMode="External"/><Relationship Id="rId74" Type="http://schemas.openxmlformats.org/officeDocument/2006/relationships/hyperlink" Target="http://twitter.com/minero_peru/status/1112699233289859072" TargetMode="External"/><Relationship Id="rId500" Type="http://schemas.openxmlformats.org/officeDocument/2006/relationships/hyperlink" Target="http://twitter.com/Elisa11E/status/1112828984499171329" TargetMode="External"/><Relationship Id="rId805" Type="http://schemas.openxmlformats.org/officeDocument/2006/relationships/hyperlink" Target="http://twitter.com/jerryconhax/status/1112922656351948800" TargetMode="External"/><Relationship Id="rId1130" Type="http://schemas.openxmlformats.org/officeDocument/2006/relationships/hyperlink" Target="http://twitter.com/proactivoperu/status/1113489746737504257" TargetMode="External"/><Relationship Id="rId1228" Type="http://schemas.openxmlformats.org/officeDocument/2006/relationships/hyperlink" Target="http://twitter.com/racsoprimero/status/1113746864011083778" TargetMode="External"/><Relationship Id="rId1435" Type="http://schemas.openxmlformats.org/officeDocument/2006/relationships/hyperlink" Target="http://twitter.com/CibernautasFP/status/1114193816536350720" TargetMode="External"/><Relationship Id="rId1642" Type="http://schemas.openxmlformats.org/officeDocument/2006/relationships/hyperlink" Target="http://twitter.com/anyce18/status/1114652604254969856" TargetMode="External"/><Relationship Id="rId1947" Type="http://schemas.openxmlformats.org/officeDocument/2006/relationships/hyperlink" Target="http://twitter.com/germanvivarm1/status/1115297088898772997" TargetMode="External"/><Relationship Id="rId1502" Type="http://schemas.openxmlformats.org/officeDocument/2006/relationships/hyperlink" Target="http://twitter.com/jorgeaa1353/status/1114345464395173888" TargetMode="External"/><Relationship Id="rId1807" Type="http://schemas.openxmlformats.org/officeDocument/2006/relationships/hyperlink" Target="http://twitter.com/Asuzena13/status/1115014566394703872" TargetMode="External"/><Relationship Id="rId290" Type="http://schemas.openxmlformats.org/officeDocument/2006/relationships/hyperlink" Target="http://twitter.com/noticiAmerica/status/1112762890271027200" TargetMode="External"/><Relationship Id="rId388" Type="http://schemas.openxmlformats.org/officeDocument/2006/relationships/hyperlink" Target="http://twitter.com/CarolHidalgoRu2/status/1112789467297931270" TargetMode="External"/><Relationship Id="rId150" Type="http://schemas.openxmlformats.org/officeDocument/2006/relationships/hyperlink" Target="http://twitter.com/willmercastillo/status/1112722858202013697" TargetMode="External"/><Relationship Id="rId595" Type="http://schemas.openxmlformats.org/officeDocument/2006/relationships/hyperlink" Target="http://twitter.com/parwasisa/status/1112859163925909504" TargetMode="External"/><Relationship Id="rId248" Type="http://schemas.openxmlformats.org/officeDocument/2006/relationships/hyperlink" Target="http://twitter.com/chancos/status/1112750951318937600" TargetMode="External"/><Relationship Id="rId455" Type="http://schemas.openxmlformats.org/officeDocument/2006/relationships/hyperlink" Target="http://twitter.com/max2910wtf/status/1112811274369486849" TargetMode="External"/><Relationship Id="rId662" Type="http://schemas.openxmlformats.org/officeDocument/2006/relationships/hyperlink" Target="http://twitter.com/JovemImortal/status/1112881560393580549" TargetMode="External"/><Relationship Id="rId1085" Type="http://schemas.openxmlformats.org/officeDocument/2006/relationships/hyperlink" Target="http://twitter.com/HARTOS16/status/1113385123481890816" TargetMode="External"/><Relationship Id="rId1292" Type="http://schemas.openxmlformats.org/officeDocument/2006/relationships/hyperlink" Target="http://twitter.com/fer_1410/status/1113911006651011072" TargetMode="External"/><Relationship Id="rId108" Type="http://schemas.openxmlformats.org/officeDocument/2006/relationships/hyperlink" Target="http://twitter.com/CarlosL_PERU/status/1112707032262549504" TargetMode="External"/><Relationship Id="rId315" Type="http://schemas.openxmlformats.org/officeDocument/2006/relationships/hyperlink" Target="http://twitter.com/Miluska_you/status/1112769307740651527" TargetMode="External"/><Relationship Id="rId522" Type="http://schemas.openxmlformats.org/officeDocument/2006/relationships/hyperlink" Target="http://twitter.com/garciacg17/status/1112836384774152192" TargetMode="External"/><Relationship Id="rId967" Type="http://schemas.openxmlformats.org/officeDocument/2006/relationships/hyperlink" Target="http://twitter.com/rocioleonrodrig/status/1113156521565786112" TargetMode="External"/><Relationship Id="rId1152" Type="http://schemas.openxmlformats.org/officeDocument/2006/relationships/hyperlink" Target="http://twitter.com/MSaldF41/status/1113580916889260032" TargetMode="External"/><Relationship Id="rId1597" Type="http://schemas.openxmlformats.org/officeDocument/2006/relationships/hyperlink" Target="http://twitter.com/nereaahurtado/status/1114562728528678912" TargetMode="External"/><Relationship Id="rId96" Type="http://schemas.openxmlformats.org/officeDocument/2006/relationships/hyperlink" Target="http://twitter.com/rosamespule/status/1112703757815607296" TargetMode="External"/><Relationship Id="rId827" Type="http://schemas.openxmlformats.org/officeDocument/2006/relationships/hyperlink" Target="http://twitter.com/ormusverum/status/1112927613054586880" TargetMode="External"/><Relationship Id="rId1012" Type="http://schemas.openxmlformats.org/officeDocument/2006/relationships/hyperlink" Target="http://twitter.com/Leodas13/status/1113247420329136129" TargetMode="External"/><Relationship Id="rId1457" Type="http://schemas.openxmlformats.org/officeDocument/2006/relationships/hyperlink" Target="http://twitter.com/Jess49504626/status/1114250179761328128" TargetMode="External"/><Relationship Id="rId1664" Type="http://schemas.openxmlformats.org/officeDocument/2006/relationships/hyperlink" Target="http://twitter.com/raulasencio3/status/1114713644665856001" TargetMode="External"/><Relationship Id="rId1871" Type="http://schemas.openxmlformats.org/officeDocument/2006/relationships/hyperlink" Target="http://twitter.com/Khaleesi_TK/status/1115136071023702018" TargetMode="External"/><Relationship Id="rId1317" Type="http://schemas.openxmlformats.org/officeDocument/2006/relationships/hyperlink" Target="http://twitter.com/lilijl17/status/1113943551400792066" TargetMode="External"/><Relationship Id="rId1524" Type="http://schemas.openxmlformats.org/officeDocument/2006/relationships/hyperlink" Target="http://twitter.com/vixente_1974/status/1114373955828244481" TargetMode="External"/><Relationship Id="rId1731" Type="http://schemas.openxmlformats.org/officeDocument/2006/relationships/hyperlink" Target="http://twitter.com/Dowudo/status/1114833287703355397" TargetMode="External"/><Relationship Id="rId1969" Type="http://schemas.openxmlformats.org/officeDocument/2006/relationships/hyperlink" Target="http://twitter.com/HalconObservad2/status/1115355566401040385" TargetMode="External"/><Relationship Id="rId23" Type="http://schemas.openxmlformats.org/officeDocument/2006/relationships/hyperlink" Target="http://twitter.com/CaudiaAngelica/status/1112681168548364288" TargetMode="External"/><Relationship Id="rId1829" Type="http://schemas.openxmlformats.org/officeDocument/2006/relationships/hyperlink" Target="http://twitter.com/kismipedro/status/1115043164832669696" TargetMode="External"/><Relationship Id="rId172" Type="http://schemas.openxmlformats.org/officeDocument/2006/relationships/hyperlink" Target="http://twitter.com/LimaesNuestra/status/1112730322033172480" TargetMode="External"/><Relationship Id="rId477" Type="http://schemas.openxmlformats.org/officeDocument/2006/relationships/hyperlink" Target="http://twitter.com/Americo_PC/status/1112822264901365760" TargetMode="External"/><Relationship Id="rId684" Type="http://schemas.openxmlformats.org/officeDocument/2006/relationships/hyperlink" Target="http://twitter.com/dorigon__/status/1112887529584381952" TargetMode="External"/><Relationship Id="rId337" Type="http://schemas.openxmlformats.org/officeDocument/2006/relationships/hyperlink" Target="http://twitter.com/Kalin_gl/status/1112778836440240131" TargetMode="External"/><Relationship Id="rId891" Type="http://schemas.openxmlformats.org/officeDocument/2006/relationships/hyperlink" Target="http://twitter.com/elsoldelnorte/status/1112969484816519168" TargetMode="External"/><Relationship Id="rId989" Type="http://schemas.openxmlformats.org/officeDocument/2006/relationships/hyperlink" Target="http://twitter.com/luiz_ayrao/status/1113188139168874496" TargetMode="External"/><Relationship Id="rId544" Type="http://schemas.openxmlformats.org/officeDocument/2006/relationships/hyperlink" Target="http://twitter.com/HenryRa28091268/status/1112842594277576706" TargetMode="External"/><Relationship Id="rId751" Type="http://schemas.openxmlformats.org/officeDocument/2006/relationships/hyperlink" Target="http://twitter.com/SchippnerNora/status/1112904798251220992" TargetMode="External"/><Relationship Id="rId849" Type="http://schemas.openxmlformats.org/officeDocument/2006/relationships/hyperlink" Target="http://twitter.com/LiterallyGabie/status/1112934283671351296" TargetMode="External"/><Relationship Id="rId1174" Type="http://schemas.openxmlformats.org/officeDocument/2006/relationships/hyperlink" Target="http://twitter.com/homerorm7/status/1113639536704327685" TargetMode="External"/><Relationship Id="rId1381" Type="http://schemas.openxmlformats.org/officeDocument/2006/relationships/hyperlink" Target="http://twitter.com/manoleteximenez/status/1114054233744130048" TargetMode="External"/><Relationship Id="rId1479" Type="http://schemas.openxmlformats.org/officeDocument/2006/relationships/hyperlink" Target="http://twitter.com/Kely20942606/status/1114287523692515329" TargetMode="External"/><Relationship Id="rId1686" Type="http://schemas.openxmlformats.org/officeDocument/2006/relationships/hyperlink" Target="http://twitter.com/AceSalaverry/status/1114743027812241409" TargetMode="External"/><Relationship Id="rId404" Type="http://schemas.openxmlformats.org/officeDocument/2006/relationships/hyperlink" Target="http://twitter.com/ArtemioPalo/status/1112798434245922817" TargetMode="External"/><Relationship Id="rId611" Type="http://schemas.openxmlformats.org/officeDocument/2006/relationships/hyperlink" Target="http://twitter.com/Paramount_miss/status/1112864047500857349" TargetMode="External"/><Relationship Id="rId1034" Type="http://schemas.openxmlformats.org/officeDocument/2006/relationships/hyperlink" Target="http://twitter.com/eml229/status/1113302205610770432" TargetMode="External"/><Relationship Id="rId1241" Type="http://schemas.openxmlformats.org/officeDocument/2006/relationships/hyperlink" Target="http://twitter.com/joneyjuana/status/1113790403596230657" TargetMode="External"/><Relationship Id="rId1339" Type="http://schemas.openxmlformats.org/officeDocument/2006/relationships/hyperlink" Target="http://twitter.com/d_buitron/status/1113998585463541762" TargetMode="External"/><Relationship Id="rId1893" Type="http://schemas.openxmlformats.org/officeDocument/2006/relationships/hyperlink" Target="http://twitter.com/drijpg/status/1115163178529370112" TargetMode="External"/><Relationship Id="rId709" Type="http://schemas.openxmlformats.org/officeDocument/2006/relationships/hyperlink" Target="http://twitter.com/Eddy21Maggi/status/1112894018940293121" TargetMode="External"/><Relationship Id="rId916" Type="http://schemas.openxmlformats.org/officeDocument/2006/relationships/hyperlink" Target="http://twitter.com/brunoDiazS/status/1113028274836385792" TargetMode="External"/><Relationship Id="rId1101" Type="http://schemas.openxmlformats.org/officeDocument/2006/relationships/hyperlink" Target="http://twitter.com/Blogdofavre/status/1113429694605611008" TargetMode="External"/><Relationship Id="rId1546" Type="http://schemas.openxmlformats.org/officeDocument/2006/relationships/hyperlink" Target="http://twitter.com/luferco34/status/1114430825427132416" TargetMode="External"/><Relationship Id="rId1753" Type="http://schemas.openxmlformats.org/officeDocument/2006/relationships/hyperlink" Target="http://twitter.com/carlos1504511/status/1114894765957554176" TargetMode="External"/><Relationship Id="rId1960" Type="http://schemas.openxmlformats.org/officeDocument/2006/relationships/hyperlink" Target="http://twitter.com/Eddy21Maggi/status/1115327713286467585" TargetMode="External"/><Relationship Id="rId45" Type="http://schemas.openxmlformats.org/officeDocument/2006/relationships/hyperlink" Target="http://twitter.com/sdamazom/status/1112685997727330304" TargetMode="External"/><Relationship Id="rId1406" Type="http://schemas.openxmlformats.org/officeDocument/2006/relationships/hyperlink" Target="http://twitter.com/Rix7777/status/1114135289939877888" TargetMode="External"/><Relationship Id="rId1613" Type="http://schemas.openxmlformats.org/officeDocument/2006/relationships/hyperlink" Target="http://twitter.com/70chano5/status/1114590930294718464" TargetMode="External"/><Relationship Id="rId1820" Type="http://schemas.openxmlformats.org/officeDocument/2006/relationships/hyperlink" Target="http://twitter.com/puritacancha/status/1115041935918424065" TargetMode="External"/><Relationship Id="rId194" Type="http://schemas.openxmlformats.org/officeDocument/2006/relationships/hyperlink" Target="http://twitter.com/Agencia_Andina/status/1112734748261212162" TargetMode="External"/><Relationship Id="rId1918" Type="http://schemas.openxmlformats.org/officeDocument/2006/relationships/hyperlink" Target="http://twitter.com/mangcer/status/1115236210916626432" TargetMode="External"/><Relationship Id="rId261" Type="http://schemas.openxmlformats.org/officeDocument/2006/relationships/hyperlink" Target="http://twitter.com/chungoybatan/status/1112755035610451973" TargetMode="External"/><Relationship Id="rId499" Type="http://schemas.openxmlformats.org/officeDocument/2006/relationships/hyperlink" Target="http://twitter.com/InfostellePeru/status/1112828852374573056" TargetMode="External"/><Relationship Id="rId359" Type="http://schemas.openxmlformats.org/officeDocument/2006/relationships/hyperlink" Target="http://twitter.com/newsjsPE/status/1112783540448575489" TargetMode="External"/><Relationship Id="rId566" Type="http://schemas.openxmlformats.org/officeDocument/2006/relationships/hyperlink" Target="http://twitter.com/pachitadv/status/1112850610645291009" TargetMode="External"/><Relationship Id="rId773" Type="http://schemas.openxmlformats.org/officeDocument/2006/relationships/hyperlink" Target="http://twitter.com/Alfoxap/status/1112912413974773760" TargetMode="External"/><Relationship Id="rId1196" Type="http://schemas.openxmlformats.org/officeDocument/2006/relationships/hyperlink" Target="http://twitter.com/EverCabanillas/status/1113681766089469953" TargetMode="External"/><Relationship Id="rId121" Type="http://schemas.openxmlformats.org/officeDocument/2006/relationships/hyperlink" Target="http://twitter.com/frank_ludena/status/1112712473927475205" TargetMode="External"/><Relationship Id="rId219" Type="http://schemas.openxmlformats.org/officeDocument/2006/relationships/hyperlink" Target="http://twitter.com/JuanCarlosSC/status/1112742435992461314" TargetMode="External"/><Relationship Id="rId426" Type="http://schemas.openxmlformats.org/officeDocument/2006/relationships/hyperlink" Target="http://twitter.com/MilagrosLeivaG/status/1112803011422834689" TargetMode="External"/><Relationship Id="rId633" Type="http://schemas.openxmlformats.org/officeDocument/2006/relationships/hyperlink" Target="http://twitter.com/Cesarcanales093/status/1112873222989438976" TargetMode="External"/><Relationship Id="rId980" Type="http://schemas.openxmlformats.org/officeDocument/2006/relationships/hyperlink" Target="http://twitter.com/isidorodelagaor/status/1113186201802964992" TargetMode="External"/><Relationship Id="rId1056" Type="http://schemas.openxmlformats.org/officeDocument/2006/relationships/hyperlink" Target="http://twitter.com/HectorUrtecho/status/1113327789216813056" TargetMode="External"/><Relationship Id="rId1263" Type="http://schemas.openxmlformats.org/officeDocument/2006/relationships/hyperlink" Target="http://twitter.com/reyconbarba/status/1113823367088484352" TargetMode="External"/><Relationship Id="rId840" Type="http://schemas.openxmlformats.org/officeDocument/2006/relationships/hyperlink" Target="http://twitter.com/alanquispe/status/1112932368262684672" TargetMode="External"/><Relationship Id="rId938" Type="http://schemas.openxmlformats.org/officeDocument/2006/relationships/hyperlink" Target="http://twitter.com/Fixi2015/status/1113095247297474560" TargetMode="External"/><Relationship Id="rId1470" Type="http://schemas.openxmlformats.org/officeDocument/2006/relationships/hyperlink" Target="http://twitter.com/Vogue1913/status/1114254781285933057" TargetMode="External"/><Relationship Id="rId1568" Type="http://schemas.openxmlformats.org/officeDocument/2006/relationships/hyperlink" Target="http://twitter.com/clariitapalmou/status/1114500151354306561" TargetMode="External"/><Relationship Id="rId1775" Type="http://schemas.openxmlformats.org/officeDocument/2006/relationships/hyperlink" Target="http://twitter.com/Rollhando/status/1114924655012401152" TargetMode="External"/><Relationship Id="rId67" Type="http://schemas.openxmlformats.org/officeDocument/2006/relationships/hyperlink" Target="http://twitter.com/VozLiberal/status/1112694387358748673" TargetMode="External"/><Relationship Id="rId700" Type="http://schemas.openxmlformats.org/officeDocument/2006/relationships/hyperlink" Target="http://twitter.com/Tochyfranz/status/1112892217050296320" TargetMode="External"/><Relationship Id="rId1123" Type="http://schemas.openxmlformats.org/officeDocument/2006/relationships/hyperlink" Target="http://twitter.com/chungoybatan/status/1113488657984389123" TargetMode="External"/><Relationship Id="rId1330" Type="http://schemas.openxmlformats.org/officeDocument/2006/relationships/hyperlink" Target="http://twitter.com/WomenTodayforH1/status/1113972743660240896" TargetMode="External"/><Relationship Id="rId1428" Type="http://schemas.openxmlformats.org/officeDocument/2006/relationships/hyperlink" Target="http://twitter.com/PanamericanaTV/status/1114166467434512384" TargetMode="External"/><Relationship Id="rId1635" Type="http://schemas.openxmlformats.org/officeDocument/2006/relationships/hyperlink" Target="http://twitter.com/ggukftkim/status/1114650583368126464" TargetMode="External"/><Relationship Id="rId1982" Type="http://schemas.openxmlformats.org/officeDocument/2006/relationships/hyperlink" Target="http://twitter.com/carlos1504511/status/1115387307467640838" TargetMode="External"/><Relationship Id="rId1842" Type="http://schemas.openxmlformats.org/officeDocument/2006/relationships/hyperlink" Target="http://twitter.com/MagnoRengifo/status/1115075076054028289" TargetMode="External"/><Relationship Id="rId1702" Type="http://schemas.openxmlformats.org/officeDocument/2006/relationships/hyperlink" Target="http://twitter.com/Lruizost/status/1114770374187802624" TargetMode="External"/><Relationship Id="rId283" Type="http://schemas.openxmlformats.org/officeDocument/2006/relationships/hyperlink" Target="http://twitter.com/LezamaJaime/status/1112761446067245057" TargetMode="External"/><Relationship Id="rId490" Type="http://schemas.openxmlformats.org/officeDocument/2006/relationships/hyperlink" Target="http://twitter.com/marisolgarcia11/status/1112828058594103297" TargetMode="External"/><Relationship Id="rId143" Type="http://schemas.openxmlformats.org/officeDocument/2006/relationships/hyperlink" Target="http://twitter.com/Wilmr_Damian/status/1112722205127966720" TargetMode="External"/><Relationship Id="rId350" Type="http://schemas.openxmlformats.org/officeDocument/2006/relationships/hyperlink" Target="http://twitter.com/thefourdara/status/1112780783712862209" TargetMode="External"/><Relationship Id="rId588" Type="http://schemas.openxmlformats.org/officeDocument/2006/relationships/hyperlink" Target="http://twitter.com/medjo301/status/1112855398581760000" TargetMode="External"/><Relationship Id="rId795" Type="http://schemas.openxmlformats.org/officeDocument/2006/relationships/hyperlink" Target="http://twitter.com/ALOKARTE/status/1112919194109186048" TargetMode="External"/><Relationship Id="rId9" Type="http://schemas.openxmlformats.org/officeDocument/2006/relationships/hyperlink" Target="http://twitter.com/Augusto2412/status/1112677869900177409" TargetMode="External"/><Relationship Id="rId210" Type="http://schemas.openxmlformats.org/officeDocument/2006/relationships/hyperlink" Target="http://twitter.com/henry_quispe/status/1112741931245817856" TargetMode="External"/><Relationship Id="rId448" Type="http://schemas.openxmlformats.org/officeDocument/2006/relationships/hyperlink" Target="http://twitter.com/thomaspasivo/status/1112809606743552000" TargetMode="External"/><Relationship Id="rId655" Type="http://schemas.openxmlformats.org/officeDocument/2006/relationships/hyperlink" Target="http://twitter.com/Pectok/status/1112878429953802241" TargetMode="External"/><Relationship Id="rId862" Type="http://schemas.openxmlformats.org/officeDocument/2006/relationships/hyperlink" Target="http://twitter.com/noticiAmerica/status/1112936235343994880" TargetMode="External"/><Relationship Id="rId1078" Type="http://schemas.openxmlformats.org/officeDocument/2006/relationships/hyperlink" Target="http://twitter.com/Hispantv/status/1113379408604205056" TargetMode="External"/><Relationship Id="rId1285" Type="http://schemas.openxmlformats.org/officeDocument/2006/relationships/hyperlink" Target="http://twitter.com/Sirokotv/status/1113884286795567105" TargetMode="External"/><Relationship Id="rId1492" Type="http://schemas.openxmlformats.org/officeDocument/2006/relationships/hyperlink" Target="http://twitter.com/AndresParedesG/status/1114316948278583296" TargetMode="External"/><Relationship Id="rId308" Type="http://schemas.openxmlformats.org/officeDocument/2006/relationships/hyperlink" Target="http://twitter.com/InfostellePeru/status/1112768000262852608" TargetMode="External"/><Relationship Id="rId515" Type="http://schemas.openxmlformats.org/officeDocument/2006/relationships/hyperlink" Target="http://twitter.com/cafecitoyazul/status/1112835132535312384" TargetMode="External"/><Relationship Id="rId722" Type="http://schemas.openxmlformats.org/officeDocument/2006/relationships/hyperlink" Target="http://twitter.com/rospigli1/status/1112897570739818496" TargetMode="External"/><Relationship Id="rId1145" Type="http://schemas.openxmlformats.org/officeDocument/2006/relationships/hyperlink" Target="http://twitter.com/MLunaTevez/status/1113579774813798400" TargetMode="External"/><Relationship Id="rId1352" Type="http://schemas.openxmlformats.org/officeDocument/2006/relationships/hyperlink" Target="http://twitter.com/LC_PER/status/1114027869938880512" TargetMode="External"/><Relationship Id="rId1797" Type="http://schemas.openxmlformats.org/officeDocument/2006/relationships/hyperlink" Target="http://twitter.com/julinhahu/status/1114983765296730114" TargetMode="External"/><Relationship Id="rId89" Type="http://schemas.openxmlformats.org/officeDocument/2006/relationships/hyperlink" Target="http://twitter.com/dgrados/status/1112703070541148160" TargetMode="External"/><Relationship Id="rId1005" Type="http://schemas.openxmlformats.org/officeDocument/2006/relationships/hyperlink" Target="http://twitter.com/peruenlanoticia/status/1113220132321599488" TargetMode="External"/><Relationship Id="rId1212" Type="http://schemas.openxmlformats.org/officeDocument/2006/relationships/hyperlink" Target="http://twitter.com/redelaveiga/status/1113702631065759744" TargetMode="External"/><Relationship Id="rId1657" Type="http://schemas.openxmlformats.org/officeDocument/2006/relationships/hyperlink" Target="http://twitter.com/Javi_arbii/status/1114682664764809216" TargetMode="External"/><Relationship Id="rId1864" Type="http://schemas.openxmlformats.org/officeDocument/2006/relationships/hyperlink" Target="http://twitter.com/ranSKAphobia/status/1115129940834304000" TargetMode="External"/><Relationship Id="rId1517" Type="http://schemas.openxmlformats.org/officeDocument/2006/relationships/hyperlink" Target="http://twitter.com/Alberin15/status/1114371973344317440" TargetMode="External"/><Relationship Id="rId1724" Type="http://schemas.openxmlformats.org/officeDocument/2006/relationships/hyperlink" Target="http://twitter.com/Celoviedo/status/1114831082774573056" TargetMode="External"/><Relationship Id="rId16" Type="http://schemas.openxmlformats.org/officeDocument/2006/relationships/hyperlink" Target="http://twitter.com/Antonio50714420/status/1112678990274134021" TargetMode="External"/><Relationship Id="rId1931" Type="http://schemas.openxmlformats.org/officeDocument/2006/relationships/hyperlink" Target="http://twitter.com/marianflores123/status/1115268028676100096" TargetMode="External"/><Relationship Id="rId165" Type="http://schemas.openxmlformats.org/officeDocument/2006/relationships/hyperlink" Target="http://twitter.com/JennerMycall/status/1112726420705460224" TargetMode="External"/><Relationship Id="rId372" Type="http://schemas.openxmlformats.org/officeDocument/2006/relationships/hyperlink" Target="http://twitter.com/xiopink89/status/1112786825352040448" TargetMode="External"/><Relationship Id="rId677" Type="http://schemas.openxmlformats.org/officeDocument/2006/relationships/hyperlink" Target="http://twitter.com/jonas_jwc/status/1112887110166614018" TargetMode="External"/><Relationship Id="rId232" Type="http://schemas.openxmlformats.org/officeDocument/2006/relationships/hyperlink" Target="http://twitter.com/Xhristian19/status/1112747566469402624" TargetMode="External"/><Relationship Id="rId884" Type="http://schemas.openxmlformats.org/officeDocument/2006/relationships/hyperlink" Target="http://twitter.com/Contreras2514/status/1112965000094781440" TargetMode="External"/><Relationship Id="rId537" Type="http://schemas.openxmlformats.org/officeDocument/2006/relationships/hyperlink" Target="http://twitter.com/jesiquina/status/1112840211518484480" TargetMode="External"/><Relationship Id="rId744" Type="http://schemas.openxmlformats.org/officeDocument/2006/relationships/hyperlink" Target="http://twitter.com/RPPNoticias/status/1112903965363060736" TargetMode="External"/><Relationship Id="rId951" Type="http://schemas.openxmlformats.org/officeDocument/2006/relationships/hyperlink" Target="http://twitter.com/pelusa054/status/1113125578876575745" TargetMode="External"/><Relationship Id="rId1167" Type="http://schemas.openxmlformats.org/officeDocument/2006/relationships/hyperlink" Target="http://twitter.com/Mcvteste/status/1113612517027340290" TargetMode="External"/><Relationship Id="rId1374" Type="http://schemas.openxmlformats.org/officeDocument/2006/relationships/hyperlink" Target="http://twitter.com/awquipumahunter/status/1114043321708634115" TargetMode="External"/><Relationship Id="rId1581" Type="http://schemas.openxmlformats.org/officeDocument/2006/relationships/hyperlink" Target="http://twitter.com/JGuignier/status/1114532304985239552" TargetMode="External"/><Relationship Id="rId1679" Type="http://schemas.openxmlformats.org/officeDocument/2006/relationships/hyperlink" Target="http://twitter.com/TaliaLVE/status/1114741873330073600" TargetMode="External"/><Relationship Id="rId80" Type="http://schemas.openxmlformats.org/officeDocument/2006/relationships/hyperlink" Target="http://twitter.com/mardewe/status/1112699677454016513" TargetMode="External"/><Relationship Id="rId604" Type="http://schemas.openxmlformats.org/officeDocument/2006/relationships/hyperlink" Target="http://twitter.com/nellylun/status/1112860848459055104" TargetMode="External"/><Relationship Id="rId811" Type="http://schemas.openxmlformats.org/officeDocument/2006/relationships/hyperlink" Target="http://twitter.com/nograbonilla/status/1112923917554012160" TargetMode="External"/><Relationship Id="rId1027" Type="http://schemas.openxmlformats.org/officeDocument/2006/relationships/hyperlink" Target="http://twitter.com/heisenmuark/status/1113277486618632192" TargetMode="External"/><Relationship Id="rId1234" Type="http://schemas.openxmlformats.org/officeDocument/2006/relationships/hyperlink" Target="http://twitter.com/PEDRO_VASQUEZ27/status/1113751325530120192" TargetMode="External"/><Relationship Id="rId1441" Type="http://schemas.openxmlformats.org/officeDocument/2006/relationships/hyperlink" Target="http://twitter.com/AldoVasquezP/status/1114195922064478209" TargetMode="External"/><Relationship Id="rId1886" Type="http://schemas.openxmlformats.org/officeDocument/2006/relationships/hyperlink" Target="http://twitter.com/rocio_vulih/status/1115155509378736128" TargetMode="External"/><Relationship Id="rId909" Type="http://schemas.openxmlformats.org/officeDocument/2006/relationships/hyperlink" Target="http://twitter.com/Vania_asesoria/status/1112998827718520832" TargetMode="External"/><Relationship Id="rId1301" Type="http://schemas.openxmlformats.org/officeDocument/2006/relationships/hyperlink" Target="http://twitter.com/holograthicc/status/1113912056774844417" TargetMode="External"/><Relationship Id="rId1539" Type="http://schemas.openxmlformats.org/officeDocument/2006/relationships/hyperlink" Target="http://twitter.com/silviahupiu/status/1114401102815014913" TargetMode="External"/><Relationship Id="rId1746" Type="http://schemas.openxmlformats.org/officeDocument/2006/relationships/hyperlink" Target="http://twitter.com/edusky_/status/1114864813539196929" TargetMode="External"/><Relationship Id="rId1953" Type="http://schemas.openxmlformats.org/officeDocument/2006/relationships/hyperlink" Target="http://twitter.com/alchilon/status/1115327031137402880" TargetMode="External"/><Relationship Id="rId38" Type="http://schemas.openxmlformats.org/officeDocument/2006/relationships/hyperlink" Target="http://twitter.com/josop55/status/1112685117082869760" TargetMode="External"/><Relationship Id="rId1606" Type="http://schemas.openxmlformats.org/officeDocument/2006/relationships/hyperlink" Target="http://twitter.com/homerorm7/status/1114563107471413248" TargetMode="External"/><Relationship Id="rId1813" Type="http://schemas.openxmlformats.org/officeDocument/2006/relationships/hyperlink" Target="http://twitter.com/IsraelMR13/status/1115015655655395328" TargetMode="External"/><Relationship Id="rId187" Type="http://schemas.openxmlformats.org/officeDocument/2006/relationships/hyperlink" Target="http://twitter.com/OmarAliagaLoje/status/1112734463405051909" TargetMode="External"/><Relationship Id="rId394" Type="http://schemas.openxmlformats.org/officeDocument/2006/relationships/hyperlink" Target="http://twitter.com/dexmoda_/status/1112791486473568261" TargetMode="External"/><Relationship Id="rId254" Type="http://schemas.openxmlformats.org/officeDocument/2006/relationships/hyperlink" Target="http://twitter.com/belaessencia/status/1112754283492052994" TargetMode="External"/><Relationship Id="rId699" Type="http://schemas.openxmlformats.org/officeDocument/2006/relationships/hyperlink" Target="http://twitter.com/LDavelouis/status/1112891850808016896" TargetMode="External"/><Relationship Id="rId1091" Type="http://schemas.openxmlformats.org/officeDocument/2006/relationships/hyperlink" Target="http://twitter.com/Inf_Alternativa/status/1113390445822906368" TargetMode="External"/><Relationship Id="rId114" Type="http://schemas.openxmlformats.org/officeDocument/2006/relationships/hyperlink" Target="http://twitter.com/sheilitaugarte/status/1112707939566055424" TargetMode="External"/><Relationship Id="rId461" Type="http://schemas.openxmlformats.org/officeDocument/2006/relationships/hyperlink" Target="http://twitter.com/LuluChaD2/status/1112814261145755649" TargetMode="External"/><Relationship Id="rId559" Type="http://schemas.openxmlformats.org/officeDocument/2006/relationships/hyperlink" Target="http://twitter.com/veroca327/status/1112849036267196417" TargetMode="External"/><Relationship Id="rId766" Type="http://schemas.openxmlformats.org/officeDocument/2006/relationships/hyperlink" Target="http://twitter.com/Edwarcanales/status/1112910262305214466" TargetMode="External"/><Relationship Id="rId1189" Type="http://schemas.openxmlformats.org/officeDocument/2006/relationships/hyperlink" Target="http://twitter.com/Jcm13141321/status/1113667702520975361" TargetMode="External"/><Relationship Id="rId1396" Type="http://schemas.openxmlformats.org/officeDocument/2006/relationships/hyperlink" Target="http://twitter.com/anacarla484/status/1114095911272165376" TargetMode="External"/><Relationship Id="rId321" Type="http://schemas.openxmlformats.org/officeDocument/2006/relationships/hyperlink" Target="http://twitter.com/Visionhuaraz/status/1112774837334929409" TargetMode="External"/><Relationship Id="rId419" Type="http://schemas.openxmlformats.org/officeDocument/2006/relationships/hyperlink" Target="http://twitter.com/rawrmerooo/status/1112801970824364039" TargetMode="External"/><Relationship Id="rId626" Type="http://schemas.openxmlformats.org/officeDocument/2006/relationships/hyperlink" Target="http://twitter.com/nathiguedess/status/1112868947987230720" TargetMode="External"/><Relationship Id="rId973" Type="http://schemas.openxmlformats.org/officeDocument/2006/relationships/hyperlink" Target="http://twitter.com/raattiixx_/status/1113157233431465984" TargetMode="External"/><Relationship Id="rId1049" Type="http://schemas.openxmlformats.org/officeDocument/2006/relationships/hyperlink" Target="http://twitter.com/Malone1560Juan/status/1113323743965786114" TargetMode="External"/><Relationship Id="rId1256" Type="http://schemas.openxmlformats.org/officeDocument/2006/relationships/hyperlink" Target="http://twitter.com/cercastel2014/status/1113822407805030407" TargetMode="External"/><Relationship Id="rId833" Type="http://schemas.openxmlformats.org/officeDocument/2006/relationships/hyperlink" Target="http://twitter.com/danaloby/status/1112928274152411136" TargetMode="External"/><Relationship Id="rId1116" Type="http://schemas.openxmlformats.org/officeDocument/2006/relationships/hyperlink" Target="http://twitter.com/JAKYCUZCO/status/1113459766578294784" TargetMode="External"/><Relationship Id="rId1463" Type="http://schemas.openxmlformats.org/officeDocument/2006/relationships/hyperlink" Target="http://twitter.com/txumbi1/status/1114252966897360896" TargetMode="External"/><Relationship Id="rId1670" Type="http://schemas.openxmlformats.org/officeDocument/2006/relationships/hyperlink" Target="http://twitter.com/wizagp/status/1114714025659703296" TargetMode="External"/><Relationship Id="rId1768" Type="http://schemas.openxmlformats.org/officeDocument/2006/relationships/hyperlink" Target="http://twitter.com/mire_fdez/status/1114923910405996545" TargetMode="External"/><Relationship Id="rId900" Type="http://schemas.openxmlformats.org/officeDocument/2006/relationships/hyperlink" Target="http://twitter.com/cesarvillarm/status/1112984202041913350" TargetMode="External"/><Relationship Id="rId1323" Type="http://schemas.openxmlformats.org/officeDocument/2006/relationships/hyperlink" Target="http://twitter.com/WomenTodayforH1/status/1113971840920236032" TargetMode="External"/><Relationship Id="rId1530" Type="http://schemas.openxmlformats.org/officeDocument/2006/relationships/hyperlink" Target="http://twitter.com/ROSARIOMZYO/status/1114396784061767680" TargetMode="External"/><Relationship Id="rId1628" Type="http://schemas.openxmlformats.org/officeDocument/2006/relationships/hyperlink" Target="http://twitter.com/Pelukas01/status/1114622564096249856" TargetMode="External"/><Relationship Id="rId1975" Type="http://schemas.openxmlformats.org/officeDocument/2006/relationships/hyperlink" Target="http://twitter.com/krmakrma/status/1115356945551175680" TargetMode="External"/><Relationship Id="rId1835" Type="http://schemas.openxmlformats.org/officeDocument/2006/relationships/hyperlink" Target="http://twitter.com/JorgeEs47082874/status/1115073926399504384" TargetMode="External"/><Relationship Id="rId1902" Type="http://schemas.openxmlformats.org/officeDocument/2006/relationships/hyperlink" Target="http://twitter.com/larsainz/status/1115197818635988992" TargetMode="External"/><Relationship Id="rId276" Type="http://schemas.openxmlformats.org/officeDocument/2006/relationships/hyperlink" Target="http://twitter.com/gizlaine2/status/1112758838669787136" TargetMode="External"/><Relationship Id="rId483" Type="http://schemas.openxmlformats.org/officeDocument/2006/relationships/hyperlink" Target="http://twitter.com/cristo_hary/status/1112823344699764736" TargetMode="External"/><Relationship Id="rId690" Type="http://schemas.openxmlformats.org/officeDocument/2006/relationships/hyperlink" Target="http://twitter.com/AsteCastillo/status/1112889996565008384" TargetMode="External"/><Relationship Id="rId136" Type="http://schemas.openxmlformats.org/officeDocument/2006/relationships/hyperlink" Target="http://twitter.com/Jikook02371373/status/1112716652351766528" TargetMode="External"/><Relationship Id="rId343" Type="http://schemas.openxmlformats.org/officeDocument/2006/relationships/hyperlink" Target="http://twitter.com/mijailrag/status/1112779294848290817" TargetMode="External"/><Relationship Id="rId550" Type="http://schemas.openxmlformats.org/officeDocument/2006/relationships/hyperlink" Target="http://twitter.com/AceSalaverry/status/1112844384419155973" TargetMode="External"/><Relationship Id="rId788" Type="http://schemas.openxmlformats.org/officeDocument/2006/relationships/hyperlink" Target="http://twitter.com/PublicidaMadrid/status/1112916651144609793" TargetMode="External"/><Relationship Id="rId995" Type="http://schemas.openxmlformats.org/officeDocument/2006/relationships/hyperlink" Target="http://twitter.com/Ojo_Publico/status/1113217978697363457" TargetMode="External"/><Relationship Id="rId1180" Type="http://schemas.openxmlformats.org/officeDocument/2006/relationships/hyperlink" Target="http://twitter.com/cricridecu/status/1113640627852517377" TargetMode="External"/><Relationship Id="rId203" Type="http://schemas.openxmlformats.org/officeDocument/2006/relationships/hyperlink" Target="http://twitter.com/PeruECpe/status/1112739190188503046" TargetMode="External"/><Relationship Id="rId648" Type="http://schemas.openxmlformats.org/officeDocument/2006/relationships/hyperlink" Target="http://twitter.com/pintora67/status/1112877729010106368" TargetMode="External"/><Relationship Id="rId855" Type="http://schemas.openxmlformats.org/officeDocument/2006/relationships/hyperlink" Target="http://twitter.com/pachitadv/status/1112935123119308800" TargetMode="External"/><Relationship Id="rId1040" Type="http://schemas.openxmlformats.org/officeDocument/2006/relationships/hyperlink" Target="http://twitter.com/SalvadorHeresi/status/1113304510246596608" TargetMode="External"/><Relationship Id="rId1278" Type="http://schemas.openxmlformats.org/officeDocument/2006/relationships/hyperlink" Target="http://twitter.com/zaid_solrac/status/1113882852662312960" TargetMode="External"/><Relationship Id="rId1485" Type="http://schemas.openxmlformats.org/officeDocument/2006/relationships/hyperlink" Target="http://twitter.com/Politica_LR/status/1114313941109411842" TargetMode="External"/><Relationship Id="rId1692" Type="http://schemas.openxmlformats.org/officeDocument/2006/relationships/hyperlink" Target="http://twitter.com/GloriaMonteneg/status/1114764798913327104" TargetMode="External"/><Relationship Id="rId410" Type="http://schemas.openxmlformats.org/officeDocument/2006/relationships/hyperlink" Target="http://twitter.com/mandrecox/status/1112799936926507008" TargetMode="External"/><Relationship Id="rId508" Type="http://schemas.openxmlformats.org/officeDocument/2006/relationships/hyperlink" Target="http://twitter.com/SoniaBermudezL/status/1112831105902604289" TargetMode="External"/><Relationship Id="rId715" Type="http://schemas.openxmlformats.org/officeDocument/2006/relationships/hyperlink" Target="http://twitter.com/Celis62/status/1112895434509488128" TargetMode="External"/><Relationship Id="rId922" Type="http://schemas.openxmlformats.org/officeDocument/2006/relationships/hyperlink" Target="http://twitter.com/lcbcasbo/status/1113029961080803328" TargetMode="External"/><Relationship Id="rId1138" Type="http://schemas.openxmlformats.org/officeDocument/2006/relationships/hyperlink" Target="http://twitter.com/elvistq/status/1113518827218903040" TargetMode="External"/><Relationship Id="rId1345" Type="http://schemas.openxmlformats.org/officeDocument/2006/relationships/hyperlink" Target="http://twitter.com/vravosoft/status/1113999958145892352" TargetMode="External"/><Relationship Id="rId1552" Type="http://schemas.openxmlformats.org/officeDocument/2006/relationships/hyperlink" Target="http://twitter.com/abstractofilia/status/1114435372753276928" TargetMode="External"/><Relationship Id="rId1997" Type="http://schemas.openxmlformats.org/officeDocument/2006/relationships/hyperlink" Target="http://twitter.com/R2D2Y2/status/1115417088556982273" TargetMode="External"/><Relationship Id="rId1205" Type="http://schemas.openxmlformats.org/officeDocument/2006/relationships/hyperlink" Target="http://twitter.com/CATP_Central/status/1113688826394873857" TargetMode="External"/><Relationship Id="rId1857" Type="http://schemas.openxmlformats.org/officeDocument/2006/relationships/hyperlink" Target="http://twitter.com/PARAISOHUACHO/status/1115100348929183749" TargetMode="External"/><Relationship Id="rId51" Type="http://schemas.openxmlformats.org/officeDocument/2006/relationships/hyperlink" Target="http://twitter.com/guajiro1942/status/1112690044203139073" TargetMode="External"/><Relationship Id="rId1412" Type="http://schemas.openxmlformats.org/officeDocument/2006/relationships/hyperlink" Target="http://twitter.com/rralbert/status/1114137272151085057" TargetMode="External"/><Relationship Id="rId1717" Type="http://schemas.openxmlformats.org/officeDocument/2006/relationships/hyperlink" Target="http://twitter.com/uttnaylisa/status/1114801060403662848" TargetMode="External"/><Relationship Id="rId1924" Type="http://schemas.openxmlformats.org/officeDocument/2006/relationships/hyperlink" Target="http://twitter.com/arkadin1/status/1115266988107026434" TargetMode="External"/><Relationship Id="rId298" Type="http://schemas.openxmlformats.org/officeDocument/2006/relationships/hyperlink" Target="http://twitter.com/fabiolataipe99/status/1112765579662974982" TargetMode="External"/><Relationship Id="rId158" Type="http://schemas.openxmlformats.org/officeDocument/2006/relationships/hyperlink" Target="http://twitter.com/iOLiVrE/status/1112725808144150528" TargetMode="External"/><Relationship Id="rId365" Type="http://schemas.openxmlformats.org/officeDocument/2006/relationships/hyperlink" Target="http://twitter.com/yanavico/status/1112785825174089728" TargetMode="External"/><Relationship Id="rId572" Type="http://schemas.openxmlformats.org/officeDocument/2006/relationships/hyperlink" Target="http://twitter.com/RSD_CHIMBOTE/status/1112851132458647553" TargetMode="External"/><Relationship Id="rId225" Type="http://schemas.openxmlformats.org/officeDocument/2006/relationships/hyperlink" Target="http://twitter.com/FioMarley/status/1112746934488498176" TargetMode="External"/><Relationship Id="rId432" Type="http://schemas.openxmlformats.org/officeDocument/2006/relationships/hyperlink" Target="http://twitter.com/chbtlv67/status/1112803654304587776" TargetMode="External"/><Relationship Id="rId877" Type="http://schemas.openxmlformats.org/officeDocument/2006/relationships/hyperlink" Target="http://twitter.com/TomBelfort2/status/1112942227897180160" TargetMode="External"/><Relationship Id="rId1062" Type="http://schemas.openxmlformats.org/officeDocument/2006/relationships/hyperlink" Target="http://twitter.com/Ivonnernestina/status/1113338350650449920" TargetMode="External"/><Relationship Id="rId737" Type="http://schemas.openxmlformats.org/officeDocument/2006/relationships/hyperlink" Target="http://twitter.com/lucky_mtl/status/1112903183326765056" TargetMode="External"/><Relationship Id="rId944" Type="http://schemas.openxmlformats.org/officeDocument/2006/relationships/hyperlink" Target="http://twitter.com/SEMANAeconomica/status/1113096317117509632" TargetMode="External"/><Relationship Id="rId1367" Type="http://schemas.openxmlformats.org/officeDocument/2006/relationships/hyperlink" Target="http://twitter.com/SoriaEstevez/status/1114037663290535936" TargetMode="External"/><Relationship Id="rId1574" Type="http://schemas.openxmlformats.org/officeDocument/2006/relationships/hyperlink" Target="http://twitter.com/Isabelmaribs/status/1114501253080461312" TargetMode="External"/><Relationship Id="rId1781" Type="http://schemas.openxmlformats.org/officeDocument/2006/relationships/hyperlink" Target="http://twitter.com/ClauxVince/status/1114952734761988096" TargetMode="External"/><Relationship Id="rId73" Type="http://schemas.openxmlformats.org/officeDocument/2006/relationships/hyperlink" Target="http://twitter.com/mardewe/status/1112695889947250688" TargetMode="External"/><Relationship Id="rId804" Type="http://schemas.openxmlformats.org/officeDocument/2006/relationships/hyperlink" Target="http://twitter.com/manwe1903/status/1112922206982623232" TargetMode="External"/><Relationship Id="rId1227" Type="http://schemas.openxmlformats.org/officeDocument/2006/relationships/hyperlink" Target="http://twitter.com/gabriellaperu/status/1113746803223138304" TargetMode="External"/><Relationship Id="rId1434" Type="http://schemas.openxmlformats.org/officeDocument/2006/relationships/hyperlink" Target="http://twitter.com/vcabalg/status/1114193347407745025" TargetMode="External"/><Relationship Id="rId1641" Type="http://schemas.openxmlformats.org/officeDocument/2006/relationships/hyperlink" Target="http://twitter.com/Politica_LR/status/1114652236808970240" TargetMode="External"/><Relationship Id="rId1879" Type="http://schemas.openxmlformats.org/officeDocument/2006/relationships/hyperlink" Target="http://twitter.com/Marina_ODP/status/1115139407315652608" TargetMode="External"/><Relationship Id="rId1501" Type="http://schemas.openxmlformats.org/officeDocument/2006/relationships/hyperlink" Target="http://twitter.com/lyka0427/status/1114345390491435009" TargetMode="External"/><Relationship Id="rId1739" Type="http://schemas.openxmlformats.org/officeDocument/2006/relationships/hyperlink" Target="http://twitter.com/danielfbv/status/1114864540846575618" TargetMode="External"/><Relationship Id="rId1946" Type="http://schemas.openxmlformats.org/officeDocument/2006/relationships/hyperlink" Target="http://twitter.com/ross_elenaa/status/1115296964084686848" TargetMode="External"/><Relationship Id="rId1806" Type="http://schemas.openxmlformats.org/officeDocument/2006/relationships/hyperlink" Target="http://twitter.com/Paramount_miss/status/1115014291881648129" TargetMode="External"/><Relationship Id="rId387" Type="http://schemas.openxmlformats.org/officeDocument/2006/relationships/hyperlink" Target="http://twitter.com/YULYVila1/status/1112789116972879875" TargetMode="External"/><Relationship Id="rId594" Type="http://schemas.openxmlformats.org/officeDocument/2006/relationships/hyperlink" Target="http://twitter.com/RConSentido/status/1112859057327570945" TargetMode="External"/><Relationship Id="rId247" Type="http://schemas.openxmlformats.org/officeDocument/2006/relationships/hyperlink" Target="http://twitter.com/jjrodriguezrp/status/1112750910055301125" TargetMode="External"/><Relationship Id="rId899" Type="http://schemas.openxmlformats.org/officeDocument/2006/relationships/hyperlink" Target="http://twitter.com/JA_ERNAU/status/1112984149789302785" TargetMode="External"/><Relationship Id="rId1084" Type="http://schemas.openxmlformats.org/officeDocument/2006/relationships/hyperlink" Target="http://twitter.com/hectorarroyo/status/1113385036290699270" TargetMode="External"/><Relationship Id="rId107" Type="http://schemas.openxmlformats.org/officeDocument/2006/relationships/hyperlink" Target="http://twitter.com/garciacontto/status/1112706943905345536" TargetMode="External"/><Relationship Id="rId454" Type="http://schemas.openxmlformats.org/officeDocument/2006/relationships/hyperlink" Target="http://twitter.com/apterrones/status/1112811212746702849" TargetMode="External"/><Relationship Id="rId661" Type="http://schemas.openxmlformats.org/officeDocument/2006/relationships/hyperlink" Target="http://twitter.com/aldov67/status/1112881105861046272" TargetMode="External"/><Relationship Id="rId759" Type="http://schemas.openxmlformats.org/officeDocument/2006/relationships/hyperlink" Target="http://twitter.com/Limagris/status/1112907850521759744" TargetMode="External"/><Relationship Id="rId966" Type="http://schemas.openxmlformats.org/officeDocument/2006/relationships/hyperlink" Target="http://twitter.com/LeslieMorenoC/status/1113155776992948224" TargetMode="External"/><Relationship Id="rId1291" Type="http://schemas.openxmlformats.org/officeDocument/2006/relationships/hyperlink" Target="http://twitter.com/RAMONHERBERT1/status/1113884821137309699" TargetMode="External"/><Relationship Id="rId1389" Type="http://schemas.openxmlformats.org/officeDocument/2006/relationships/hyperlink" Target="http://twitter.com/stefany00111/status/1114057383746113537" TargetMode="External"/><Relationship Id="rId1596" Type="http://schemas.openxmlformats.org/officeDocument/2006/relationships/hyperlink" Target="http://twitter.com/Juanje_/status/1114562477138829312" TargetMode="External"/><Relationship Id="rId314" Type="http://schemas.openxmlformats.org/officeDocument/2006/relationships/hyperlink" Target="http://twitter.com/ManuelF52591600/status/1112769291525505024" TargetMode="External"/><Relationship Id="rId521" Type="http://schemas.openxmlformats.org/officeDocument/2006/relationships/hyperlink" Target="http://twitter.com/InfostellePeru/status/1112835968510447621" TargetMode="External"/><Relationship Id="rId619" Type="http://schemas.openxmlformats.org/officeDocument/2006/relationships/hyperlink" Target="http://twitter.com/Karlarfm/status/1112868388261462016" TargetMode="External"/><Relationship Id="rId1151" Type="http://schemas.openxmlformats.org/officeDocument/2006/relationships/hyperlink" Target="http://twitter.com/MoradosCusco/status/1113580861583253506" TargetMode="External"/><Relationship Id="rId1249" Type="http://schemas.openxmlformats.org/officeDocument/2006/relationships/hyperlink" Target="http://twitter.com/rodnuncar/status/1113791685627138053" TargetMode="External"/><Relationship Id="rId95" Type="http://schemas.openxmlformats.org/officeDocument/2006/relationships/hyperlink" Target="http://twitter.com/purocachitos/status/1112703690102792193" TargetMode="External"/><Relationship Id="rId826" Type="http://schemas.openxmlformats.org/officeDocument/2006/relationships/hyperlink" Target="http://twitter.com/rhtorresm/status/1112926771110993920" TargetMode="External"/><Relationship Id="rId1011" Type="http://schemas.openxmlformats.org/officeDocument/2006/relationships/hyperlink" Target="http://twitter.com/NanaBaumgardt/status/1113247344034746368" TargetMode="External"/><Relationship Id="rId1109" Type="http://schemas.openxmlformats.org/officeDocument/2006/relationships/hyperlink" Target="http://twitter.com/antimarxistass/status/1113459072869838850" TargetMode="External"/><Relationship Id="rId1456" Type="http://schemas.openxmlformats.org/officeDocument/2006/relationships/hyperlink" Target="http://twitter.com/SamyH1982/status/1114225747743395840" TargetMode="External"/><Relationship Id="rId1663" Type="http://schemas.openxmlformats.org/officeDocument/2006/relationships/hyperlink" Target="http://twitter.com/CesarRevolledo/status/1114713632087183360" TargetMode="External"/><Relationship Id="rId1870" Type="http://schemas.openxmlformats.org/officeDocument/2006/relationships/hyperlink" Target="http://twitter.com/suzymx/status/1115132070848811008" TargetMode="External"/><Relationship Id="rId1968" Type="http://schemas.openxmlformats.org/officeDocument/2006/relationships/hyperlink" Target="http://twitter.com/mponceg16/status/1115355500227379200" TargetMode="External"/><Relationship Id="rId1316" Type="http://schemas.openxmlformats.org/officeDocument/2006/relationships/hyperlink" Target="http://twitter.com/Cecilia605040/status/1113943400846381056" TargetMode="External"/><Relationship Id="rId1523" Type="http://schemas.openxmlformats.org/officeDocument/2006/relationships/hyperlink" Target="http://twitter.com/ChirinosSatt/status/1114373632820748290" TargetMode="External"/><Relationship Id="rId1730" Type="http://schemas.openxmlformats.org/officeDocument/2006/relationships/hyperlink" Target="http://twitter.com/jaiikaa20/status/1114833204312182785" TargetMode="External"/><Relationship Id="rId22" Type="http://schemas.openxmlformats.org/officeDocument/2006/relationships/hyperlink" Target="http://twitter.com/pagina_11/status/1112680999106809856" TargetMode="External"/><Relationship Id="rId1828" Type="http://schemas.openxmlformats.org/officeDocument/2006/relationships/hyperlink" Target="http://twitter.com/heisenmuark/status/1115043101872132096" TargetMode="External"/><Relationship Id="rId171" Type="http://schemas.openxmlformats.org/officeDocument/2006/relationships/hyperlink" Target="http://twitter.com/Luxinterior80/status/1112730312528838656" TargetMode="External"/><Relationship Id="rId269" Type="http://schemas.openxmlformats.org/officeDocument/2006/relationships/hyperlink" Target="http://twitter.com/Politica_LR/status/1112757840085684231" TargetMode="External"/><Relationship Id="rId476" Type="http://schemas.openxmlformats.org/officeDocument/2006/relationships/hyperlink" Target="http://twitter.com/Francoatlante/status/1112822006045663238" TargetMode="External"/><Relationship Id="rId683" Type="http://schemas.openxmlformats.org/officeDocument/2006/relationships/hyperlink" Target="http://twitter.com/SadithLopezRios/status/1112887517425123328" TargetMode="External"/><Relationship Id="rId890" Type="http://schemas.openxmlformats.org/officeDocument/2006/relationships/hyperlink" Target="http://twitter.com/_danielarce/status/1112968945974169600" TargetMode="External"/><Relationship Id="rId129" Type="http://schemas.openxmlformats.org/officeDocument/2006/relationships/hyperlink" Target="http://twitter.com/Jeannettellaja/status/1112713063306850304" TargetMode="External"/><Relationship Id="rId336" Type="http://schemas.openxmlformats.org/officeDocument/2006/relationships/hyperlink" Target="http://twitter.com/acollantes_1096/status/1112778092576194561" TargetMode="External"/><Relationship Id="rId543" Type="http://schemas.openxmlformats.org/officeDocument/2006/relationships/hyperlink" Target="http://twitter.com/cumetylra/status/1112842463151046657" TargetMode="External"/><Relationship Id="rId988" Type="http://schemas.openxmlformats.org/officeDocument/2006/relationships/hyperlink" Target="http://twitter.com/Yeshuahqh/status/1113188024366583810" TargetMode="External"/><Relationship Id="rId1173" Type="http://schemas.openxmlformats.org/officeDocument/2006/relationships/hyperlink" Target="http://twitter.com/homerorm7/status/1113639441690779648" TargetMode="External"/><Relationship Id="rId1380" Type="http://schemas.openxmlformats.org/officeDocument/2006/relationships/hyperlink" Target="http://twitter.com/Mithun29051979/status/1114053463460274177" TargetMode="External"/><Relationship Id="rId403" Type="http://schemas.openxmlformats.org/officeDocument/2006/relationships/hyperlink" Target="http://twitter.com/LinceAntiTuco/status/1112793259963711492" TargetMode="External"/><Relationship Id="rId750" Type="http://schemas.openxmlformats.org/officeDocument/2006/relationships/hyperlink" Target="http://twitter.com/AclStudio2/status/1112904696518176769" TargetMode="External"/><Relationship Id="rId848" Type="http://schemas.openxmlformats.org/officeDocument/2006/relationships/hyperlink" Target="http://twitter.com/milichaur/status/1112933800819003392" TargetMode="External"/><Relationship Id="rId1033" Type="http://schemas.openxmlformats.org/officeDocument/2006/relationships/hyperlink" Target="http://twitter.com/silviahupiu/status/1113301764156137478" TargetMode="External"/><Relationship Id="rId1478" Type="http://schemas.openxmlformats.org/officeDocument/2006/relationships/hyperlink" Target="http://twitter.com/FRANCISCANTOR/status/1114287309971701761" TargetMode="External"/><Relationship Id="rId1685" Type="http://schemas.openxmlformats.org/officeDocument/2006/relationships/hyperlink" Target="http://twitter.com/MichaelGamezB/status/1114742650362634240" TargetMode="External"/><Relationship Id="rId1892" Type="http://schemas.openxmlformats.org/officeDocument/2006/relationships/hyperlink" Target="http://twitter.com/osescalante/status/1115160207888343043" TargetMode="External"/><Relationship Id="rId610" Type="http://schemas.openxmlformats.org/officeDocument/2006/relationships/hyperlink" Target="http://twitter.com/nicieganimuda/status/1112863837705957381" TargetMode="External"/><Relationship Id="rId708" Type="http://schemas.openxmlformats.org/officeDocument/2006/relationships/hyperlink" Target="http://twitter.com/tonalva/status/1112893976472965121" TargetMode="External"/><Relationship Id="rId915" Type="http://schemas.openxmlformats.org/officeDocument/2006/relationships/hyperlink" Target="http://twitter.com/imponentemisti/status/1113028027540275205" TargetMode="External"/><Relationship Id="rId1240" Type="http://schemas.openxmlformats.org/officeDocument/2006/relationships/hyperlink" Target="http://twitter.com/EfrainArca/status/1113790359857979393" TargetMode="External"/><Relationship Id="rId1338" Type="http://schemas.openxmlformats.org/officeDocument/2006/relationships/hyperlink" Target="http://twitter.com/adolfo_mendez_a/status/1113998574700900352" TargetMode="External"/><Relationship Id="rId1545" Type="http://schemas.openxmlformats.org/officeDocument/2006/relationships/hyperlink" Target="http://twitter.com/ingriiid13_/status/1114430674851827713" TargetMode="External"/><Relationship Id="rId1100" Type="http://schemas.openxmlformats.org/officeDocument/2006/relationships/hyperlink" Target="http://twitter.com/ExpresoPeru/status/1113429588913291264" TargetMode="External"/><Relationship Id="rId1405" Type="http://schemas.openxmlformats.org/officeDocument/2006/relationships/hyperlink" Target="http://twitter.com/1hijadelaluna/status/1114134306656522241" TargetMode="External"/><Relationship Id="rId1752" Type="http://schemas.openxmlformats.org/officeDocument/2006/relationships/hyperlink" Target="http://twitter.com/Gaaillard_/status/1114894756327362561" TargetMode="External"/><Relationship Id="rId44" Type="http://schemas.openxmlformats.org/officeDocument/2006/relationships/hyperlink" Target="http://twitter.com/RancasScorza/status/1112685939443355648" TargetMode="External"/><Relationship Id="rId1612" Type="http://schemas.openxmlformats.org/officeDocument/2006/relationships/hyperlink" Target="http://twitter.com/MikaFacile/status/1114590845624299520" TargetMode="External"/><Relationship Id="rId1917" Type="http://schemas.openxmlformats.org/officeDocument/2006/relationships/hyperlink" Target="http://twitter.com/JakSchool45JKT/status/1115236104536383488" TargetMode="External"/><Relationship Id="rId193" Type="http://schemas.openxmlformats.org/officeDocument/2006/relationships/hyperlink" Target="http://twitter.com/peruenlanoticia/status/1112734719144275969" TargetMode="External"/><Relationship Id="rId498" Type="http://schemas.openxmlformats.org/officeDocument/2006/relationships/hyperlink" Target="http://twitter.com/apterrones/status/1112828619838115840" TargetMode="External"/><Relationship Id="rId260" Type="http://schemas.openxmlformats.org/officeDocument/2006/relationships/hyperlink" Target="http://twitter.com/tonyventur/status/1112755031047106566" TargetMode="External"/><Relationship Id="rId120" Type="http://schemas.openxmlformats.org/officeDocument/2006/relationships/hyperlink" Target="http://twitter.com/CesarBejarano21/status/1112712384605491200" TargetMode="External"/><Relationship Id="rId358" Type="http://schemas.openxmlformats.org/officeDocument/2006/relationships/hyperlink" Target="http://twitter.com/tefa392/status/1112783112369594374" TargetMode="External"/><Relationship Id="rId565" Type="http://schemas.openxmlformats.org/officeDocument/2006/relationships/hyperlink" Target="http://twitter.com/CrisisHasArisen/status/1112850567284621312" TargetMode="External"/><Relationship Id="rId772" Type="http://schemas.openxmlformats.org/officeDocument/2006/relationships/hyperlink" Target="http://twitter.com/julioreal9/status/1112912270357618689" TargetMode="External"/><Relationship Id="rId1195" Type="http://schemas.openxmlformats.org/officeDocument/2006/relationships/hyperlink" Target="http://twitter.com/rai_PY/status/1113681176005304321" TargetMode="External"/><Relationship Id="rId218" Type="http://schemas.openxmlformats.org/officeDocument/2006/relationships/hyperlink" Target="http://twitter.com/isabeldiceesto/status/1112742365230522369" TargetMode="External"/><Relationship Id="rId425" Type="http://schemas.openxmlformats.org/officeDocument/2006/relationships/hyperlink" Target="http://twitter.com/alci_41/status/1112802957244809216" TargetMode="External"/><Relationship Id="rId632" Type="http://schemas.openxmlformats.org/officeDocument/2006/relationships/hyperlink" Target="http://twitter.com/miguel957/status/1112873102357225473" TargetMode="External"/><Relationship Id="rId1055" Type="http://schemas.openxmlformats.org/officeDocument/2006/relationships/hyperlink" Target="http://twitter.com/tidd_83/status/1113327584484515841" TargetMode="External"/><Relationship Id="rId1262" Type="http://schemas.openxmlformats.org/officeDocument/2006/relationships/hyperlink" Target="http://twitter.com/quejate_pe/status/1113823267830124546" TargetMode="External"/><Relationship Id="rId937" Type="http://schemas.openxmlformats.org/officeDocument/2006/relationships/hyperlink" Target="http://twitter.com/dontlarrybieber/status/1113095115936055296" TargetMode="External"/><Relationship Id="rId1122" Type="http://schemas.openxmlformats.org/officeDocument/2006/relationships/hyperlink" Target="http://twitter.com/rudychaa/status/1113488404342300673" TargetMode="External"/><Relationship Id="rId1567" Type="http://schemas.openxmlformats.org/officeDocument/2006/relationships/hyperlink" Target="http://twitter.com/Beaa_triz99/status/1114473148827807746" TargetMode="External"/><Relationship Id="rId1774" Type="http://schemas.openxmlformats.org/officeDocument/2006/relationships/hyperlink" Target="http://twitter.com/soyladiestra/status/1114924412975894535" TargetMode="External"/><Relationship Id="rId1981" Type="http://schemas.openxmlformats.org/officeDocument/2006/relationships/hyperlink" Target="http://twitter.com/Alicia94784200/status/1115387223594106880" TargetMode="External"/><Relationship Id="rId66" Type="http://schemas.openxmlformats.org/officeDocument/2006/relationships/hyperlink" Target="http://twitter.com/Leyva8Leyva/status/1112694205137276929" TargetMode="External"/><Relationship Id="rId1427" Type="http://schemas.openxmlformats.org/officeDocument/2006/relationships/hyperlink" Target="http://twitter.com/BDPTV/status/1114166466738315264" TargetMode="External"/><Relationship Id="rId1634" Type="http://schemas.openxmlformats.org/officeDocument/2006/relationships/hyperlink" Target="http://twitter.com/TheRepliKant/status/1114623510339629058" TargetMode="External"/><Relationship Id="rId1841" Type="http://schemas.openxmlformats.org/officeDocument/2006/relationships/hyperlink" Target="http://twitter.com/cefr67/status/1115075025688776704" TargetMode="External"/><Relationship Id="rId1939" Type="http://schemas.openxmlformats.org/officeDocument/2006/relationships/hyperlink" Target="http://twitter.com/FlabiaVigo/status/1115295815164137472" TargetMode="External"/><Relationship Id="rId1701" Type="http://schemas.openxmlformats.org/officeDocument/2006/relationships/hyperlink" Target="http://twitter.com/40Matos/status/1114770150660636672" TargetMode="External"/><Relationship Id="rId282" Type="http://schemas.openxmlformats.org/officeDocument/2006/relationships/hyperlink" Target="http://twitter.com/oscarenriquevel/status/1112761052918435845" TargetMode="External"/><Relationship Id="rId587" Type="http://schemas.openxmlformats.org/officeDocument/2006/relationships/hyperlink" Target="http://twitter.com/xamarino/status/1112854895789527041" TargetMode="External"/><Relationship Id="rId8" Type="http://schemas.openxmlformats.org/officeDocument/2006/relationships/hyperlink" Target="http://twitter.com/cesarpeirano/status/1112677345104707585" TargetMode="External"/><Relationship Id="rId142" Type="http://schemas.openxmlformats.org/officeDocument/2006/relationships/hyperlink" Target="http://twitter.com/smestanzaa/status/1112717200773779458" TargetMode="External"/><Relationship Id="rId447" Type="http://schemas.openxmlformats.org/officeDocument/2006/relationships/hyperlink" Target="http://twitter.com/dudup/status/1112809380276330497" TargetMode="External"/><Relationship Id="rId794" Type="http://schemas.openxmlformats.org/officeDocument/2006/relationships/hyperlink" Target="http://twitter.com/percenteno/status/1112919050508820480" TargetMode="External"/><Relationship Id="rId1077" Type="http://schemas.openxmlformats.org/officeDocument/2006/relationships/hyperlink" Target="http://twitter.com/josephbrinas/status/1113359138967285761" TargetMode="External"/><Relationship Id="rId654" Type="http://schemas.openxmlformats.org/officeDocument/2006/relationships/hyperlink" Target="http://twitter.com/eusebeias/status/1112878424182452224" TargetMode="External"/><Relationship Id="rId861" Type="http://schemas.openxmlformats.org/officeDocument/2006/relationships/hyperlink" Target="http://twitter.com/josferperu/status/1112936069346062336" TargetMode="External"/><Relationship Id="rId959" Type="http://schemas.openxmlformats.org/officeDocument/2006/relationships/hyperlink" Target="http://twitter.com/IvanGarciaMayer/status/1113127303310184449" TargetMode="External"/><Relationship Id="rId1284" Type="http://schemas.openxmlformats.org/officeDocument/2006/relationships/hyperlink" Target="http://twitter.com/oskarbuto/status/1113884078577737728" TargetMode="External"/><Relationship Id="rId1491" Type="http://schemas.openxmlformats.org/officeDocument/2006/relationships/hyperlink" Target="http://twitter.com/EduCruz1109/status/1114316738609414146" TargetMode="External"/><Relationship Id="rId1589" Type="http://schemas.openxmlformats.org/officeDocument/2006/relationships/hyperlink" Target="http://twitter.com/Eda2005Del/status/1114532625463508993" TargetMode="External"/><Relationship Id="rId307" Type="http://schemas.openxmlformats.org/officeDocument/2006/relationships/hyperlink" Target="http://twitter.com/SiuseAlva/status/1112767978934845440" TargetMode="External"/><Relationship Id="rId514" Type="http://schemas.openxmlformats.org/officeDocument/2006/relationships/hyperlink" Target="http://twitter.com/Vogue1913/status/1112835099878440965" TargetMode="External"/><Relationship Id="rId721" Type="http://schemas.openxmlformats.org/officeDocument/2006/relationships/hyperlink" Target="http://twitter.com/achbperu/status/1112897559364763648" TargetMode="External"/><Relationship Id="rId1144" Type="http://schemas.openxmlformats.org/officeDocument/2006/relationships/hyperlink" Target="http://twitter.com/davidashcallay/status/1113579575345405952" TargetMode="External"/><Relationship Id="rId1351" Type="http://schemas.openxmlformats.org/officeDocument/2006/relationships/hyperlink" Target="http://twitter.com/MijaelGLP/status/1114027847918727168" TargetMode="External"/><Relationship Id="rId1449" Type="http://schemas.openxmlformats.org/officeDocument/2006/relationships/hyperlink" Target="http://twitter.com/peru21noticias/status/1114223923372142592" TargetMode="External"/><Relationship Id="rId1796" Type="http://schemas.openxmlformats.org/officeDocument/2006/relationships/hyperlink" Target="http://twitter.com/AndreRojas2016/status/1114983750587301888" TargetMode="External"/><Relationship Id="rId88" Type="http://schemas.openxmlformats.org/officeDocument/2006/relationships/hyperlink" Target="http://twitter.com/rosamespule/status/1112702855826366464" TargetMode="External"/><Relationship Id="rId819" Type="http://schemas.openxmlformats.org/officeDocument/2006/relationships/hyperlink" Target="http://twitter.com/knifeandrea/status/1112925932971573248" TargetMode="External"/><Relationship Id="rId1004" Type="http://schemas.openxmlformats.org/officeDocument/2006/relationships/hyperlink" Target="http://twitter.com/EVELARDEN/status/1113219965266595845" TargetMode="External"/><Relationship Id="rId1211" Type="http://schemas.openxmlformats.org/officeDocument/2006/relationships/hyperlink" Target="http://twitter.com/RainieroLeon/status/1113701271683387392" TargetMode="External"/><Relationship Id="rId1656" Type="http://schemas.openxmlformats.org/officeDocument/2006/relationships/hyperlink" Target="http://twitter.com/dyoboxian/status/1114682343246192641" TargetMode="External"/><Relationship Id="rId1863" Type="http://schemas.openxmlformats.org/officeDocument/2006/relationships/hyperlink" Target="http://twitter.com/LuisOre_INA/status/1115129503179771904" TargetMode="External"/><Relationship Id="rId1309" Type="http://schemas.openxmlformats.org/officeDocument/2006/relationships/hyperlink" Target="http://twitter.com/Victor198/status/1113942138088239104" TargetMode="External"/><Relationship Id="rId1516" Type="http://schemas.openxmlformats.org/officeDocument/2006/relationships/hyperlink" Target="http://twitter.com/moebiugz/status/1114371957896642561" TargetMode="External"/><Relationship Id="rId1723" Type="http://schemas.openxmlformats.org/officeDocument/2006/relationships/hyperlink" Target="http://twitter.com/Manuel_de_BCN/status/1114830518074396672" TargetMode="External"/><Relationship Id="rId1930" Type="http://schemas.openxmlformats.org/officeDocument/2006/relationships/hyperlink" Target="http://twitter.com/tonamolas/status/1115267983796994048" TargetMode="External"/><Relationship Id="rId15" Type="http://schemas.openxmlformats.org/officeDocument/2006/relationships/hyperlink" Target="http://twitter.com/pelusa054/status/1112678973522264065" TargetMode="External"/><Relationship Id="rId164" Type="http://schemas.openxmlformats.org/officeDocument/2006/relationships/hyperlink" Target="http://twitter.com/Saruskka1/status/1112726328409767936" TargetMode="External"/><Relationship Id="rId371" Type="http://schemas.openxmlformats.org/officeDocument/2006/relationships/hyperlink" Target="http://twitter.com/maynorafreyreb/status/1112786748805996546" TargetMode="External"/><Relationship Id="rId469" Type="http://schemas.openxmlformats.org/officeDocument/2006/relationships/hyperlink" Target="http://twitter.com/BrumasTheBear/status/1112815472553152512" TargetMode="External"/><Relationship Id="rId676" Type="http://schemas.openxmlformats.org/officeDocument/2006/relationships/hyperlink" Target="http://twitter.com/Joguipas1/status/1112886115181182976" TargetMode="External"/><Relationship Id="rId883" Type="http://schemas.openxmlformats.org/officeDocument/2006/relationships/hyperlink" Target="http://twitter.com/Contreras2514/status/1112964950736203777" TargetMode="External"/><Relationship Id="rId1099" Type="http://schemas.openxmlformats.org/officeDocument/2006/relationships/hyperlink" Target="http://twitter.com/Neryemj/status/1113429496965869568" TargetMode="External"/><Relationship Id="rId231" Type="http://schemas.openxmlformats.org/officeDocument/2006/relationships/hyperlink" Target="http://twitter.com/CasarettoAlvaro/status/1112747555979431937" TargetMode="External"/><Relationship Id="rId329" Type="http://schemas.openxmlformats.org/officeDocument/2006/relationships/hyperlink" Target="http://twitter.com/jctafur/status/1112776353391280128" TargetMode="External"/><Relationship Id="rId536" Type="http://schemas.openxmlformats.org/officeDocument/2006/relationships/hyperlink" Target="http://twitter.com/roymanuel3/status/1112840069428252672" TargetMode="External"/><Relationship Id="rId1166" Type="http://schemas.openxmlformats.org/officeDocument/2006/relationships/hyperlink" Target="http://twitter.com/Beattriz_cr/status/1113612391831437312" TargetMode="External"/><Relationship Id="rId1373" Type="http://schemas.openxmlformats.org/officeDocument/2006/relationships/hyperlink" Target="http://twitter.com/MiguelM45020717/status/1114042632911695873" TargetMode="External"/><Relationship Id="rId743" Type="http://schemas.openxmlformats.org/officeDocument/2006/relationships/hyperlink" Target="http://twitter.com/karitomaricel/status/1112903827202756608" TargetMode="External"/><Relationship Id="rId950" Type="http://schemas.openxmlformats.org/officeDocument/2006/relationships/hyperlink" Target="http://twitter.com/frankri14641759/status/1113098051982409728" TargetMode="External"/><Relationship Id="rId1026" Type="http://schemas.openxmlformats.org/officeDocument/2006/relationships/hyperlink" Target="http://twitter.com/wauqi_prensa/status/1113277377268932608" TargetMode="External"/><Relationship Id="rId1580" Type="http://schemas.openxmlformats.org/officeDocument/2006/relationships/hyperlink" Target="http://twitter.com/NoTePutoRalles/status/1114502131900350464" TargetMode="External"/><Relationship Id="rId1678" Type="http://schemas.openxmlformats.org/officeDocument/2006/relationships/hyperlink" Target="http://twitter.com/40karatslady/status/1114741739213008897" TargetMode="External"/><Relationship Id="rId1885" Type="http://schemas.openxmlformats.org/officeDocument/2006/relationships/hyperlink" Target="http://twitter.com/RezaIsnaini/status/1115141926238339072" TargetMode="External"/><Relationship Id="rId603" Type="http://schemas.openxmlformats.org/officeDocument/2006/relationships/hyperlink" Target="http://twitter.com/PedroMarbell/status/1112860701029220352" TargetMode="External"/><Relationship Id="rId810" Type="http://schemas.openxmlformats.org/officeDocument/2006/relationships/hyperlink" Target="http://twitter.com/ConadesPeru/status/1112923806908190720" TargetMode="External"/><Relationship Id="rId908" Type="http://schemas.openxmlformats.org/officeDocument/2006/relationships/hyperlink" Target="http://twitter.com/unlolazo_/status/1112998242768351232" TargetMode="External"/><Relationship Id="rId1233" Type="http://schemas.openxmlformats.org/officeDocument/2006/relationships/hyperlink" Target="http://twitter.com/PQDInfantaria/status/1113751114485260288" TargetMode="External"/><Relationship Id="rId1440" Type="http://schemas.openxmlformats.org/officeDocument/2006/relationships/hyperlink" Target="http://twitter.com/Paulinopilco/status/1114195791986483201" TargetMode="External"/><Relationship Id="rId1538" Type="http://schemas.openxmlformats.org/officeDocument/2006/relationships/hyperlink" Target="http://twitter.com/NinaDelMar2/status/1114400531701800960" TargetMode="External"/><Relationship Id="rId1300" Type="http://schemas.openxmlformats.org/officeDocument/2006/relationships/hyperlink" Target="http://twitter.com/pe_giovanny/status/1113912026005422080" TargetMode="External"/><Relationship Id="rId1745" Type="http://schemas.openxmlformats.org/officeDocument/2006/relationships/hyperlink" Target="http://twitter.com/danielfbv/status/1114864811454730241" TargetMode="External"/><Relationship Id="rId1952" Type="http://schemas.openxmlformats.org/officeDocument/2006/relationships/hyperlink" Target="http://twitter.com/NewArguedas/status/1115326617276932096" TargetMode="External"/><Relationship Id="rId37" Type="http://schemas.openxmlformats.org/officeDocument/2006/relationships/hyperlink" Target="http://twitter.com/aqcuadipazzo/status/1112684981485273094" TargetMode="External"/><Relationship Id="rId1605" Type="http://schemas.openxmlformats.org/officeDocument/2006/relationships/hyperlink" Target="http://twitter.com/juiyoongi/status/1114563095014277120" TargetMode="External"/><Relationship Id="rId1812" Type="http://schemas.openxmlformats.org/officeDocument/2006/relationships/hyperlink" Target="http://twitter.com/houishwn/status/1115015554593693696" TargetMode="External"/><Relationship Id="rId186" Type="http://schemas.openxmlformats.org/officeDocument/2006/relationships/hyperlink" Target="http://twitter.com/PasquinDeM/status/1112734163042476033" TargetMode="External"/><Relationship Id="rId393" Type="http://schemas.openxmlformats.org/officeDocument/2006/relationships/hyperlink" Target="http://twitter.com/Medelu2/status/1112791259473760257" TargetMode="External"/><Relationship Id="rId253" Type="http://schemas.openxmlformats.org/officeDocument/2006/relationships/hyperlink" Target="http://twitter.com/FotografiaPais/status/1112754243427946497" TargetMode="External"/><Relationship Id="rId460" Type="http://schemas.openxmlformats.org/officeDocument/2006/relationships/hyperlink" Target="http://twitter.com/angeluz276/status/1112814006039928832" TargetMode="External"/><Relationship Id="rId698" Type="http://schemas.openxmlformats.org/officeDocument/2006/relationships/hyperlink" Target="http://twitter.com/ContactoN_/status/1112891811255734272" TargetMode="External"/><Relationship Id="rId1090" Type="http://schemas.openxmlformats.org/officeDocument/2006/relationships/hyperlink" Target="http://twitter.com/EMigueeee/status/1113390112006660096" TargetMode="External"/><Relationship Id="rId113" Type="http://schemas.openxmlformats.org/officeDocument/2006/relationships/hyperlink" Target="http://twitter.com/HuberRamos8/status/1112707925737377797" TargetMode="External"/><Relationship Id="rId320" Type="http://schemas.openxmlformats.org/officeDocument/2006/relationships/hyperlink" Target="http://twitter.com/sirgundo/status/1112774751129264128" TargetMode="External"/><Relationship Id="rId558" Type="http://schemas.openxmlformats.org/officeDocument/2006/relationships/hyperlink" Target="http://twitter.com/FITOWORLD/status/1112848862027374592" TargetMode="External"/><Relationship Id="rId765" Type="http://schemas.openxmlformats.org/officeDocument/2006/relationships/hyperlink" Target="http://twitter.com/EricF85046784/status/1112909475764232194" TargetMode="External"/><Relationship Id="rId972" Type="http://schemas.openxmlformats.org/officeDocument/2006/relationships/hyperlink" Target="http://twitter.com/RainieroLeon/status/1113157064967303168" TargetMode="External"/><Relationship Id="rId1188" Type="http://schemas.openxmlformats.org/officeDocument/2006/relationships/hyperlink" Target="http://twitter.com/yanay_asiri/status/1113667182800580608" TargetMode="External"/><Relationship Id="rId1395" Type="http://schemas.openxmlformats.org/officeDocument/2006/relationships/hyperlink" Target="http://twitter.com/EdgarTrejoCuent/status/1114094656948719616" TargetMode="External"/><Relationship Id="rId418" Type="http://schemas.openxmlformats.org/officeDocument/2006/relationships/hyperlink" Target="http://twitter.com/MaribelToledo/status/1112801555181436928" TargetMode="External"/><Relationship Id="rId625" Type="http://schemas.openxmlformats.org/officeDocument/2006/relationships/hyperlink" Target="http://twitter.com/Larissa33848195/status/1112868713085239296" TargetMode="External"/><Relationship Id="rId832" Type="http://schemas.openxmlformats.org/officeDocument/2006/relationships/hyperlink" Target="http://twitter.com/jarbulua1/status/1112928270998175744" TargetMode="External"/><Relationship Id="rId1048" Type="http://schemas.openxmlformats.org/officeDocument/2006/relationships/hyperlink" Target="http://twitter.com/freeheel3/status/1113322550224777222" TargetMode="External"/><Relationship Id="rId1255" Type="http://schemas.openxmlformats.org/officeDocument/2006/relationships/hyperlink" Target="http://twitter.com/RouseCJ/status/1113822355564978176" TargetMode="External"/><Relationship Id="rId1462" Type="http://schemas.openxmlformats.org/officeDocument/2006/relationships/hyperlink" Target="http://twitter.com/cuscopolitan/status/1114252700974292992" TargetMode="External"/><Relationship Id="rId1115" Type="http://schemas.openxmlformats.org/officeDocument/2006/relationships/hyperlink" Target="http://twitter.com/glomuri64/status/1113459754549092353" TargetMode="External"/><Relationship Id="rId1322" Type="http://schemas.openxmlformats.org/officeDocument/2006/relationships/hyperlink" Target="http://twitter.com/Arya_Tyrion/status/1113971796389376002" TargetMode="External"/><Relationship Id="rId1767" Type="http://schemas.openxmlformats.org/officeDocument/2006/relationships/hyperlink" Target="http://twitter.com/JuliResp/status/1114923880509059072" TargetMode="External"/><Relationship Id="rId1974" Type="http://schemas.openxmlformats.org/officeDocument/2006/relationships/hyperlink" Target="http://twitter.com/CentenoRenata/status/1115356489210847232" TargetMode="External"/><Relationship Id="rId59" Type="http://schemas.openxmlformats.org/officeDocument/2006/relationships/hyperlink" Target="http://twitter.com/Ubillus10/status/1112691260584849408" TargetMode="External"/><Relationship Id="rId1627" Type="http://schemas.openxmlformats.org/officeDocument/2006/relationships/hyperlink" Target="http://twitter.com/MrHikkigaya/status/1114622418855911424" TargetMode="External"/><Relationship Id="rId1834" Type="http://schemas.openxmlformats.org/officeDocument/2006/relationships/hyperlink" Target="http://twitter.com/Iraqundo/status/1115073924377796615" TargetMode="External"/><Relationship Id="rId1901" Type="http://schemas.openxmlformats.org/officeDocument/2006/relationships/hyperlink" Target="http://twitter.com/AUGUSTO86321713/status/1115197665166467074" TargetMode="External"/><Relationship Id="rId275" Type="http://schemas.openxmlformats.org/officeDocument/2006/relationships/hyperlink" Target="http://twitter.com/giancarlo1413/status/1112758761129676800" TargetMode="External"/><Relationship Id="rId482" Type="http://schemas.openxmlformats.org/officeDocument/2006/relationships/hyperlink" Target="http://twitter.com/PatriRguezD/status/1112823227628376065" TargetMode="External"/><Relationship Id="rId135" Type="http://schemas.openxmlformats.org/officeDocument/2006/relationships/hyperlink" Target="http://twitter.com/braches1/status/1112716584429199360" TargetMode="External"/><Relationship Id="rId342" Type="http://schemas.openxmlformats.org/officeDocument/2006/relationships/hyperlink" Target="http://twitter.com/Vogue1913/status/1112779164627681286" TargetMode="External"/><Relationship Id="rId787" Type="http://schemas.openxmlformats.org/officeDocument/2006/relationships/hyperlink" Target="http://twitter.com/marianalup/status/1112916396848107520" TargetMode="External"/><Relationship Id="rId994" Type="http://schemas.openxmlformats.org/officeDocument/2006/relationships/hyperlink" Target="http://twitter.com/elialegre13/status/1113217826976862209" TargetMode="External"/><Relationship Id="rId202" Type="http://schemas.openxmlformats.org/officeDocument/2006/relationships/hyperlink" Target="http://twitter.com/FELUCO17/status/1112739154910212098" TargetMode="External"/><Relationship Id="rId647" Type="http://schemas.openxmlformats.org/officeDocument/2006/relationships/hyperlink" Target="http://twitter.com/ComoEnLaCombi/status/1112877682755289089" TargetMode="External"/><Relationship Id="rId854" Type="http://schemas.openxmlformats.org/officeDocument/2006/relationships/hyperlink" Target="http://twitter.com/petroeras2/status/1112935091016105984" TargetMode="External"/><Relationship Id="rId1277" Type="http://schemas.openxmlformats.org/officeDocument/2006/relationships/hyperlink" Target="http://twitter.com/joralh3/status/1113851528257986561" TargetMode="External"/><Relationship Id="rId1484" Type="http://schemas.openxmlformats.org/officeDocument/2006/relationships/hyperlink" Target="http://twitter.com/Xtodependiente/status/1114288993980403712" TargetMode="External"/><Relationship Id="rId1691" Type="http://schemas.openxmlformats.org/officeDocument/2006/relationships/hyperlink" Target="http://twitter.com/danielat185v/status/1114764685503541249" TargetMode="External"/><Relationship Id="rId507" Type="http://schemas.openxmlformats.org/officeDocument/2006/relationships/hyperlink" Target="http://twitter.com/Inka_Awki_Capac/status/1112831077847130112" TargetMode="External"/><Relationship Id="rId714" Type="http://schemas.openxmlformats.org/officeDocument/2006/relationships/hyperlink" Target="http://twitter.com/Leodas13/status/1112895302774685698" TargetMode="External"/><Relationship Id="rId921" Type="http://schemas.openxmlformats.org/officeDocument/2006/relationships/hyperlink" Target="http://twitter.com/danielfbv/status/1113029887651020801" TargetMode="External"/><Relationship Id="rId1137" Type="http://schemas.openxmlformats.org/officeDocument/2006/relationships/hyperlink" Target="http://twitter.com/CosmePalpan/status/1113518130599485442" TargetMode="External"/><Relationship Id="rId1344" Type="http://schemas.openxmlformats.org/officeDocument/2006/relationships/hyperlink" Target="http://twitter.com/perusaltado/status/1113999924423725057" TargetMode="External"/><Relationship Id="rId1551" Type="http://schemas.openxmlformats.org/officeDocument/2006/relationships/hyperlink" Target="http://twitter.com/afoutezalimon/status/1114433385299099650" TargetMode="External"/><Relationship Id="rId1789" Type="http://schemas.openxmlformats.org/officeDocument/2006/relationships/hyperlink" Target="http://twitter.com/JrMiningNews/status/1114953973176459265" TargetMode="External"/><Relationship Id="rId1996" Type="http://schemas.openxmlformats.org/officeDocument/2006/relationships/hyperlink" Target="http://twitter.com/Cluzcar/status/1115416966993522693" TargetMode="External"/><Relationship Id="rId50" Type="http://schemas.openxmlformats.org/officeDocument/2006/relationships/hyperlink" Target="http://twitter.com/SILVYTA27/status/1112689874698670081" TargetMode="External"/><Relationship Id="rId1204" Type="http://schemas.openxmlformats.org/officeDocument/2006/relationships/hyperlink" Target="http://twitter.com/SOS52980067/status/1113687993729024000" TargetMode="External"/><Relationship Id="rId1411" Type="http://schemas.openxmlformats.org/officeDocument/2006/relationships/hyperlink" Target="http://twitter.com/sinmentiraaqui5/status/1114137159815110656" TargetMode="External"/><Relationship Id="rId1649" Type="http://schemas.openxmlformats.org/officeDocument/2006/relationships/hyperlink" Target="http://twitter.com/Zelatod/status/1114680967967457285" TargetMode="External"/><Relationship Id="rId1856" Type="http://schemas.openxmlformats.org/officeDocument/2006/relationships/hyperlink" Target="http://twitter.com/JorgeEv27674587/status/1115100108251643904" TargetMode="External"/><Relationship Id="rId1509" Type="http://schemas.openxmlformats.org/officeDocument/2006/relationships/hyperlink" Target="http://twitter.com/medelin_torres/status/1114346870808174592" TargetMode="External"/><Relationship Id="rId1716" Type="http://schemas.openxmlformats.org/officeDocument/2006/relationships/hyperlink" Target="http://twitter.com/Mayumaca/status/1114800803645218816" TargetMode="External"/><Relationship Id="rId1923" Type="http://schemas.openxmlformats.org/officeDocument/2006/relationships/hyperlink" Target="http://twitter.com/CuscoChinchero3/status/1115266829595893761" TargetMode="External"/><Relationship Id="rId297" Type="http://schemas.openxmlformats.org/officeDocument/2006/relationships/hyperlink" Target="http://twitter.com/peruenlanoticia/status/11127655169622835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500"/>
  <sheetViews>
    <sheetView topLeftCell="A482" workbookViewId="0">
      <selection activeCell="B504" sqref="B504"/>
    </sheetView>
  </sheetViews>
  <sheetFormatPr baseColWidth="10" defaultColWidth="12.6640625" defaultRowHeight="15" customHeight="1" x14ac:dyDescent="0.15"/>
  <cols>
    <col min="1" max="1" width="12.6640625" customWidth="1"/>
    <col min="2" max="2" width="36.83203125" customWidth="1"/>
    <col min="3" max="5" width="12.6640625" customWidth="1"/>
  </cols>
  <sheetData>
    <row r="1" spans="1:4" ht="15.75" customHeight="1" x14ac:dyDescent="0.15">
      <c r="A1" s="1" t="s">
        <v>0</v>
      </c>
      <c r="B1" s="3" t="str">
        <f ca="1">IFERROR(__xludf.DUMMYFUNCTION("GOOGLETRANSLATE(B1,""es"",""en"")"),"Las Bambas Case: Peruvian farmers against a foreign mining project... https://t.co/itWYan1NeC")</f>
        <v>Las Bambas Case: Peruvian farmers against a foreign mining project... https://t.co/itWYan1NeC</v>
      </c>
      <c r="C1" s="2" t="s">
        <v>1</v>
      </c>
      <c r="D1" s="1" t="s">
        <v>2</v>
      </c>
    </row>
    <row r="2" spans="1:4" ht="15.75" customHeight="1" x14ac:dyDescent="0.15">
      <c r="A2" s="1" t="s">
        <v>0</v>
      </c>
      <c r="B2" s="3" t="str">
        <f ca="1">IFERROR(__xludf.DUMMYFUNCTION("GOOGLETRANSLATE(B2,""es"",""en"")"),"Las Bambas Case: Peruvian farmers against a foreign mining project... https://t.co/OrMkhlr7d5")</f>
        <v>Las Bambas Case: Peruvian farmers against a foreign mining project... https://t.co/OrMkhlr7d5</v>
      </c>
      <c r="C2" s="2" t="s">
        <v>3</v>
      </c>
      <c r="D2" s="1" t="s">
        <v>4</v>
      </c>
    </row>
    <row r="3" spans="1:4" ht="15.75" customHeight="1" x14ac:dyDescent="0.15">
      <c r="A3" s="1" t="s">
        <v>5</v>
      </c>
      <c r="B3" s="3" t="str">
        <f ca="1">IFERROR(__xludf.DUMMYFUNCTION("GOOGLETRANSLATE(B3,""es"",""en"")"),"@javicomendador @Vdot_Spain @houssameB @JomaSport There are those who believe that you wear certain sneakers, and a guaranteed brand. Less marketing and more training")</f>
        <v>@javicomendador @Vdot_Spain @houssameB @JomaSport There are those who believe that you wear certain sneakers, and a guaranteed brand. Less marketing and more training</v>
      </c>
      <c r="C3" s="2" t="s">
        <v>6</v>
      </c>
      <c r="D3" s="1" t="s">
        <v>4</v>
      </c>
    </row>
    <row r="4" spans="1:4" ht="15.75" customHeight="1" x14ac:dyDescent="0.15">
      <c r="A4" s="1" t="s">
        <v>7</v>
      </c>
      <c r="B4" s="3" t="str">
        <f ca="1">IFERROR(__xludf.DUMMYFUNCTION("GOOGLETRANSLATE(B4,""es"",""en"")"),"José De Echave talked about Las Bambas with Sol Carreño. He is a director of Cooperación, an anti-extractivist NGO that receives funds from the Open Society like its ""allies"". Abel Gilvonio works there, son of terrorists and a communist who attacked the"&amp;"... https://t.co/viQMIGeRrZ")</f>
        <v>José De Echave talked about Las Bambas with Sol Carreño. He is a director of Cooperación, an anti-extractivist NGO that receives funds from the Open Society like its "allies". Abel Gilvonio works there, son of terrorists and a communist who attacked the... https://t.co/viQMIGeRrZ</v>
      </c>
      <c r="C4" s="2" t="s">
        <v>8</v>
      </c>
      <c r="D4" s="1" t="s">
        <v>4</v>
      </c>
    </row>
    <row r="5" spans="1:4" ht="15.75" customHeight="1" x14ac:dyDescent="0.15">
      <c r="A5" s="1" t="s">
        <v>9</v>
      </c>
      <c r="B5" s="3" t="str">
        <f ca="1">IFERROR(__xludf.DUMMYFUNCTION("GOOGLETRANSLATE(B5,""es"",""en"")"),"Las Bambas Case: Peruvian farmers against a foreign mining project https://t.co/kA0fkYAjPc")</f>
        <v>Las Bambas Case: Peruvian farmers against a foreign mining project https://t.co/kA0fkYAjPc</v>
      </c>
      <c r="C5" s="2" t="s">
        <v>10</v>
      </c>
      <c r="D5" s="1" t="s">
        <v>11</v>
      </c>
    </row>
    <row r="6" spans="1:4" ht="15.75" customHeight="1" x14ac:dyDescent="0.15">
      <c r="A6" s="1" t="s">
        <v>12</v>
      </c>
      <c r="B6" s="3" t="str">
        <f ca="1">IFERROR(__xludf.DUMMYFUNCTION("GOOGLETRANSLATE(B6,""es"",""en"")"),"@_CarlitaRocha @gvillasis @elcomercio_peru @YeniVilcatoma2 @alvarosarco @ugluis @TRICICLODELPERU @eudmed @jorgevillenal @manifiesto_peru @Vponce64 @PasquinDeM @alfonsobaella @DN_Mariano The ""specialists"" say that the decline is due to the problem of the"&amp;" Sneakers... When without being a specialist I know that the downturn is due to the #inept BAMBA government")</f>
        <v>@_CarlitaRocha @gvillasis @elcomercio_peru @YeniVilcatoma2 @alvarosarco @ugluis @TRICICLODELPERU @eudmed @jorgevillenal @manifiesto_peru @Vponce64 @PasquinDeM @alfonsobaella @DN_Mariano The "specialists" say that the decline is due to the problem of the Sneakers... When without being a specialist I know that the downturn is due to the #inept BAMBA government</v>
      </c>
      <c r="C6" s="2" t="s">
        <v>13</v>
      </c>
      <c r="D6" s="1" t="s">
        <v>11</v>
      </c>
    </row>
    <row r="7" spans="1:4" ht="15.75" customHeight="1" x14ac:dyDescent="0.15">
      <c r="A7" s="1" t="s">
        <v>14</v>
      </c>
      <c r="B7" s="3" t="str">
        <f ca="1">IFERROR(__xludf.DUMMYFUNCTION("GOOGLETRANSLATE(B7,""es"",""en"")"),"RT @socioperiodismo: Today in Cuarto Poder, a complete analysis of what is happening in Las Bambas and all the lessons that we have not yet learned as a society or as a state.")</f>
        <v>RT @socioperiodismo: Today in Cuarto Poder, a complete analysis of what is happening in Las Bambas and all the lessons that we have not yet learned as a society or as a state.</v>
      </c>
      <c r="C7" s="2" t="s">
        <v>15</v>
      </c>
      <c r="D7" s="1" t="s">
        <v>11</v>
      </c>
    </row>
    <row r="8" spans="1:4" ht="15.75" customHeight="1" x14ac:dyDescent="0.15">
      <c r="A8" s="1" t="s">
        <v>16</v>
      </c>
      <c r="B8" s="3" t="str">
        <f ca="1">IFERROR(__xludf.DUMMYFUNCTION("GOOGLETRANSLATE(B8,""es"",""en"")"),"RT @aleskrause: If you are looking to understand the origin of the conflict in Las Bambas, I suggest you read this article by Madeleine Osterling. Very clear.  https://t.co/SBywlaZCe8")</f>
        <v>RT @aleskrause: If you are looking to understand the origin of the conflict in Las Bambas, I suggest you read this article by Madeleine Osterling. Very clear.  https://t.co/SBywlaZCe8</v>
      </c>
      <c r="C8" s="2" t="s">
        <v>17</v>
      </c>
      <c r="D8" s="1" t="s">
        <v>18</v>
      </c>
    </row>
    <row r="9" spans="1:4" ht="15.75" customHeight="1" x14ac:dyDescent="0.15">
      <c r="A9" s="1" t="s">
        <v>19</v>
      </c>
      <c r="B9" s="3" t="str">
        <f ca="1">IFERROR(__xludf.DUMMYFUNCTION("GOOGLETRANSLATE(B9,""es"",""en"")"),"RT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9" s="2" t="s">
        <v>20</v>
      </c>
      <c r="D9" s="1" t="s">
        <v>21</v>
      </c>
    </row>
    <row r="10" spans="1:4" ht="15.75" customHeight="1" x14ac:dyDescent="0.15">
      <c r="A10" s="1" t="s">
        <v>22</v>
      </c>
      <c r="B10" s="3" t="str">
        <f ca="1">IFERROR(__xludf.DUMMYFUNCTION("GOOGLETRANSLATE(B10,""es"",""en"")"),"RT @AlfredoMTorres: What's new about Las Bambas is that the Police did intelligence work that detected the extortion and the Prosecutor's Office has acted. It must be clear that blocking roads and extortion are crimes with legal consequences. https://t.co"&amp;"/YIdKntz3RG via @elcomercio_peru")</f>
        <v>RT @AlfredoMTorres: What's new about Las Bambas is that the Police did intelligence work that detected the extortion and the Prosecutor's Office has acted. It must be clear that blocking roads and extortion are crimes with legal consequences. https://t.co/YIdKntz3RG via @elcomercio_peru</v>
      </c>
      <c r="C10" s="2" t="s">
        <v>23</v>
      </c>
      <c r="D10" s="1" t="s">
        <v>24</v>
      </c>
    </row>
    <row r="11" spans="1:4" ht="15.75" customHeight="1" x14ac:dyDescent="0.15">
      <c r="A11" s="1" t="s">
        <v>25</v>
      </c>
      <c r="B11" s="3" t="str">
        <f ca="1">IFERROR(__xludf.DUMMYFUNCTION("GOOGLETRANSLATE(B11,""es"",""en"")"),"#PoliticaEM #ElMontonero
Business and communities should unite in demands
Follow us on:
FB: https://t.co/8BN6IGtfbu
Youtube: https://t.co/x2WH9Dyq6f
More Articles: https://t.co/4sbQL43f0Q
#Mining #SocialConflicts #LasBambas 
https://t.co/o22NPeAr6k")</f>
        <v>#PoliticaEM #ElMontonero
Business and communities should unite in demands
Follow us on:
FB: https://t.co/8BN6IGtfbu
Youtube: https://t.co/x2WH9Dyq6f
More Articles: https://t.co/4sbQL43f0Q
#Mining #SocialConflicts #LasBambas 
https://t.co/o22NPeAr6k</v>
      </c>
      <c r="C11" s="2" t="s">
        <v>26</v>
      </c>
      <c r="D11" s="1" t="s">
        <v>27</v>
      </c>
    </row>
    <row r="12" spans="1:4" ht="15.75" customHeight="1" x14ac:dyDescent="0.15">
      <c r="A12" s="1" t="s">
        <v>28</v>
      </c>
      <c r="B12" s="3" t="str">
        <f ca="1">IFERROR(__xludf.DUMMYFUNCTION("GOOGLETRANSLATE(B12,""es"",""en"")"),"RT @vozdelatierra: It's not just Las Bambas. In Huamachuco, La Libertad, yesterday, EIGHT informal mining workers died due to alleged air pollution. Who answers? Just wash your hands in GoRe de La Libertad? @MemPeru @congresoperu https://t.co/lIDRthwD2Y")</f>
        <v>RT @vozdelatierra: It's not just Las Bambas. In Huamachuco, La Libertad, yesterday, EIGHT informal mining workers died due to alleged air pollution. Who answers? Just wash your hands in GoRe de La Libertad? @MemPeru @congresoperu https://t.co/lIDRthwD2Y</v>
      </c>
      <c r="C12" s="2" t="s">
        <v>29</v>
      </c>
      <c r="D12" s="1" t="s">
        <v>27</v>
      </c>
    </row>
    <row r="13" spans="1:4" ht="15.75" customHeight="1" x14ac:dyDescent="0.15">
      <c r="A13" s="1" t="s">
        <v>30</v>
      </c>
      <c r="B13" s="3" t="str">
        <f ca="1">IFERROR(__xludf.DUMMYFUNCTION("GOOGLETRANSLATE(B13,""es"",""en"")"),"RT @jsaldanacuba: Brilliant article by Alfredo Torres about Las Bambas. He summarizes everything in the final sentence: ""The author is executive president of Ipsos Perú. The company has carried out studies for Las Bambas."" 
If I started there, there wa"&amp;"s no need to waste time reading more.
https://t.co/MB24a8kEgQ")</f>
        <v>RT @jsaldanacuba: Brilliant article by Alfredo Torres about Las Bambas. He summarizes everything in the final sentence: "The author is executive president of Ipsos Perú. The company has carried out studies for Las Bambas." 
If I started there, there was no need to waste time reading more.
https://t.co/MB24a8kEgQ</v>
      </c>
      <c r="C13" s="2" t="s">
        <v>31</v>
      </c>
      <c r="D13" s="1" t="s">
        <v>27</v>
      </c>
    </row>
    <row r="14" spans="1:4" ht="15.75" customHeight="1" x14ac:dyDescent="0.15">
      <c r="A14" s="1" t="s">
        <v>32</v>
      </c>
      <c r="B14" s="3" t="str">
        <f ca="1">IFERROR(__xludf.DUMMYFUNCTION("GOOGLETRANSLATE(B14,""es"",""en"")"),"THE BAMBAS
CORRUPTION AT THE HIGHEST LEVEL 
HUMALA-PPK-VIZCARRA")</f>
        <v>THE BAMBAS
CORRUPTION AT THE HIGHEST LEVEL 
HUMALA-PPK-VIZCARRA</v>
      </c>
      <c r="C14" s="2" t="s">
        <v>33</v>
      </c>
      <c r="D14" s="1" t="s">
        <v>27</v>
      </c>
    </row>
    <row r="15" spans="1:4" ht="15.75" customHeight="1" x14ac:dyDescent="0.15">
      <c r="A15" s="1" t="s">
        <v>34</v>
      </c>
      <c r="B15" s="3" t="str">
        <f ca="1">IFERROR(__xludf.DUMMYFUNCTION("GOOGLETRANSLATE(B15,""es"",""en"")"),"RT @totalclaridad: @ugluis @pelusa054 Instead of using those 1650 MM on the paving of the Las Bambas highway, this INEPTO @MartinVizcarraC prefers to allocate them for consultancies.
Meanwhile we have a promise to build 3 schools per day.
But everything "&amp;"has a solution for that casual president: A referendum,")</f>
        <v>RT @totalclaridad: @ugluis @pelusa054 Instead of using those 1650 MM on the paving of the Las Bambas highway, this INEPTO @MartinVizcarraC prefers to allocate them for consultancies.
Meanwhile we have a promise to build 3 schools per day.
But everything has a solution for that casual president: A referendum,</v>
      </c>
      <c r="C15" s="2" t="s">
        <v>35</v>
      </c>
      <c r="D15" s="1" t="s">
        <v>36</v>
      </c>
    </row>
    <row r="16" spans="1:4" ht="15.75" customHeight="1" x14ac:dyDescent="0.15">
      <c r="A16" s="1" t="s">
        <v>37</v>
      </c>
      <c r="B16" s="3" t="str">
        <f ca="1">IFERROR(__xludf.DUMMYFUNCTION("GOOGLETRANSLATE(B16,""es"",""en"")"),"@exitosape AFP, Las Bambas, Justice Reform, High Salaries of Public Officials that should not exceed S/15,000")</f>
        <v>@exitosape AFP, Las Bambas, Justice Reform, High Salaries of Public Officials that should not exceed S/15,000</v>
      </c>
      <c r="C16" s="2" t="s">
        <v>38</v>
      </c>
      <c r="D16" s="1" t="s">
        <v>36</v>
      </c>
    </row>
    <row r="17" spans="1:4" ht="15.75" customHeight="1" x14ac:dyDescent="0.15">
      <c r="A17" s="1" t="s">
        <v>39</v>
      </c>
      <c r="B17" s="3" t="str">
        <f ca="1">IFERROR(__xludf.DUMMYFUNCTION("GOOGLETRANSLATE(B17,""es"",""en"")"),"@vozdelatierra @congresoperu Possible responses from JDC: ""the responsibility lies with Planillas, it was passed on to them, they are human, it can happen to anyone, the money is returned and that's it, it is due to Vizcarra's drop in the polls, a curtai"&amp;"n due to conflict de las Bambas, the communists "".. etc")</f>
        <v>@vozdelatierra @congresoperu Possible responses from JDC: "the responsibility lies with Planillas, it was passed on to them, they are human, it can happen to anyone, the money is returned and that's it, it is due to Vizcarra's drop in the polls, a curtain due to conflict de las Bambas, the communists ".. etc</v>
      </c>
      <c r="C17" s="2" t="s">
        <v>40</v>
      </c>
      <c r="D17" s="1" t="s">
        <v>41</v>
      </c>
    </row>
    <row r="18" spans="1:4" ht="15.75" customHeight="1" x14ac:dyDescent="0.15">
      <c r="A18" s="1" t="s">
        <v>0</v>
      </c>
      <c r="B18" s="3" t="str">
        <f ca="1">IFERROR(__xludf.DUMMYFUNCTION("GOOGLETRANSLATE(B18,""es"",""en"")"),"Las Bambas Case: Peruvian farmers against a foreign mining project... https://t.co/061ggAH2ih")</f>
        <v>Las Bambas Case: Peruvian farmers against a foreign mining project... https://t.co/061ggAH2ih</v>
      </c>
      <c r="C18" s="2" t="s">
        <v>42</v>
      </c>
      <c r="D18" s="1" t="s">
        <v>43</v>
      </c>
    </row>
    <row r="19" spans="1:4" ht="15.75" customHeight="1" x14ac:dyDescent="0.15">
      <c r="A19" s="1" t="s">
        <v>0</v>
      </c>
      <c r="B19" s="3" t="str">
        <f ca="1">IFERROR(__xludf.DUMMYFUNCTION("GOOGLETRANSLATE(B19,""es"",""en"")"),"Andean community leader asks for dialogue with the Peruvian Government about the Las Bambas mine... https://t.co/tufEjdKZbv")</f>
        <v>Andean community leader asks for dialogue with the Peruvian Government about the Las Bambas mine... https://t.co/tufEjdKZbv</v>
      </c>
      <c r="C19" s="2" t="s">
        <v>44</v>
      </c>
      <c r="D19" s="1" t="s">
        <v>43</v>
      </c>
    </row>
    <row r="20" spans="1:4" ht="15.75" customHeight="1" x14ac:dyDescent="0.15">
      <c r="A20" s="1" t="s">
        <v>45</v>
      </c>
      <c r="B20" s="3" t="str">
        <f ca="1">IFERROR(__xludf.DUMMYFUNCTION("GOOGLETRANSLATE(B20,""es"",""en"")"),"RT @tema0902: I don't understand how @AlanGarciaPeru CRITICIZES THE GOVERNMENT, with what morals if it has crime, money laundering, delinquency, No reconstruction in Pisco, Narco Pardons, Massacre in the Frontón, El Baguazo, Dólar Muc, bribes from ODB, Pe"&amp;"troaudios. DO YOU LIKE TROLLING?
https://t.co/fWoMHDzIHG")</f>
        <v>RT @tema0902: I don't understand how @AlanGarciaPeru CRITICIZES THE GOVERNMENT, with what morals if it has crime, money laundering, delinquency, No reconstruction in Pisco, Narco Pardons, Massacre in the Frontón, El Baguazo, Dólar Muc, bribes from ODB, Petroaudios. DO YOU LIKE TROLLING?
https://t.co/fWoMHDzIHG</v>
      </c>
      <c r="C20" s="2" t="s">
        <v>46</v>
      </c>
      <c r="D20" s="1" t="s">
        <v>47</v>
      </c>
    </row>
    <row r="21" spans="1:4" ht="15.75" customHeight="1" x14ac:dyDescent="0.15">
      <c r="A21" s="1" t="s">
        <v>48</v>
      </c>
      <c r="B21" s="3" t="str">
        <f ca="1">IFERROR(__xludf.DUMMYFUNCTION("GOOGLETRANSLATE(B21,""es"",""en"")"),"To com as pernas bambas")</f>
        <v>To com as pernas bambas</v>
      </c>
      <c r="C21" s="2" t="s">
        <v>49</v>
      </c>
      <c r="D21" s="1" t="s">
        <v>47</v>
      </c>
    </row>
    <row r="22" spans="1:4" ht="15.75" customHeight="1" x14ac:dyDescent="0.15">
      <c r="A22" s="1" t="s">
        <v>50</v>
      </c>
      <c r="B22" s="3" t="str">
        <f ca="1">IFERROR(__xludf.DUMMYFUNCTION("GOOGLETRANSLATE(B22,""es"",""en"")"),"RT @Gestionpe: Las Bambas: State willing to pay more than S/ 300 million to communities https://t.co/HoCbdHF9jp via @Gestionpe https://t.co/TvFzaRUmS6")</f>
        <v>RT @Gestionpe: Las Bambas: State willing to pay more than S/ 300 million to communities https://t.co/HoCbdHF9jp via @Gestionpe https://t.co/TvFzaRUmS6</v>
      </c>
      <c r="C22" s="2" t="s">
        <v>51</v>
      </c>
      <c r="D22" s="1" t="s">
        <v>52</v>
      </c>
    </row>
    <row r="23" spans="1:4" ht="15.75" customHeight="1" x14ac:dyDescent="0.15">
      <c r="A23" s="1" t="s">
        <v>53</v>
      </c>
      <c r="B23" s="3" t="str">
        <f ca="1">IFERROR(__xludf.DUMMYFUNCTION("GOOGLETRANSLATE(B23,""es"",""en"")"),"RT @EddyMartin1976: @abelgilvonio @claudiacisneros @julioguzmanperu Claudia, he already gave his opinion on the issue of sneakers, political and judicial reform in various spaces")</f>
        <v>RT @EddyMartin1976: @abelgilvonio @claudiacisneros @julioguzmanperu Claudia, he already gave his opinion on the issue of sneakers, political and judicial reform in various spaces</v>
      </c>
      <c r="C23" s="2" t="s">
        <v>54</v>
      </c>
      <c r="D23" s="1" t="s">
        <v>55</v>
      </c>
    </row>
    <row r="24" spans="1:4" ht="15.75" customHeight="1" x14ac:dyDescent="0.15">
      <c r="A24" s="1" t="s">
        <v>56</v>
      </c>
      <c r="B24" s="3" t="str">
        <f ca="1">IFERROR(__xludf.DUMMYFUNCTION("GOOGLETRANSLATE(B24,""es"",""en"")"),"RT @JoseNoriega1969: 2 years ago it was said that PPK was one of the owners of the company that has the 400 trucks in Las Bambas, are you going to be outraged or investigate about it? I say this to the lowly press that acts stupid when it comes to PPK.")</f>
        <v>RT @JoseNoriega1969: 2 years ago it was said that PPK was one of the owners of the company that has the 400 trucks in Las Bambas, are you going to be outraged or investigate about it? I say this to the lowly press that acts stupid when it comes to PPK.</v>
      </c>
      <c r="C24" s="2" t="s">
        <v>57</v>
      </c>
      <c r="D24" s="1" t="s">
        <v>58</v>
      </c>
    </row>
    <row r="25" spans="1:4" ht="15.75" customHeight="1" x14ac:dyDescent="0.15">
      <c r="A25" s="1" t="s">
        <v>59</v>
      </c>
      <c r="B25" s="3" t="str">
        <f ca="1">IFERROR(__xludf.DUMMYFUNCTION("GOOGLETRANSLATE(B25,""es"",""en"")"),"RT @jctafur: Let's see if Las Bambas wakes up a government that has lost its compass and that if it persists in that mood, it will condemn the brand new Del Solar cabinet to being a failed bet. On the subject, I invite you to read my Sunday column in La R"&amp;"epública https://t.co/W52lbRPE52")</f>
        <v>RT @jctafur: Let's see if Las Bambas wakes up a government that has lost its compass and that if it persists in that mood, it will condemn the brand new Del Solar cabinet to being a failed bet. On the subject, I invite you to read my Sunday column in La República https://t.co/W52lbRPE52</v>
      </c>
      <c r="C25" s="2" t="s">
        <v>60</v>
      </c>
      <c r="D25" s="1" t="s">
        <v>61</v>
      </c>
    </row>
    <row r="26" spans="1:4" ht="15.75" customHeight="1" x14ac:dyDescent="0.15">
      <c r="A26" s="1" t="s">
        <v>30</v>
      </c>
      <c r="B26" s="3" t="str">
        <f ca="1">IFERROR(__xludf.DUMMYFUNCTION("GOOGLETRANSLATE(B26,""es"",""en"")"),"RT @jdeechave: José de Echave: “A community is not a criminal organization” https://t.co/LjfwkKhfi4 via @elcomercio_peru")</f>
        <v>RT @jdeechave: José de Echave: “A community is not a criminal organization” https://t.co/LjfwkKhfi4 via @elcomercio_peru</v>
      </c>
      <c r="C26" s="2" t="s">
        <v>62</v>
      </c>
      <c r="D26" s="1" t="s">
        <v>61</v>
      </c>
    </row>
    <row r="27" spans="1:4" ht="15.75" customHeight="1" x14ac:dyDescent="0.15">
      <c r="A27" s="1" t="s">
        <v>53</v>
      </c>
      <c r="B27" s="3" t="str">
        <f ca="1">IFERROR(__xludf.DUMMYFUNCTION("GOOGLETRANSLATE(B27,""es"",""en"")"),"RT @radio_santarosa: #INTERVIEW|| The leader of the Morado party, Julio Guzmán, considered that the sneakers case could be a deficient point for the Government of Martín Vizcarra, adding that all authorities have responsibility in the issue. 
https://t.co"&amp;"/yvPD3qvoZf")</f>
        <v>RT @radio_santarosa: #INTERVIEW|| The leader of the Morado party, Julio Guzmán, considered that the sneakers case could be a deficient point for the Government of Martín Vizcarra, adding that all authorities have responsibility in the issue. 
https://t.co/yvPD3qvoZf</v>
      </c>
      <c r="C27" s="2" t="s">
        <v>63</v>
      </c>
      <c r="D27" s="1" t="s">
        <v>64</v>
      </c>
    </row>
    <row r="28" spans="1:4" ht="15.75" customHeight="1" x14ac:dyDescent="0.15">
      <c r="A28" s="1" t="s">
        <v>65</v>
      </c>
      <c r="B28" s="3" t="str">
        <f ca="1">IFERROR(__xludf.DUMMYFUNCTION("GOOGLETRANSLATE(B28,""es"",""en"")"),"LET'S PUT YOUR PANTS ON, OR DO THEY NOT EXIST?
#LasBambas Speak, president!, by Federico Salazar, clearer? https://t.co/JqCI4KfRHS")</f>
        <v>LET'S PUT YOUR PANTS ON, OR DO THEY NOT EXIST?
#LasBambas Speak, president!, by Federico Salazar, clearer? https://t.co/JqCI4KfRHS</v>
      </c>
      <c r="C28" s="2" t="s">
        <v>66</v>
      </c>
      <c r="D28" s="1" t="s">
        <v>64</v>
      </c>
    </row>
    <row r="29" spans="1:4" ht="15.75" customHeight="1" x14ac:dyDescent="0.15">
      <c r="A29" s="1" t="s">
        <v>67</v>
      </c>
      <c r="B29" s="3" t="str">
        <f ca="1">IFERROR(__xludf.DUMMYFUNCTION("GOOGLETRANSLATE(B29,""es"",""en"")"),"RT @Ojo_Publico: #OjoAlDato #Abancay organizations will comply with regional strike this April 2 and 3 in protest against the #LasBambas mine in Apurímac. https://t.co/UCH9ljxxuZ https://t.co/O8iAenikA2")</f>
        <v>RT @Ojo_Publico: #OjoAlDato #Abancay organizations will comply with regional strike this April 2 and 3 in protest against the #LasBambas mine in Apurímac. https://t.co/UCH9ljxxuZ https://t.co/O8iAenikA2</v>
      </c>
      <c r="C29" s="2" t="s">
        <v>68</v>
      </c>
      <c r="D29" s="1" t="s">
        <v>64</v>
      </c>
    </row>
    <row r="30" spans="1:4" ht="15.75" customHeight="1" x14ac:dyDescent="0.15">
      <c r="A30" s="1" t="s">
        <v>69</v>
      </c>
      <c r="B30" s="3" t="str">
        <f ca="1">IFERROR(__xludf.DUMMYFUNCTION("GOOGLETRANSLATE(B30,""es"",""en"")"),"@rmapalacios With the experience of Fuerabamba, the residents of Huanacopampa, Pararani and others are asking for 7 million per person for the Haquira mining project, which is 4 times larger than Las Bambas 6, which is located a few km from Las Bambas.")</f>
        <v>@rmapalacios With the experience of Fuerabamba, the residents of Huanacopampa, Pararani and others are asking for 7 million per person for the Haquira mining project, which is 4 times larger than Las Bambas 6, which is located a few km from Las Bambas.</v>
      </c>
      <c r="C30" s="2" t="s">
        <v>70</v>
      </c>
      <c r="D30" s="1" t="s">
        <v>71</v>
      </c>
    </row>
    <row r="31" spans="1:4" ht="15.75" customHeight="1" x14ac:dyDescent="0.15">
      <c r="A31" s="1" t="s">
        <v>72</v>
      </c>
      <c r="B31" s="3" t="str">
        <f ca="1">IFERROR(__xludf.DUMMYFUNCTION("GOOGLETRANSLATE(B31,""es"",""en"")"),"RT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31" s="2" t="s">
        <v>73</v>
      </c>
      <c r="D31" s="1" t="s">
        <v>74</v>
      </c>
    </row>
    <row r="32" spans="1:4" ht="15.75" customHeight="1" x14ac:dyDescent="0.15">
      <c r="A32" s="1" t="s">
        <v>75</v>
      </c>
      <c r="B32" s="3" t="str">
        <f ca="1">IFERROR(__xludf.DUMMYFUNCTION("GOOGLETRANSLATE(B32,""es"",""en"")"),"RT @ExpresoPeru: ""It is very clear to me that, in the case of Las Bambas, as long as trucks continue to be used to remove the mineral within sight and patience of the communities, regardless of the pollution or the environmental impact, there will be pro"&amp;"blems.""
Read Madeleine Osterling: https://t.co/KIjfPRh0Xs")</f>
        <v>RT @ExpresoPeru: "It is very clear to me that, in the case of Las Bambas, as long as trucks continue to be used to remove the mineral within sight and patience of the communities, regardless of the pollution or the environmental impact, there will be problems."
Read Madeleine Osterling: https://t.co/KIjfPRh0Xs</v>
      </c>
      <c r="C32" s="2" t="s">
        <v>76</v>
      </c>
      <c r="D32" s="1" t="s">
        <v>77</v>
      </c>
    </row>
    <row r="33" spans="1:4" ht="15.75" customHeight="1" x14ac:dyDescent="0.15">
      <c r="A33" s="1" t="s">
        <v>78</v>
      </c>
      <c r="B33" s="3" t="str">
        <f ca="1">IFERROR(__xludf.DUMMYFUNCTION("GOOGLETRANSLATE(B33,""es"",""en"")"),"RT @Cuarto_Poder: More than 200 days of tensions and 50 of paralysis and blocking of roads is what the protest has left so far https://t.co/I6Tfq0jBV8 #CuartoPoder #ElBaileDeLosQueSobran")</f>
        <v>RT @Cuarto_Poder: More than 200 days of tensions and 50 of paralysis and blocking of roads is what the protest has left so far https://t.co/I6Tfq0jBV8 #CuartoPoder #ElBaileDeLosQueSobran</v>
      </c>
      <c r="C33" s="2" t="s">
        <v>79</v>
      </c>
      <c r="D33" s="1" t="s">
        <v>80</v>
      </c>
    </row>
    <row r="34" spans="1:4" ht="15.75" customHeight="1" x14ac:dyDescent="0.15">
      <c r="A34" s="1" t="s">
        <v>81</v>
      </c>
      <c r="B34" s="3" t="str">
        <f ca="1">IFERROR(__xludf.DUMMYFUNCTION("GOOGLETRANSLATE(B34,""es"",""en"")"),"RT @jdeechave: José de Echave: “A community is not a criminal organization” https://t.co/LjfwkKhfi4 via @elcomercio_peru")</f>
        <v>RT @jdeechave: José de Echave: “A community is not a criminal organization” https://t.co/LjfwkKhfi4 via @elcomercio_peru</v>
      </c>
      <c r="C34" s="2" t="s">
        <v>82</v>
      </c>
      <c r="D34" s="1" t="s">
        <v>80</v>
      </c>
    </row>
    <row r="35" spans="1:4" ht="15.75" customHeight="1" x14ac:dyDescent="0.15">
      <c r="A35" s="1" t="s">
        <v>83</v>
      </c>
      <c r="B35" s="3" t="str">
        <f ca="1">IFERROR(__xludf.DUMMYFUNCTION("GOOGLETRANSLATE(B35,""es"",""en"")"),"It's that simple, “if the government needs you to go to prison, you go to prison, if the government needs you to be released, they will release you. Long live the independence of powers!” https://t.co/8s4CWrSNx5")</f>
        <v>It's that simple, “if the government needs you to go to prison, you go to prison, if the government needs you to be released, they will release you. Long live the independence of powers!” https://t.co/8s4CWrSNx5</v>
      </c>
      <c r="C35" s="2" t="s">
        <v>84</v>
      </c>
      <c r="D35" s="1" t="s">
        <v>85</v>
      </c>
    </row>
    <row r="36" spans="1:4" ht="15.75" customHeight="1" x14ac:dyDescent="0.15">
      <c r="A36" s="1" t="s">
        <v>86</v>
      </c>
      <c r="B36" s="3" t="str">
        <f ca="1">IFERROR(__xludf.DUMMYFUNCTION("GOOGLETRANSLATE(B36,""es"",""en"")"),"RT @AlfredoMTorres: What's new about Las Bambas is that the Police did intelligence work that detected the extortion and the Prosecutor's Office has acted. It must be clear that blocking roads and extortion are crimes with legal consequences. https://t.co"&amp;"/YIdKntz3RG via @elcomercio_peru")</f>
        <v>RT @AlfredoMTorres: What's new about Las Bambas is that the Police did intelligence work that detected the extortion and the Prosecutor's Office has acted. It must be clear that blocking roads and extortion are crimes with legal consequences. https://t.co/YIdKntz3RG via @elcomercio_peru</v>
      </c>
      <c r="C36" s="2" t="s">
        <v>87</v>
      </c>
      <c r="D36" s="1" t="s">
        <v>85</v>
      </c>
    </row>
    <row r="37" spans="1:4" ht="15.75" customHeight="1" x14ac:dyDescent="0.15">
      <c r="A37" s="1" t="s">
        <v>88</v>
      </c>
      <c r="B37" s="3" t="str">
        <f ca="1">IFERROR(__xludf.DUMMYFUNCTION("GOOGLETRANSLATE(B37,""es"",""en"")"),"RT @matuk: @rmapalacios 1) Road that crosses Yavi-Yavi did not exist before the purchase of Las Bambas 
2) Easement did not exist when Las Bambas bought Yavi-Yavi
3) Easement is registered when Las Bambas is the owner of Yavi-Yavi
4) Las Bambas delivers Y"&amp;"avi-Yavi with bondage
5) Yavi-Yavi = Trojan Horse")</f>
        <v>RT @matuk: @rmapalacios 1) Road that crosses Yavi-Yavi did not exist before the purchase of Las Bambas 
2) Easement did not exist when Las Bambas bought Yavi-Yavi
3) Easement is registered when Las Bambas is the owner of Yavi-Yavi
4) Las Bambas delivers Yavi-Yavi with bondage
5) Yavi-Yavi = Trojan Horse</v>
      </c>
      <c r="C37" s="2" t="s">
        <v>89</v>
      </c>
      <c r="D37" s="1" t="s">
        <v>85</v>
      </c>
    </row>
    <row r="38" spans="1:4" ht="15.75" customHeight="1" x14ac:dyDescent="0.15">
      <c r="A38" s="1" t="s">
        <v>90</v>
      </c>
      <c r="B38" s="3" t="str">
        <f ca="1">IFERROR(__xludf.DUMMYFUNCTION("GOOGLETRANSLATE(B38,""es"",""en"")"),"RT @MarioS759: LET'S PUT ON YOUR PANTS, OR DO THEY NOT EXIST?
#LasBambas Speak, president!, by Federico Salazar, clearer? https://t.co/JqCI4KfRHS")</f>
        <v>RT @MarioS759: LET'S PUT ON YOUR PANTS, OR DO THEY NOT EXIST?
#LasBambas Speak, president!, by Federico Salazar, clearer? https://t.co/JqCI4KfRHS</v>
      </c>
      <c r="C38" s="2" t="s">
        <v>91</v>
      </c>
      <c r="D38" s="1" t="s">
        <v>92</v>
      </c>
    </row>
    <row r="39" spans="1:4" ht="15.75" customHeight="1" x14ac:dyDescent="0.15">
      <c r="A39" s="1" t="s">
        <v>93</v>
      </c>
      <c r="B39" s="3" t="str">
        <f ca="1">IFERROR(__xludf.DUMMYFUNCTION("GOOGLETRANSLATE(B39,""es"",""en"")"),"del Solar arrives prematurely worn out to his presentation before Congress, partly due to inherited problems and partly due to his own mistakes, which have disenchanted those who believed he had the leadership qualities that the president lacks. https://t"&amp;".co/fesiSiPVYv")</f>
        <v>del Solar arrives prematurely worn out to his presentation before Congress, partly due to inherited problems and partly due to his own mistakes, which have disenchanted those who believed he had the leadership qualities that the president lacks. https://t.co/fesiSiPVYv</v>
      </c>
      <c r="C39" s="2" t="s">
        <v>94</v>
      </c>
      <c r="D39" s="1" t="s">
        <v>95</v>
      </c>
    </row>
    <row r="40" spans="1:4" ht="15.75" customHeight="1" x14ac:dyDescent="0.15">
      <c r="A40" s="1" t="s">
        <v>96</v>
      </c>
      <c r="B40" s="3" t="str">
        <f ca="1">IFERROR(__xludf.DUMMYFUNCTION("GOOGLETRANSLATE(B40,""es"",""en"")"),"@RPPNoticias And the @sutranperu??? Where were you??? In the sneakers??? This is also your fault, the @Munismp and the irresponsible people who drove that crappy bus!!! Jail and punishment for those responsible for this tragic fate of these bus passengers"&amp;".")</f>
        <v>@RPPNoticias And the @sutranperu??? Where were you??? In the sneakers??? This is also your fault, the @Munismp and the irresponsible people who drove that crappy bus!!! Jail and punishment for those responsible for this tragic fate of these bus passengers.</v>
      </c>
      <c r="C40" s="2" t="s">
        <v>97</v>
      </c>
      <c r="D40" s="1" t="s">
        <v>98</v>
      </c>
    </row>
    <row r="41" spans="1:4" ht="15.75" customHeight="1" x14ac:dyDescent="0.15">
      <c r="A41" s="1" t="s">
        <v>99</v>
      </c>
      <c r="B41" s="3" t="str">
        <f ca="1">IFERROR(__xludf.DUMMYFUNCTION("GOOGLETRANSLATE(B41,""es"",""en"")"),"RT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41" s="2" t="s">
        <v>100</v>
      </c>
      <c r="D41" s="1" t="s">
        <v>98</v>
      </c>
    </row>
    <row r="42" spans="1:4" ht="15.75" customHeight="1" x14ac:dyDescent="0.15">
      <c r="A42" s="1" t="s">
        <v>101</v>
      </c>
      <c r="B42" s="3" t="str">
        <f ca="1">IFERROR(__xludf.DUMMYFUNCTION("GOOGLETRANSLATE(B42,""es"",""en"")"),"Tell them “VHC” “If there is someone responsible from the State for this situation in Las Bambas, it has been the glorious ‘nationalist government’ of Humala, which came to us from the hand of the local left.” https://t.co/0h6P76w95Q #PerúNoticias https:/"&amp;"/t.co/MatoriGHFh")</f>
        <v>Tell them “VHC” “If there is someone responsible from the State for this situation in Las Bambas, it has been the glorious ‘nationalist government’ of Humala, which came to us from the hand of the local left.” https://t.co/0h6P76w95Q #PerúNoticias https://t.co/MatoriGHFh</v>
      </c>
      <c r="C42" s="2" t="s">
        <v>102</v>
      </c>
      <c r="D42" s="1" t="s">
        <v>98</v>
      </c>
    </row>
    <row r="43" spans="1:4" ht="15.75" customHeight="1" x14ac:dyDescent="0.15">
      <c r="A43" s="1" t="s">
        <v>103</v>
      </c>
      <c r="B43" s="3" t="str">
        <f ca="1">IFERROR(__xludf.DUMMYFUNCTION("GOOGLETRANSLATE(B43,""es"",""en"")"),"RT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43" s="2" t="s">
        <v>104</v>
      </c>
      <c r="D43" s="1" t="s">
        <v>105</v>
      </c>
    </row>
    <row r="44" spans="1:4" ht="15.75" customHeight="1" x14ac:dyDescent="0.15">
      <c r="A44" s="1" t="s">
        <v>106</v>
      </c>
      <c r="B44" s="3" t="str">
        <f ca="1">IFERROR(__xludf.DUMMYFUNCTION("GOOGLETRANSLATE(B44,""es"",""en"")"),"@JaimeteleSUR why is Telesur not covering the Bambas like they do with the Mingas of Colombia? I understand the reason...")</f>
        <v>@JaimeteleSUR why is Telesur not covering the Bambas like they do with the Mingas of Colombia? I understand the reason...</v>
      </c>
      <c r="C44" s="2" t="s">
        <v>107</v>
      </c>
      <c r="D44" s="1" t="s">
        <v>105</v>
      </c>
    </row>
    <row r="45" spans="1:4" ht="15.75" customHeight="1" x14ac:dyDescent="0.15">
      <c r="A45" s="1" t="s">
        <v>108</v>
      </c>
      <c r="B45" s="3" t="str">
        <f ca="1">IFERROR(__xludf.DUMMYFUNCTION("GOOGLETRANSLATE(B45,""es"",""en"")"),"RT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45" s="2" t="s">
        <v>109</v>
      </c>
      <c r="D45" s="1" t="s">
        <v>105</v>
      </c>
    </row>
    <row r="46" spans="1:4" ht="15.75" customHeight="1" x14ac:dyDescent="0.15">
      <c r="A46" s="1" t="s">
        <v>110</v>
      </c>
      <c r="B46" s="3" t="str">
        <f ca="1">IFERROR(__xludf.DUMMYFUNCTION("GOOGLETRANSLATE(B46,""es"",""en"")"),"RT @Jessica48396615: True @MazaBera errors by @MartinVizcarraC and fall in polls: Las Bambas; hire Fujiapristas; Tuesta Commission: Bicamerality and eliminate Prohibition; Put or ratify questioned MINSA, MINAG, MININTER, Produce, MEM, Environment Housing,"&amp;" AFP, Cuellos Blancos regroup https://t.co/WjOPLU1s9E")</f>
        <v>RT @Jessica48396615: True @MazaBera errors by @MartinVizcarraC and fall in polls: Las Bambas; hire Fujiapristas; Tuesta Commission: Bicamerality and eliminate Prohibition; Put or ratify questioned MINSA, MINAG, MININTER, Produce, MEM, Environment Housing, AFP, Cuellos Blancos regroup https://t.co/WjOPLU1s9E</v>
      </c>
      <c r="C46" s="2" t="s">
        <v>111</v>
      </c>
      <c r="D46" s="1" t="s">
        <v>112</v>
      </c>
    </row>
    <row r="47" spans="1:4" ht="15.75" customHeight="1" x14ac:dyDescent="0.15">
      <c r="A47" s="1" t="s">
        <v>113</v>
      </c>
      <c r="B47" s="3" t="str">
        <f ca="1">IFERROR(__xludf.DUMMYFUNCTION("GOOGLETRANSLATE(B47,""es"",""en"")"),"RT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47" s="2" t="s">
        <v>114</v>
      </c>
      <c r="D47" s="1" t="s">
        <v>112</v>
      </c>
    </row>
    <row r="48" spans="1:4" ht="15.75" customHeight="1" x14ac:dyDescent="0.15">
      <c r="A48" s="1" t="s">
        <v>115</v>
      </c>
      <c r="B48" s="3" t="str">
        <f ca="1">IFERROR(__xludf.DUMMYFUNCTION("GOOGLETRANSLATE(B48,""es"",""en"")"),"RT @Gestionpe: Las Bambas: State willing to pay more than S/ 300 million to communities https://t.co/HoCbdHF9jp via @Gestionpe https://t.co/TvFzaRUmS6")</f>
        <v>RT @Gestionpe: Las Bambas: State willing to pay more than S/ 300 million to communities https://t.co/HoCbdHF9jp via @Gestionpe https://t.co/TvFzaRUmS6</v>
      </c>
      <c r="C48" s="2" t="s">
        <v>116</v>
      </c>
      <c r="D48" s="1" t="s">
        <v>112</v>
      </c>
    </row>
    <row r="49" spans="1:4" ht="15.75" customHeight="1" x14ac:dyDescent="0.15">
      <c r="A49" s="1" t="s">
        <v>117</v>
      </c>
      <c r="B49" s="3" t="str">
        <f ca="1">IFERROR(__xludf.DUMMYFUNCTION("GOOGLETRANSLATE(B49,""es"",""en"")"),"RT @tema0902: I don't understand how @AlanGarciaPeru CRITICIZES THE GOVERNMENT, with what morals if it has crime, money laundering, delinquency, No reconstruction in Pisco, Narco Pardons, Massacre in the Frontón, El Baguazo, Dólar Muc, bribes from ODB, Pe"&amp;"troaudios. DO YOU LIKE TROLLING?
https://t.co/fWoMHDzIHG")</f>
        <v>RT @tema0902: I don't understand how @AlanGarciaPeru CRITICIZES THE GOVERNMENT, with what morals if it has crime, money laundering, delinquency, No reconstruction in Pisco, Narco Pardons, Massacre in the Frontón, El Baguazo, Dólar Muc, bribes from ODB, Petroaudios. DO YOU LIKE TROLLING?
https://t.co/fWoMHDzIHG</v>
      </c>
      <c r="C49" s="2" t="s">
        <v>118</v>
      </c>
      <c r="D49" s="1" t="s">
        <v>119</v>
      </c>
    </row>
    <row r="50" spans="1:4" ht="15.75" customHeight="1" x14ac:dyDescent="0.15">
      <c r="A50" s="1" t="s">
        <v>120</v>
      </c>
      <c r="B50" s="3" t="str">
        <f ca="1">IFERROR(__xludf.DUMMYFUNCTION("GOOGLETRANSLATE(B50,""es"",""en"")"),"RT @Jorgedelama: José De Echave talked about Las Bambas with Sol Carreño. He is a director of Cooperación, an anti-extractivist NGO that receives funds from the Open Society like its ""allies"". Abel Gilvonio works there, son of terrorists and a communist"&amp;" who attacked Cardinal Cipriani on Twitter Photos👇 https://t.co/l8BHyMqeao")</f>
        <v>RT @Jorgedelama: José De Echave talked about Las Bambas with Sol Carreño. He is a director of Cooperación, an anti-extractivist NGO that receives funds from the Open Society like its "allies". Abel Gilvonio works there, son of terrorists and a communist who attacked Cardinal Cipriani on Twitter Photos👇 https://t.co/l8BHyMqeao</v>
      </c>
      <c r="C50" s="2" t="s">
        <v>121</v>
      </c>
      <c r="D50" s="1" t="s">
        <v>119</v>
      </c>
    </row>
    <row r="51" spans="1:4" ht="15.75" customHeight="1" x14ac:dyDescent="0.15">
      <c r="A51" s="1" t="s">
        <v>122</v>
      </c>
      <c r="B51" s="3" t="str">
        <f ca="1">IFERROR(__xludf.DUMMYFUNCTION("GOOGLETRANSLATE(B51,""es"",""en"")"),"RT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51" s="2" t="s">
        <v>123</v>
      </c>
      <c r="D51" s="1" t="s">
        <v>119</v>
      </c>
    </row>
    <row r="52" spans="1:4" ht="15.75" customHeight="1" x14ac:dyDescent="0.15">
      <c r="A52" s="1" t="s">
        <v>124</v>
      </c>
      <c r="B52" s="3" t="str">
        <f ca="1">IFERROR(__xludf.DUMMYFUNCTION("GOOGLETRANSLATE(B52,""es"",""en"")"),"🔴 #LasBambas | Salvador del Solar met with the leader of Fuerabamba, Gregorio Rojas, who was released last Friday. 
https://t.co/TxZ7fgfllJ")</f>
        <v>🔴 #LasBambas | Salvador del Solar met with the leader of Fuerabamba, Gregorio Rojas, who was released last Friday. 
https://t.co/TxZ7fgfllJ</v>
      </c>
      <c r="C52" s="2" t="s">
        <v>125</v>
      </c>
      <c r="D52" s="1" t="s">
        <v>126</v>
      </c>
    </row>
    <row r="53" spans="1:4" ht="15.75" customHeight="1" x14ac:dyDescent="0.15">
      <c r="A53" s="1" t="s">
        <v>127</v>
      </c>
      <c r="B53" s="3" t="str">
        <f ca="1">IFERROR(__xludf.DUMMYFUNCTION("GOOGLETRANSLATE(B53,""es"",""en"")"),"RT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53" s="2" t="s">
        <v>128</v>
      </c>
      <c r="D53" s="1" t="s">
        <v>129</v>
      </c>
    </row>
    <row r="54" spans="1:4" ht="15.75" customHeight="1" x14ac:dyDescent="0.15">
      <c r="A54" s="1" t="s">
        <v>130</v>
      </c>
      <c r="B54" s="3" t="str">
        <f ca="1">IFERROR(__xludf.DUMMYFUNCTION("GOOGLETRANSLATE(B54,""es"",""en"")"),"RT @aleskrause: If you are looking to understand the origin of the conflict in Las Bambas, I suggest you read this article by Madeleine Osterling. Very clear.  https://t.co/SBywlaZCe8")</f>
        <v>RT @aleskrause: If you are looking to understand the origin of the conflict in Las Bambas, I suggest you read this article by Madeleine Osterling. Very clear.  https://t.co/SBywlaZCe8</v>
      </c>
      <c r="C54" s="2" t="s">
        <v>131</v>
      </c>
      <c r="D54" s="1" t="s">
        <v>129</v>
      </c>
    </row>
    <row r="55" spans="1:4" ht="15.75" customHeight="1" x14ac:dyDescent="0.15">
      <c r="A55" s="1" t="s">
        <v>132</v>
      </c>
      <c r="B55" s="3" t="str">
        <f ca="1">IFERROR(__xludf.DUMMYFUNCTION("GOOGLETRANSLATE(B55,""es"",""en"")"),"RT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55" s="2" t="s">
        <v>133</v>
      </c>
      <c r="D55" s="1" t="s">
        <v>134</v>
      </c>
    </row>
    <row r="56" spans="1:4" ht="15.75" customHeight="1" x14ac:dyDescent="0.15">
      <c r="A56" s="1" t="s">
        <v>135</v>
      </c>
      <c r="B56" s="3" t="str">
        <f ca="1">IFERROR(__xludf.DUMMYFUNCTION("GOOGLETRANSLATE(B56,""es"",""en"")"),"RT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56" s="2" t="s">
        <v>136</v>
      </c>
      <c r="D56" s="1" t="s">
        <v>137</v>
      </c>
    </row>
    <row r="57" spans="1:4" ht="15.75" customHeight="1" x14ac:dyDescent="0.15">
      <c r="A57" s="1" t="s">
        <v>138</v>
      </c>
      <c r="B57" s="3" t="str">
        <f ca="1">IFERROR(__xludf.DUMMYFUNCTION("GOOGLETRANSLATE(B57,""es"",""en"")"),"RT @parislima: @jdeechave @elcomercio_peru .@jdeechave ::: José de Echave: “A community is not a criminal organization” https://t.co/R8zoXkIybL … via @elcomercio_peru https://t.co/coEGnRNYkN")</f>
        <v>RT @parislima: @jdeechave @elcomercio_peru .@jdeechave ::: José de Echave: “A community is not a criminal organization” https://t.co/R8zoXkIybL … via @elcomercio_peru https://t.co/coEGnRNYkN</v>
      </c>
      <c r="C57" s="2" t="s">
        <v>139</v>
      </c>
      <c r="D57" s="1" t="s">
        <v>137</v>
      </c>
    </row>
    <row r="58" spans="1:4" ht="15.75" customHeight="1" x14ac:dyDescent="0.15">
      <c r="A58" s="1" t="s">
        <v>140</v>
      </c>
      <c r="B58" s="3" t="str">
        <f ca="1">IFERROR(__xludf.DUMMYFUNCTION("GOOGLETRANSLATE(B58,""es"",""en"")"),"RT @grancomboclub: With mega-extractive script
Alberto Varillas Cueto is a senior official of the National Society of Mining, Petroleum and Energy. 
His wife, Rosa Palacios McBride, directs a program in La República in which she gives her vehement opinion"&amp;" on the Las Bambas conflict.
https://t.co/sj6oRztAiD https://t.co/H4RCsW4yWi")</f>
        <v>RT @grancomboclub: With mega-extractive script
Alberto Varillas Cueto is a senior official of the National Society of Mining, Petroleum and Energy. 
His wife, Rosa Palacios McBride, directs a program in La República in which she gives her vehement opinion on the Las Bambas conflict.
https://t.co/sj6oRztAiD https://t.co/H4RCsW4yWi</v>
      </c>
      <c r="C58" s="2" t="s">
        <v>141</v>
      </c>
      <c r="D58" s="1" t="s">
        <v>142</v>
      </c>
    </row>
    <row r="59" spans="1:4" ht="15.75" customHeight="1" x14ac:dyDescent="0.15">
      <c r="A59" s="1" t="s">
        <v>143</v>
      </c>
      <c r="B59" s="3" t="str">
        <f ca="1">IFERROR(__xludf.DUMMYFUNCTION("GOOGLETRANSLATE(B59,""es"",""en"")"),"RT @ExpresoPeru: ""It is very clear to me that, in the case of Las Bambas, as long as trucks continue to be used to remove the mineral within sight and patience of the communities, regardless of the pollution or the environmental impact, there will be pro"&amp;"blems.""
Read Madeleine Osterling: https://t.co/KIjfPRh0Xs")</f>
        <v>RT @ExpresoPeru: "It is very clear to me that, in the case of Las Bambas, as long as trucks continue to be used to remove the mineral within sight and patience of the communities, regardless of the pollution or the environmental impact, there will be problems."
Read Madeleine Osterling: https://t.co/KIjfPRh0Xs</v>
      </c>
      <c r="C59" s="2" t="s">
        <v>144</v>
      </c>
      <c r="D59" s="1" t="s">
        <v>142</v>
      </c>
    </row>
    <row r="60" spans="1:4" ht="15.75" customHeight="1" x14ac:dyDescent="0.15">
      <c r="A60" s="1" t="s">
        <v>145</v>
      </c>
      <c r="B60" s="3" t="str">
        <f ca="1">IFERROR(__xludf.DUMMYFUNCTION("GOOGLETRANSLATE(B60,""es"",""en"")"),"RT @Jorgedelama: José De Echave talked about Las Bambas with Sol Carreño. He is a director of Cooperación, an anti-extractivist NGO that receives funds from the Open Society like its ""allies"". Abel Gilvonio works there, son of terrorists and a communist"&amp;" who attacked Cardinal Cipriani on Twitter Photos👇 https://t.co/l8BHyMqeao")</f>
        <v>RT @Jorgedelama: José De Echave talked about Las Bambas with Sol Carreño. He is a director of Cooperación, an anti-extractivist NGO that receives funds from the Open Society like its "allies". Abel Gilvonio works there, son of terrorists and a communist who attacked Cardinal Cipriani on Twitter Photos👇 https://t.co/l8BHyMqeao</v>
      </c>
      <c r="C60" s="2" t="s">
        <v>146</v>
      </c>
      <c r="D60" s="1" t="s">
        <v>147</v>
      </c>
    </row>
    <row r="61" spans="1:4" ht="15.75" customHeight="1" x14ac:dyDescent="0.15">
      <c r="A61" s="1" t="s">
        <v>148</v>
      </c>
      <c r="B61" s="3" t="str">
        <f ca="1">IFERROR(__xludf.DUMMYFUNCTION("GOOGLETRANSLATE(B61,""es"",""en"")"),"THE PRESIDENT OF THE COUNCIL OF MINISTER
YOU CAN SEE THAT HE HAS NO IDEA WHAT TO DO, OR HOW TO SOLVE THE ISSUE OF THE BAMBAS IN PERU,
WHILE PRESIDENT VIZCARRA HAS A BANQUET WITH THE CONSULTANTS AND... https://t.co/bmLp5KJJhp")</f>
        <v>THE PRESIDENT OF THE COUNCIL OF MINISTER
YOU CAN SEE THAT HE HAS NO IDEA WHAT TO DO, OR HOW TO SOLVE THE ISSUE OF THE BAMBAS IN PERU,
WHILE PRESIDENT VIZCARRA HAS A BANQUET WITH THE CONSULTANTS AND... https://t.co/bmLp5KJJhp</v>
      </c>
      <c r="C61" s="2" t="s">
        <v>149</v>
      </c>
      <c r="D61" s="1" t="s">
        <v>150</v>
      </c>
    </row>
    <row r="62" spans="1:4" ht="15.75" customHeight="1" x14ac:dyDescent="0.15">
      <c r="A62" s="1" t="s">
        <v>151</v>
      </c>
      <c r="B62" s="3" t="str">
        <f ca="1">IFERROR(__xludf.DUMMYFUNCTION("GOOGLETRANSLATE(B62,""es"",""en"")"),"FOR THIS AND MUCH MORE
Not a step back in Las Bambas. The dialogue tables should not be hesitant. The Government must not give in to blackmail. Natural resources belong to all the Peruvian people 
#TerrorismNeverAgain https://t.co/hmFdlwJ2HP")</f>
        <v>FOR THIS AND MUCH MORE
Not a step back in Las Bambas. The dialogue tables should not be hesitant. The Government must not give in to blackmail. Natural resources belong to all the Peruvian people 
#TerrorismNeverAgain https://t.co/hmFdlwJ2HP</v>
      </c>
      <c r="C62" s="2" t="s">
        <v>152</v>
      </c>
      <c r="D62" s="1" t="s">
        <v>150</v>
      </c>
    </row>
    <row r="63" spans="1:4" ht="15.75" customHeight="1" x14ac:dyDescent="0.15">
      <c r="A63" s="1" t="s">
        <v>153</v>
      </c>
      <c r="B63" s="3" t="str">
        <f ca="1">IFERROR(__xludf.DUMMYFUNCTION("GOOGLETRANSLATE(B63,""es"",""en"")"),"RT @mining: MMG’s subsidiary in Peru rejects blockade near Las Bambas #copper mine https://t.co/fnZtT4gBef https://t.co/XY0YeDZaZe")</f>
        <v>RT @mining: MMG’s subsidiary in Peru rejects blockade near Las Bambas #copper mine https://t.co/fnZtT4gBef https://t.co/XY0YeDZaZe</v>
      </c>
      <c r="C63" s="2" t="s">
        <v>154</v>
      </c>
      <c r="D63" s="1" t="s">
        <v>150</v>
      </c>
    </row>
    <row r="64" spans="1:4" ht="15.75" customHeight="1" x14ac:dyDescent="0.15">
      <c r="A64" s="1" t="s">
        <v>155</v>
      </c>
      <c r="B64" s="3" t="str">
        <f ca="1">IFERROR(__xludf.DUMMYFUNCTION("GOOGLETRANSLATE(B64,""es"",""en"")"),"RT @Gestionpe: Government estimates paying S/ 350 million to overcome conflict in Las Bambas ► https://t.co/cpIX0vCx38 https://t.co/Sy3BDSdShe")</f>
        <v>RT @Gestionpe: Government estimates paying S/ 350 million to overcome conflict in Las Bambas ► https://t.co/cpIX0vCx38 https://t.co/Sy3BDSdShe</v>
      </c>
      <c r="C64" s="2" t="s">
        <v>156</v>
      </c>
      <c r="D64" s="1" t="s">
        <v>150</v>
      </c>
    </row>
    <row r="65" spans="1:4" ht="15.75" customHeight="1" x14ac:dyDescent="0.15">
      <c r="A65" s="1" t="s">
        <v>157</v>
      </c>
      <c r="B65" s="3" t="str">
        <f ca="1">IFERROR(__xludf.DUMMYFUNCTION("GOOGLETRANSLATE(B65,""es"",""en"")"),"@JuanSheput Sneakers effect!")</f>
        <v>@JuanSheput Sneakers effect!</v>
      </c>
      <c r="C65" s="2" t="s">
        <v>158</v>
      </c>
      <c r="D65" s="1" t="s">
        <v>159</v>
      </c>
    </row>
    <row r="66" spans="1:4" ht="15.75" customHeight="1" x14ac:dyDescent="0.15">
      <c r="A66" s="1" t="s">
        <v>160</v>
      </c>
      <c r="B66" s="3" t="str">
        <f ca="1">IFERROR(__xludf.DUMMYFUNCTION("GOOGLETRANSLATE(B66,""es"",""en"")"),"RT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66" s="2" t="s">
        <v>161</v>
      </c>
      <c r="D66" s="1" t="s">
        <v>162</v>
      </c>
    </row>
    <row r="67" spans="1:4" ht="15.75" customHeight="1" x14ac:dyDescent="0.15">
      <c r="A67" s="1" t="s">
        <v>163</v>
      </c>
      <c r="B67" s="3" t="str">
        <f ca="1">IFERROR(__xludf.DUMMYFUNCTION("GOOGLETRANSLATE(B67,""es"",""en"")"),"RT @Jorgedelama: José De Echave talked about Las Bambas with Sol Carreño. He is a director of Cooperación, an anti-extractivist NGO that receives funds from the Open Society like its ""allies"". Abel Gilvonio works there, son of terrorists and a communist"&amp;" who attacked Cardinal Cipriani on Twitter Photos👇 https://t.co/l8BHyMqeao")</f>
        <v>RT @Jorgedelama: José De Echave talked about Las Bambas with Sol Carreño. He is a director of Cooperación, an anti-extractivist NGO that receives funds from the Open Society like its "allies". Abel Gilvonio works there, son of terrorists and a communist who attacked Cardinal Cipriani on Twitter Photos👇 https://t.co/l8BHyMqeao</v>
      </c>
      <c r="C67" s="2" t="s">
        <v>164</v>
      </c>
      <c r="D67" s="1" t="s">
        <v>165</v>
      </c>
    </row>
    <row r="68" spans="1:4" ht="15.75" customHeight="1" x14ac:dyDescent="0.15">
      <c r="A68" s="1" t="s">
        <v>166</v>
      </c>
      <c r="B68" s="3" t="str">
        <f ca="1">IFERROR(__xludf.DUMMYFUNCTION("GOOGLETRANSLATE(B68,""es"",""en"")"),"RT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68" s="2" t="s">
        <v>167</v>
      </c>
      <c r="D68" s="1" t="s">
        <v>165</v>
      </c>
    </row>
    <row r="69" spans="1:4" ht="15.75" customHeight="1" x14ac:dyDescent="0.15">
      <c r="A69" s="1" t="s">
        <v>115</v>
      </c>
      <c r="B69" s="3" t="str">
        <f ca="1">IFERROR(__xludf.DUMMYFUNCTION("GOOGLETRANSLATE(B69,""es"",""en"")"),"RT @aleskrause: If you are looking to understand the origin of the conflict in Las Bambas, I suggest you read this article by Madeleine Osterling. Very clear.  https://t.co/SBywlaZCe8")</f>
        <v>RT @aleskrause: If you are looking to understand the origin of the conflict in Las Bambas, I suggest you read this article by Madeleine Osterling. Very clear.  https://t.co/SBywlaZCe8</v>
      </c>
      <c r="C69" s="2" t="s">
        <v>168</v>
      </c>
      <c r="D69" s="1" t="s">
        <v>165</v>
      </c>
    </row>
    <row r="70" spans="1:4" ht="15.75" customHeight="1" x14ac:dyDescent="0.15">
      <c r="A70" s="1" t="s">
        <v>169</v>
      </c>
      <c r="B70" s="3" t="str">
        <f ca="1">IFERROR(__xludf.DUMMYFUNCTION("GOOGLETRANSLATE(B70,""es"",""en"")"),"RT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70" s="2" t="s">
        <v>170</v>
      </c>
      <c r="D70" s="1" t="s">
        <v>171</v>
      </c>
    </row>
    <row r="71" spans="1:4" ht="15.75" customHeight="1" x14ac:dyDescent="0.15">
      <c r="A71" s="1" t="s">
        <v>172</v>
      </c>
      <c r="B71" s="3" t="str">
        <f ca="1">IFERROR(__xludf.DUMMYFUNCTION("GOOGLETRANSLATE(B71,""es"",""en"")"),"RT @manifiesto_peru: PROSECUTOR ADMITS THAT THEY RELEASED THE LEADER EVALUATING THE POLITICAL SITUATION
They detained Gregorio Rojas after 6 months of investigation and wiretapping, but only then did they realize that protesters were asking him for dialo"&amp;"gue in Las Bambas ▶️ https://t.co/XtKUcgKWvW https://t.co/Sn1c9rY2Ra")</f>
        <v>RT @manifiesto_peru: PROSECUTOR ADMITS THAT THEY RELEASED THE LEADER EVALUATING THE POLITICAL SITUATION
They detained Gregorio Rojas after 6 months of investigation and wiretapping, but only then did they realize that protesters were asking him for dialogue in Las Bambas ▶️ https://t.co/XtKUcgKWvW https://t.co/Sn1c9rY2Ra</v>
      </c>
      <c r="C71" s="2" t="s">
        <v>173</v>
      </c>
      <c r="D71" s="1" t="s">
        <v>174</v>
      </c>
    </row>
    <row r="72" spans="1:4" ht="15.75" customHeight="1" x14ac:dyDescent="0.15">
      <c r="A72" s="1" t="s">
        <v>175</v>
      </c>
      <c r="B72" s="3" t="str">
        <f ca="1">IFERROR(__xludf.DUMMYFUNCTION("GOOGLETRANSLATE(B72,""es"",""en"")"),"RT @manifiesto_peru: PROSECUTOR ADMITS THAT THEY RELEASED THE LEADER EVALUATING THE POLITICAL SITUATION
They detained Gregorio Rojas after 6 months of investigation and wiretapping, but only then did they realize that protesters were asking him for dialo"&amp;"gue in Las Bambas ▶️ https://t.co/XtKUcgKWvW https://t.co/Sn1c9rY2Ra")</f>
        <v>RT @manifiesto_peru: PROSECUTOR ADMITS THAT THEY RELEASED THE LEADER EVALUATING THE POLITICAL SITUATION
They detained Gregorio Rojas after 6 months of investigation and wiretapping, but only then did they realize that protesters were asking him for dialogue in Las Bambas ▶️ https://t.co/XtKUcgKWvW https://t.co/Sn1c9rY2Ra</v>
      </c>
      <c r="C72" s="2" t="s">
        <v>176</v>
      </c>
      <c r="D72" s="1" t="s">
        <v>177</v>
      </c>
    </row>
    <row r="73" spans="1:4" ht="15.75" customHeight="1" x14ac:dyDescent="0.15">
      <c r="A73" s="1" t="s">
        <v>178</v>
      </c>
      <c r="B73" s="3" t="str">
        <f ca="1">IFERROR(__xludf.DUMMYFUNCTION("GOOGLETRANSLATE(B73,""es"",""en"")"),"RT @amesacha: THIS TRUTH, GENTLEMEN OF THE REPUBLIC, IS NOT COMPLETE, HERE THERE WAS TRIANGULATION OLLANTA WITH ITS MINISTER OF ECONOMY ISSUED A LAW SO THAT THE SWISS DOES NOT... https://t.co/cWrvN0K2Xs")</f>
        <v>RT @amesacha: THIS TRUTH, GENTLEMEN OF THE REPUBLIC, IS NOT COMPLETE, HERE THERE WAS TRIANGULATION OLLANTA WITH ITS MINISTER OF ECONOMY ISSUED A LAW SO THAT THE SWISS DOES NOT... https://t.co/cWrvN0K2Xs</v>
      </c>
      <c r="C73" s="2" t="s">
        <v>179</v>
      </c>
      <c r="D73" s="1" t="s">
        <v>180</v>
      </c>
    </row>
    <row r="74" spans="1:4" ht="15.75" customHeight="1" x14ac:dyDescent="0.15">
      <c r="A74" s="1" t="s">
        <v>181</v>
      </c>
      <c r="B74" s="3" t="str">
        <f ca="1">IFERROR(__xludf.DUMMYFUNCTION("GOOGLETRANSLATE(B74,""es"",""en"")"),"Paralysis of Las Bambas could affect economic growth https://t.co/HYZKJISL6C https://t.co/c0t5Mz78NR")</f>
        <v>Paralysis of Las Bambas could affect economic growth https://t.co/HYZKJISL6C https://t.co/c0t5Mz78NR</v>
      </c>
      <c r="C74" s="2" t="s">
        <v>182</v>
      </c>
      <c r="D74" s="1" t="s">
        <v>183</v>
      </c>
    </row>
    <row r="75" spans="1:4" ht="15.75" customHeight="1" x14ac:dyDescent="0.15">
      <c r="A75" s="1" t="s">
        <v>184</v>
      </c>
      <c r="B75" s="3" t="str">
        <f ca="1">IFERROR(__xludf.DUMMYFUNCTION("GOOGLETRANSLATE(B75,""es"",""en"")"),"To better understand what happens in Las Bambas. The version of a priest who works in Cotabambas and knows what the life of the peasants is like. They are not the rich and exploited that some journalists paint them as. They are simple people and they suff"&amp;"er a lot... https://t.co/gjfBeZkila")</f>
        <v>To better understand what happens in Las Bambas. The version of a priest who works in Cotabambas and knows what the life of the peasants is like. They are not the rich and exploited that some journalists paint them as. They are simple people and they suffer a lot... https://t.co/gjfBeZkila</v>
      </c>
      <c r="C75" s="2" t="s">
        <v>185</v>
      </c>
      <c r="D75" s="1" t="s">
        <v>183</v>
      </c>
    </row>
    <row r="76" spans="1:4" ht="15.75" customHeight="1" x14ac:dyDescent="0.15">
      <c r="A76" s="1" t="s">
        <v>186</v>
      </c>
      <c r="B76" s="3" t="str">
        <f ca="1">IFERROR(__xludf.DUMMYFUNCTION("GOOGLETRANSLATE(B76,""es"",""en"")"),"RT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76" s="2" t="s">
        <v>187</v>
      </c>
      <c r="D76" s="1" t="s">
        <v>188</v>
      </c>
    </row>
    <row r="77" spans="1:4" ht="15.75" customHeight="1" x14ac:dyDescent="0.15">
      <c r="A77" s="1" t="s">
        <v>189</v>
      </c>
      <c r="B77" s="3" t="str">
        <f ca="1">IFERROR(__xludf.DUMMYFUNCTION("GOOGLETRANSLATE(B77,""es"",""en"")"),"@RPPNoticias X not solving the Las Bambas conflict.")</f>
        <v>@RPPNoticias X not solving the Las Bambas conflict.</v>
      </c>
      <c r="C77" s="2" t="s">
        <v>190</v>
      </c>
      <c r="D77" s="1" t="s">
        <v>188</v>
      </c>
    </row>
    <row r="78" spans="1:4" ht="15.75" customHeight="1" x14ac:dyDescent="0.15">
      <c r="A78" s="1" t="s">
        <v>191</v>
      </c>
      <c r="B78" s="3" t="str">
        <f ca="1">IFERROR(__xludf.DUMMYFUNCTION("GOOGLETRANSLATE(B78,""es"",""en"")"),"RT @canalN_: [LIVE] Salvador del Solar announces that three ministers of State will be sent to the conflict zone of Las Bambas ►https://t.co/WAgcNzGC9I https://t.co/UpChpF3Nyl")</f>
        <v>RT @canalN_: [LIVE] Salvador del Solar announces that three ministers of State will be sent to the conflict zone of Las Bambas ►https://t.co/WAgcNzGC9I https://t.co/UpChpF3Nyl</v>
      </c>
      <c r="C78" s="2" t="s">
        <v>192</v>
      </c>
      <c r="D78" s="1" t="s">
        <v>193</v>
      </c>
    </row>
    <row r="79" spans="1:4" ht="15.75" customHeight="1" x14ac:dyDescent="0.15">
      <c r="A79" s="1" t="s">
        <v>194</v>
      </c>
      <c r="B79" s="3" t="str">
        <f ca="1">IFERROR(__xludf.DUMMYFUNCTION("GOOGLETRANSLATE(B79,""es"",""en"")"),"Sad for the 17 Peruvians who were burned to death last night at the Fiori terminal, where Mayor Muñoz is who allows these Bambas whereabouts")</f>
        <v>Sad for the 17 Peruvians who were burned to death last night at the Fiori terminal, where Mayor Muñoz is who allows these Bambas whereabouts</v>
      </c>
      <c r="C79" s="2" t="s">
        <v>195</v>
      </c>
      <c r="D79" s="1" t="s">
        <v>193</v>
      </c>
    </row>
    <row r="80" spans="1:4" ht="15.75" customHeight="1" x14ac:dyDescent="0.15">
      <c r="A80" s="1" t="s">
        <v>178</v>
      </c>
      <c r="B80" s="3" t="str">
        <f ca="1">IFERROR(__xludf.DUMMYFUNCTION("GOOGLETRANSLATE(B80,""es"",""en"")"),"RT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80" s="2" t="s">
        <v>196</v>
      </c>
      <c r="D80" s="1" t="s">
        <v>193</v>
      </c>
    </row>
    <row r="81" spans="1:4" ht="15.75" customHeight="1" x14ac:dyDescent="0.15">
      <c r="A81" s="1" t="s">
        <v>197</v>
      </c>
      <c r="B81" s="3" t="str">
        <f ca="1">IFERROR(__xludf.DUMMYFUNCTION("GOOGLETRANSLATE(B81,""es"",""en"")"),"RT @jdeechave: Good summary of how the Las Bambas project has been changing permanently without the population being adequately informed... https://t.co/8XVr32eWma")</f>
        <v>RT @jdeechave: Good summary of how the Las Bambas project has been changing permanently without the population being adequately informed... https://t.co/8XVr32eWma</v>
      </c>
      <c r="C81" s="2" t="s">
        <v>198</v>
      </c>
      <c r="D81" s="1" t="s">
        <v>199</v>
      </c>
    </row>
    <row r="82" spans="1:4" ht="15.75" customHeight="1" x14ac:dyDescent="0.15">
      <c r="A82" s="1" t="s">
        <v>200</v>
      </c>
      <c r="B82" s="3" t="str">
        <f ca="1">IFERROR(__xludf.DUMMYFUNCTION("GOOGLETRANSLATE(B82,""es"",""en"")"),"RT @veritatisperu: ”Now that MP has heeded the political and commercial pressures that asked for the release of the president of the Fuerabamba community—to ""unravel"" negotiations"" in Las Bambas—, we know that, indeed, Keiko Fujimori is a political pri"&amp;"soner""
#KeikoPresaPolitics 
https://t.co/BKOmVPnxDt")</f>
        <v>RT @veritatisperu: ”Now that MP has heeded the political and commercial pressures that asked for the release of the president of the Fuerabamba community—to "unravel" negotiations" in Las Bambas—, we know that, indeed, Keiko Fujimori is a political prisoner"
#KeikoPresaPolitics 
https://t.co/BKOmVPnxDt</v>
      </c>
      <c r="C82" s="2" t="s">
        <v>201</v>
      </c>
      <c r="D82" s="1" t="s">
        <v>199</v>
      </c>
    </row>
    <row r="83" spans="1:4" ht="15.75" customHeight="1" x14ac:dyDescent="0.15">
      <c r="A83" s="1" t="s">
        <v>202</v>
      </c>
      <c r="B83" s="3" t="str">
        <f ca="1">IFERROR(__xludf.DUMMYFUNCTION("GOOGLETRANSLATE(B83,""es"",""en"")"),"The hare jumped, the great Manuel Rosas made the community leader speak at @exitosape. They want 40 million and the problem in Las Bambas is fixed. The problem is not pollution, postponed rights, NOTHING, everything is SILVER. And then it will be more.
@e"&amp;"xitosape @NicolasLucar")</f>
        <v>The hare jumped, the great Manuel Rosas made the community leader speak at @exitosape. They want 40 million and the problem in Las Bambas is fixed. The problem is not pollution, postponed rights, NOTHING, everything is SILVER. And then it will be more.
@exitosape @NicolasLucar</v>
      </c>
      <c r="C83" s="2" t="s">
        <v>203</v>
      </c>
      <c r="D83" s="1" t="s">
        <v>199</v>
      </c>
    </row>
    <row r="84" spans="1:4" ht="15.75" customHeight="1" x14ac:dyDescent="0.15">
      <c r="A84" s="1" t="s">
        <v>181</v>
      </c>
      <c r="B84" s="3" t="str">
        <f ca="1">IFERROR(__xludf.DUMMYFUNCTION("GOOGLETRANSLATE(B84,""es"",""en"")"),"Government estimates paying S/ 350 million to overcome conflict in Las Bambas https://t.co/4AnbrjcBKX https://t.co/0jvmUwcIag")</f>
        <v>Government estimates paying S/ 350 million to overcome conflict in Las Bambas https://t.co/4AnbrjcBKX https://t.co/0jvmUwcIag</v>
      </c>
      <c r="C84" s="2" t="s">
        <v>204</v>
      </c>
      <c r="D84" s="1" t="s">
        <v>205</v>
      </c>
    </row>
    <row r="85" spans="1:4" ht="15.75" customHeight="1" x14ac:dyDescent="0.15">
      <c r="A85" s="1" t="s">
        <v>206</v>
      </c>
      <c r="B85" s="3" t="str">
        <f ca="1">IFERROR(__xludf.DUMMYFUNCTION("GOOGLETRANSLATE(B85,""es"",""en"")"),"RT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85" s="2" t="s">
        <v>207</v>
      </c>
      <c r="D85" s="1" t="s">
        <v>205</v>
      </c>
    </row>
    <row r="86" spans="1:4" ht="15.75" customHeight="1" x14ac:dyDescent="0.15">
      <c r="A86" s="1" t="s">
        <v>208</v>
      </c>
      <c r="B86" s="3" t="str">
        <f ca="1">IFERROR(__xludf.DUMMYFUNCTION("GOOGLETRANSLATE(B86,""es"",""en"")"),"RT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86" s="2" t="s">
        <v>209</v>
      </c>
      <c r="D86" s="1" t="s">
        <v>210</v>
      </c>
    </row>
    <row r="87" spans="1:4" ht="15.75" customHeight="1" x14ac:dyDescent="0.15">
      <c r="A87" s="1" t="s">
        <v>211</v>
      </c>
      <c r="B87" s="3" t="str">
        <f ca="1">IFERROR(__xludf.DUMMYFUNCTION("GOOGLETRANSLATE(B87,""es"",""en"")"),"RT @aleskrause: If you are looking to understand the origin of the conflict in Las Bambas, I suggest you read this article by Madeleine Osterling. Very clear.  https://t.co/SBywlaZCe8")</f>
        <v>RT @aleskrause: If you are looking to understand the origin of the conflict in Las Bambas, I suggest you read this article by Madeleine Osterling. Very clear.  https://t.co/SBywlaZCe8</v>
      </c>
      <c r="C87" s="2" t="s">
        <v>212</v>
      </c>
      <c r="D87" s="1" t="s">
        <v>210</v>
      </c>
    </row>
    <row r="88" spans="1:4" ht="15.75" customHeight="1" x14ac:dyDescent="0.15">
      <c r="A88" s="1" t="s">
        <v>213</v>
      </c>
      <c r="B88" s="3" t="str">
        <f ca="1">IFERROR(__xludf.DUMMYFUNCTION("GOOGLETRANSLATE(B88,""es"",""en"")"),"RT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88" s="2" t="s">
        <v>214</v>
      </c>
      <c r="D88" s="1" t="s">
        <v>215</v>
      </c>
    </row>
    <row r="89" spans="1:4" ht="15.75" customHeight="1" x14ac:dyDescent="0.15">
      <c r="A89" s="1" t="s">
        <v>216</v>
      </c>
      <c r="B89" s="3" t="str">
        <f ca="1">IFERROR(__xludf.DUMMYFUNCTION("GOOGLETRANSLATE(B89,""es"",""en"")"),"RT @jgodoym: Today David Rivera writes with several out-of-the-box ideas to improve the State's performance on social conflicts. Worth reading https://t.co/cELX5TgBOQ")</f>
        <v>RT @jgodoym: Today David Rivera writes with several out-of-the-box ideas to improve the State's performance on social conflicts. Worth reading https://t.co/cELX5TgBOQ</v>
      </c>
      <c r="C89" s="2" t="s">
        <v>217</v>
      </c>
      <c r="D89" s="1" t="s">
        <v>218</v>
      </c>
    </row>
    <row r="90" spans="1:4" ht="15.75" customHeight="1" x14ac:dyDescent="0.15">
      <c r="A90" s="1" t="s">
        <v>219</v>
      </c>
      <c r="B90" s="3" t="str">
        <f ca="1">IFERROR(__xludf.DUMMYFUNCTION("GOOGLETRANSLATE(B90,""es"",""en"")"),"RT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90" s="2" t="s">
        <v>220</v>
      </c>
      <c r="D90" s="1" t="s">
        <v>221</v>
      </c>
    </row>
    <row r="91" spans="1:4" ht="15.75" customHeight="1" x14ac:dyDescent="0.15">
      <c r="A91" s="1" t="s">
        <v>222</v>
      </c>
      <c r="B91" s="3" t="str">
        <f ca="1">IFERROR(__xludf.DUMMYFUNCTION("GOOGLETRANSLATE(B91,""es"",""en"")"),"RT @ExpresoPeru: ""It is very clear to me that, in the case of Las Bambas, as long as trucks continue to be used to remove the mineral within sight and patience of the communities, regardless of the pollution or the environmental impact, there will be pro"&amp;"blems.""
Read Madeleine Osterling: https://t.co/KIjfPRh0Xs")</f>
        <v>RT @ExpresoPeru: "It is very clear to me that, in the case of Las Bambas, as long as trucks continue to be used to remove the mineral within sight and patience of the communities, regardless of the pollution or the environmental impact, there will be problems."
Read Madeleine Osterling: https://t.co/KIjfPRh0Xs</v>
      </c>
      <c r="C91" s="2" t="s">
        <v>223</v>
      </c>
      <c r="D91" s="1" t="s">
        <v>221</v>
      </c>
    </row>
    <row r="92" spans="1:4" ht="15.75" customHeight="1" x14ac:dyDescent="0.15">
      <c r="A92" s="1" t="s">
        <v>224</v>
      </c>
      <c r="B92" s="3" t="str">
        <f ca="1">IFERROR(__xludf.DUMMYFUNCTION("GOOGLETRANSLATE(B92,""es"",""en"")"),"RT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92" s="2" t="s">
        <v>225</v>
      </c>
      <c r="D92" s="1" t="s">
        <v>226</v>
      </c>
    </row>
    <row r="93" spans="1:4" ht="15.75" customHeight="1" x14ac:dyDescent="0.15">
      <c r="A93" s="1" t="s">
        <v>227</v>
      </c>
      <c r="B93" s="3" t="str">
        <f ca="1">IFERROR(__xludf.DUMMYFUNCTION("GOOGLETRANSLATE(B93,""es"",""en"")"),"RT @Servindi: #LasBambas: A conflict that shows that the Peruvian State did not learn from the baguazos. By Elmer Torrejón Pizarro (anthropologist) → https://t.co/b1cj2TGAZC https://t.co/dtD2Wx5xPE")</f>
        <v>RT @Servindi: #LasBambas: A conflict that shows that the Peruvian State did not learn from the baguazos. By Elmer Torrejón Pizarro (anthropologist) → https://t.co/b1cj2TGAZC https://t.co/dtD2Wx5xPE</v>
      </c>
      <c r="C93" s="2" t="s">
        <v>228</v>
      </c>
      <c r="D93" s="1" t="s">
        <v>226</v>
      </c>
    </row>
    <row r="94" spans="1:4" ht="15.75" customHeight="1" x14ac:dyDescent="0.15">
      <c r="A94" s="1" t="s">
        <v>229</v>
      </c>
      <c r="B94" s="3" t="str">
        <f ca="1">IFERROR(__xludf.DUMMYFUNCTION("GOOGLETRANSLATE(B94,""es"",""en"")"),"Finally I read a clear explanation of the Las Bambas problem. If the agreements are not fulfilled, what can be expected? If they are modified without consensus and people's lives are changed, this happens. Let's start by seeing it.
https://t.co/hl3qu9VrJN")</f>
        <v>Finally I read a clear explanation of the Las Bambas problem. If the agreements are not fulfilled, what can be expected? If they are modified without consensus and people's lives are changed, this happens. Let's start by seeing it.
https://t.co/hl3qu9VrJN</v>
      </c>
      <c r="C94" s="2" t="s">
        <v>230</v>
      </c>
      <c r="D94" s="1" t="s">
        <v>226</v>
      </c>
    </row>
    <row r="95" spans="1:4" ht="15.75" customHeight="1" x14ac:dyDescent="0.15">
      <c r="A95" s="1" t="s">
        <v>231</v>
      </c>
      <c r="B95" s="3" t="str">
        <f ca="1">IFERROR(__xludf.DUMMYFUNCTION("GOOGLETRANSLATE(B95,""es"",""en"")"),"RT @manifiesto_peru: PROSECUTOR ADMITS THAT THEY RELEASED THE LEADER EVALUATING THE POLITICAL SITUATION
They detained Gregorio Rojas after 6 months of investigation and wiretapping, but only then did they realize that protesters were asking him for dialo"&amp;"gue in Las Bambas ▶️ https://t.co/XtKUcgKWvW https://t.co/Sn1c9rY2Ra")</f>
        <v>RT @manifiesto_peru: PROSECUTOR ADMITS THAT THEY RELEASED THE LEADER EVALUATING THE POLITICAL SITUATION
They detained Gregorio Rojas after 6 months of investigation and wiretapping, but only then did they realize that protesters were asking him for dialogue in Las Bambas ▶️ https://t.co/XtKUcgKWvW https://t.co/Sn1c9rY2Ra</v>
      </c>
      <c r="C95" s="2" t="s">
        <v>232</v>
      </c>
      <c r="D95" s="1" t="s">
        <v>233</v>
      </c>
    </row>
    <row r="96" spans="1:4" ht="15.75" customHeight="1" x14ac:dyDescent="0.15">
      <c r="A96" s="1" t="s">
        <v>213</v>
      </c>
      <c r="B96" s="3" t="str">
        <f ca="1">IFERROR(__xludf.DUMMYFUNCTION("GOOGLETRANSLATE(B96,""es"",""en"")"),"RT @Cecilia605040: After what happened in Las Bambas and the Fiori tragedy for allowing informal bus stops to operate, has the head of @MTC_GobPeru already resigned?")</f>
        <v>RT @Cecilia605040: After what happened in Las Bambas and the Fiori tragedy for allowing informal bus stops to operate, has the head of @MTC_GobPeru already resigned?</v>
      </c>
      <c r="C96" s="2" t="s">
        <v>234</v>
      </c>
      <c r="D96" s="1" t="s">
        <v>233</v>
      </c>
    </row>
    <row r="97" spans="1:4" ht="15.75" customHeight="1" x14ac:dyDescent="0.15">
      <c r="A97" s="1" t="s">
        <v>235</v>
      </c>
      <c r="B97" s="3" t="str">
        <f ca="1">IFERROR(__xludf.DUMMYFUNCTION("GOOGLETRANSLATE(B97,""es"",""en"")"),"RT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97" s="2" t="s">
        <v>236</v>
      </c>
      <c r="D97" s="1" t="s">
        <v>233</v>
      </c>
    </row>
    <row r="98" spans="1:4" ht="15.75" customHeight="1" x14ac:dyDescent="0.15">
      <c r="A98" s="1" t="s">
        <v>237</v>
      </c>
      <c r="B98" s="3" t="str">
        <f ca="1">IFERROR(__xludf.DUMMYFUNCTION("GOOGLETRANSLATE(B98,""es"",""en"")"),"RT @jgodoym: Today David Rivera writes with several out-of-the-box ideas to improve the State's performance on social conflicts. Worth reading https://t.co/cELX5TgBOQ")</f>
        <v>RT @jgodoym: Today David Rivera writes with several out-of-the-box ideas to improve the State's performance on social conflicts. Worth reading https://t.co/cELX5TgBOQ</v>
      </c>
      <c r="C98" s="2" t="s">
        <v>238</v>
      </c>
      <c r="D98" s="1" t="s">
        <v>233</v>
      </c>
    </row>
    <row r="99" spans="1:4" ht="15.75" customHeight="1" x14ac:dyDescent="0.15">
      <c r="A99" s="1" t="s">
        <v>239</v>
      </c>
      <c r="B99" s="3" t="str">
        <f ca="1">IFERROR(__xludf.DUMMYFUNCTION("GOOGLETRANSLATE(B99,""es"",""en"")"),"My article for iFOREX financial #news @iforex_com 
#LASBAMBAS paralyzed https://t.co/M7kHWSm0F7 #news #copper #cobre #perú")</f>
        <v>My article for iFOREX financial #news @iforex_com 
#LASBAMBAS paralyzed https://t.co/M7kHWSm0F7 #news #copper #cobre #perú</v>
      </c>
      <c r="C99" s="2" t="s">
        <v>240</v>
      </c>
      <c r="D99" s="1" t="s">
        <v>233</v>
      </c>
    </row>
    <row r="100" spans="1:4" ht="15.75" customHeight="1" x14ac:dyDescent="0.15">
      <c r="A100" s="1" t="s">
        <v>241</v>
      </c>
      <c r="B100" s="3" t="str">
        <f ca="1">IFERROR(__xludf.DUMMYFUNCTION("GOOGLETRANSLATE(B100,""es"",""en"")"),"🔴 Will community members unblock roads in Las Bambas if the state of emergency is lifted?
Don't forget to participate in our #Survey21 https://t.co/t7rf8xwbR9 https://t.co/Akr2XmTDW8")</f>
        <v>🔴 Will community members unblock roads in Las Bambas if the state of emergency is lifted?
Don't forget to participate in our #Survey21 https://t.co/t7rf8xwbR9 https://t.co/Akr2XmTDW8</v>
      </c>
      <c r="C100" s="2" t="s">
        <v>242</v>
      </c>
      <c r="D100" s="1" t="s">
        <v>243</v>
      </c>
    </row>
    <row r="101" spans="1:4" ht="15.75" customHeight="1" x14ac:dyDescent="0.15">
      <c r="A101" s="1" t="s">
        <v>244</v>
      </c>
      <c r="B101" s="3" t="str">
        <f ca="1">IFERROR(__xludf.DUMMYFUNCTION("GOOGLETRANSLATE(B101,""es"",""en"")"),"RT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101" s="2" t="s">
        <v>245</v>
      </c>
      <c r="D101" s="1" t="s">
        <v>243</v>
      </c>
    </row>
    <row r="102" spans="1:4" ht="15.75" customHeight="1" x14ac:dyDescent="0.15">
      <c r="A102" s="1" t="s">
        <v>246</v>
      </c>
      <c r="B102" s="3" t="str">
        <f ca="1">IFERROR(__xludf.DUMMYFUNCTION("GOOGLETRANSLATE(B102,""es"",""en"")"),"RT @paolobenza: What's happening in Las Bambas? This happens in Las Bambas:
- The mine - at the time, the largest project in the country - was originally owned by Xstrata, which also had Antapaccay. 
- In 2013 Glencore bought Xstrata and, to complete the "&amp;"operation, China demanded... [thread]")</f>
        <v>RT @paolobenza: What's happening in Las Bambas? This happens in Las Bambas:
- The mine - at the time, the largest project in the country - was originally owned by Xstrata, which also had Antapaccay. 
- In 2013 Glencore bought Xstrata and, to complete the operation, China demanded... [thread]</v>
      </c>
      <c r="C102" s="2" t="s">
        <v>247</v>
      </c>
      <c r="D102" s="1" t="s">
        <v>248</v>
      </c>
    </row>
    <row r="103" spans="1:4" ht="15.75" customHeight="1" x14ac:dyDescent="0.15">
      <c r="A103" s="1" t="s">
        <v>249</v>
      </c>
      <c r="B103" s="3" t="str">
        <f ca="1">IFERROR(__xludf.DUMMYFUNCTION("GOOGLETRANSLATE(B103,""es"",""en"")"),"RT @Yoly25gmailcom1: Vizcarra who is in the palace solves the problem of the sneakers, many dead Peruvians, shameless, they are all the same")</f>
        <v>RT @Yoly25gmailcom1: Vizcarra who is in the palace solves the problem of the sneakers, many dead Peruvians, shameless, they are all the same</v>
      </c>
      <c r="C103" s="2" t="s">
        <v>250</v>
      </c>
      <c r="D103" s="1" t="s">
        <v>248</v>
      </c>
    </row>
    <row r="104" spans="1:4" ht="15.75" customHeight="1" x14ac:dyDescent="0.15">
      <c r="A104" s="1" t="s">
        <v>251</v>
      </c>
      <c r="B104" s="3" t="str">
        <f ca="1">IFERROR(__xludf.DUMMYFUNCTION("GOOGLETRANSLATE(B104,""es"",""en"")"),"RT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104" s="2" t="s">
        <v>252</v>
      </c>
      <c r="D104" s="1" t="s">
        <v>253</v>
      </c>
    </row>
    <row r="105" spans="1:4" ht="15.75" customHeight="1" x14ac:dyDescent="0.15">
      <c r="A105" s="1" t="s">
        <v>254</v>
      </c>
      <c r="B105" s="3" t="str">
        <f ca="1">IFERROR(__xludf.DUMMYFUNCTION("GOOGLETRANSLATE(B105,""es"",""en"")"),"Government estimates paying S/ 350 million to overcome conflict in Las Bambas
Trujillo reveals that definitive highway construction involves investment of... https://t.co/UcaSu7pg1U")</f>
        <v>Government estimates paying S/ 350 million to overcome conflict in Las Bambas
Trujillo reveals that definitive highway construction involves investment of... https://t.co/UcaSu7pg1U</v>
      </c>
      <c r="C105" s="2" t="s">
        <v>255</v>
      </c>
      <c r="D105" s="1" t="s">
        <v>253</v>
      </c>
    </row>
    <row r="106" spans="1:4" ht="15.75" customHeight="1" x14ac:dyDescent="0.15">
      <c r="A106" s="1" t="s">
        <v>256</v>
      </c>
      <c r="B106" s="3" t="str">
        <f ca="1">IFERROR(__xludf.DUMMYFUNCTION("GOOGLETRANSLATE(B106,""es"",""en"")"),"@atvmasnoticias @atv_noticias Congressmen who earn so much money can't go to school. WHAT DO THESE CONGRESSIONAL RATS CHARGE?")</f>
        <v>@atvmasnoticias @atv_noticias Congressmen who earn so much money can't go to school. WHAT DO THESE CONGRESSIONAL RATS CHARGE?</v>
      </c>
      <c r="C106" s="2" t="s">
        <v>257</v>
      </c>
      <c r="D106" s="1" t="s">
        <v>253</v>
      </c>
    </row>
    <row r="107" spans="1:4" ht="15.75" customHeight="1" x14ac:dyDescent="0.15">
      <c r="A107" s="1" t="s">
        <v>258</v>
      </c>
      <c r="B107" s="3" t="str">
        <f ca="1">IFERROR(__xludf.DUMMYFUNCTION("GOOGLETRANSLATE(B107,""es"",""en"")"),"RT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107" s="2" t="s">
        <v>259</v>
      </c>
      <c r="D107" s="1" t="s">
        <v>260</v>
      </c>
    </row>
    <row r="108" spans="1:4" ht="15.75" customHeight="1" x14ac:dyDescent="0.15">
      <c r="A108" s="1" t="s">
        <v>261</v>
      </c>
      <c r="B108" s="3" t="str">
        <f ca="1">IFERROR(__xludf.DUMMYFUNCTION("GOOGLETRANSLATE(B108,""es"",""en"")"),"RT @aleskrause: If you are looking to understand the origin of the conflict in Las Bambas, I suggest you read this article by Madeleine Osterling. Very clear.  https://t.co/SBywlaZCe8")</f>
        <v>RT @aleskrause: If you are looking to understand the origin of the conflict in Las Bambas, I suggest you read this article by Madeleine Osterling. Very clear.  https://t.co/SBywlaZCe8</v>
      </c>
      <c r="C108" s="2" t="s">
        <v>262</v>
      </c>
      <c r="D108" s="1" t="s">
        <v>260</v>
      </c>
    </row>
    <row r="109" spans="1:4" ht="15.75" customHeight="1" x14ac:dyDescent="0.15">
      <c r="A109" s="1" t="s">
        <v>263</v>
      </c>
      <c r="B109" s="3" t="str">
        <f ca="1">IFERROR(__xludf.DUMMYFUNCTION("GOOGLETRANSLATE(B109,""es"",""en"")"),"Just enough.
""The Minister of Transportation and Communications, Edmer Trujillo, recognized the right of 38 communities to receive a payment for the use of 324 kilometers of their property to... https://t.co/uollchgG8g")</f>
        <v>Just enough.
"The Minister of Transportation and Communications, Edmer Trujillo, recognized the right of 38 communities to receive a payment for the use of 324 kilometers of their property to... https://t.co/uollchgG8g</v>
      </c>
      <c r="C109" s="2" t="s">
        <v>264</v>
      </c>
      <c r="D109" s="1" t="s">
        <v>260</v>
      </c>
    </row>
    <row r="110" spans="1:4" ht="15.75" customHeight="1" x14ac:dyDescent="0.15">
      <c r="A110" s="1" t="s">
        <v>200</v>
      </c>
      <c r="B110" s="3" t="str">
        <f ca="1">IFERROR(__xludf.DUMMYFUNCTION("GOOGLETRANSLATE(B110,""es"",""en"")"),"RT @AlcortaLourdes: CuartoPoder. The thing about Las Bambas is true that it comes back, BUT THIS government knew since last November that this problem had already been bursting!! They ignored the population, they belittled them. Nobody spoke to them, an a"&amp;"bsent Premier. The freeloaders arrived and told them, God knows what.")</f>
        <v>RT @AlcortaLourdes: CuartoPoder. The thing about Las Bambas is true that it comes back, BUT THIS government knew since last November that this problem had already been bursting!! They ignored the population, they belittled them. Nobody spoke to them, an absent Premier. The freeloaders arrived and told them, God knows what.</v>
      </c>
      <c r="C110" s="2" t="s">
        <v>265</v>
      </c>
      <c r="D110" s="1" t="s">
        <v>260</v>
      </c>
    </row>
    <row r="111" spans="1:4" ht="15.75" customHeight="1" x14ac:dyDescent="0.15">
      <c r="A111" s="1" t="s">
        <v>266</v>
      </c>
      <c r="B111" s="3" t="str">
        <f ca="1">IFERROR(__xludf.DUMMYFUNCTION("GOOGLETRANSLATE(B111,""es"",""en"")"),"Jorge Muñoz (@JorgeMunozAP) mayor of Lima (@MuniLima) on the Las Bambas case: “sensibility must prevail”
#National 103.9")</f>
        <v>Jorge Muñoz (@JorgeMunozAP) mayor of Lima (@MuniLima) on the Las Bambas case: “sensibility must prevail”
#National 103.9</v>
      </c>
      <c r="C111" s="2" t="s">
        <v>267</v>
      </c>
      <c r="D111" s="1" t="s">
        <v>268</v>
      </c>
    </row>
    <row r="112" spans="1:4" ht="15.75" customHeight="1" x14ac:dyDescent="0.15">
      <c r="A112" s="1" t="s">
        <v>269</v>
      </c>
      <c r="B112" s="3" t="str">
        <f ca="1">IFERROR(__xludf.DUMMYFUNCTION("GOOGLETRANSLATE(B112,""es"",""en"")"),"@atv_noticias @atvpe, report on the ""las Bambas"" situation. What will those Peruvians say who say: ""a tough hand against the community members who block the roads..."". After seeing that report, what will @dsalaverryv say??@congresoperu")</f>
        <v>@atv_noticias @atvpe, report on the "las Bambas" situation. What will those Peruvians say who say: "a tough hand against the community members who block the roads...". After seeing that report, what will @dsalaverryv say??@congresoperu</v>
      </c>
      <c r="C112" s="2" t="s">
        <v>270</v>
      </c>
      <c r="D112" s="1" t="s">
        <v>271</v>
      </c>
    </row>
    <row r="113" spans="1:4" ht="15.75" customHeight="1" x14ac:dyDescent="0.15">
      <c r="A113" s="1" t="s">
        <v>272</v>
      </c>
      <c r="B113" s="3" t="str">
        <f ca="1">IFERROR(__xludf.DUMMYFUNCTION("GOOGLETRANSLATE(B113,""es"",""en"")"),"@MilagrosLeivaG Why don't they ask the leaders. Of the sneakers. What development projects are they asking of the mining company? They only ask for money.  Why don't they ask for a hospital, a good school, an institute.  And technical irrigation for your "&amp;"agriculture. The mining company does that.  But these leaders")</f>
        <v>@MilagrosLeivaG Why don't they ask the leaders. Of the sneakers. What development projects are they asking of the mining company? They only ask for money.  Why don't they ask for a hospital, a good school, an institute.  And technical irrigation for your agriculture. The mining company does that.  But these leaders</v>
      </c>
      <c r="C113" s="2" t="s">
        <v>273</v>
      </c>
      <c r="D113" s="1" t="s">
        <v>271</v>
      </c>
    </row>
    <row r="114" spans="1:4" ht="15.75" customHeight="1" x14ac:dyDescent="0.15">
      <c r="A114" s="1" t="s">
        <v>274</v>
      </c>
      <c r="B114" s="3" t="str">
        <f ca="1">IFERROR(__xludf.DUMMYFUNCTION("GOOGLETRANSLATE(B114,""es"",""en"")"),"RT @aleskrause: If you are looking to understand the origin of the conflict in Las Bambas, I suggest you read this article by Madeleine Osterling. Very clear.  https://t.co/SBywlaZCe8")</f>
        <v>RT @aleskrause: If you are looking to understand the origin of the conflict in Las Bambas, I suggest you read this article by Madeleine Osterling. Very clear.  https://t.co/SBywlaZCe8</v>
      </c>
      <c r="C114" s="2" t="s">
        <v>275</v>
      </c>
      <c r="D114" s="1" t="s">
        <v>276</v>
      </c>
    </row>
    <row r="115" spans="1:4" ht="15.75" customHeight="1" x14ac:dyDescent="0.15">
      <c r="A115" s="1" t="s">
        <v>277</v>
      </c>
      <c r="B115" s="3" t="str">
        <f ca="1">IFERROR(__xludf.DUMMYFUNCTION("GOOGLETRANSLATE(B115,""es"",""en"")"),"RT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115" s="2" t="s">
        <v>278</v>
      </c>
      <c r="D115" s="1" t="s">
        <v>276</v>
      </c>
    </row>
    <row r="116" spans="1:4" ht="15.75" customHeight="1" x14ac:dyDescent="0.15">
      <c r="A116" s="1" t="s">
        <v>279</v>
      </c>
      <c r="B116" s="3" t="str">
        <f ca="1">IFERROR(__xludf.DUMMYFUNCTION("GOOGLETRANSLATE(B116,""es"",""en"")"),"#LasBambas: State willing to pay more than S/ 300 million to communities ⬇️ https://t.co/pb3ivDiW7c")</f>
        <v>#LasBambas: State willing to pay more than S/ 300 million to communities ⬇️ https://t.co/pb3ivDiW7c</v>
      </c>
      <c r="C116" s="2" t="s">
        <v>280</v>
      </c>
      <c r="D116" s="1" t="s">
        <v>281</v>
      </c>
    </row>
    <row r="117" spans="1:4" ht="15.75" customHeight="1" x14ac:dyDescent="0.15">
      <c r="A117" s="1" t="s">
        <v>282</v>
      </c>
      <c r="B117" s="3" t="str">
        <f ca="1">IFERROR(__xludf.DUMMYFUNCTION("GOOGLETRANSLATE(B117,""es"",""en"")"),"RT @JorgeBasadre7: Good report where in the sneakers area it really shows how the community members live and why they have property like trucks. I hope the press and opinion leaders, instead of supporting all the abuse, think that we must equate the gain "&amp;"levels for both")</f>
        <v>RT @JorgeBasadre7: Good report where in the sneakers area it really shows how the community members live and why they have property like trucks. I hope the press and opinion leaders, instead of supporting all the abuse, think that we must equate the gain levels for both</v>
      </c>
      <c r="C117" s="2" t="s">
        <v>283</v>
      </c>
      <c r="D117" s="1" t="s">
        <v>281</v>
      </c>
    </row>
    <row r="118" spans="1:4" ht="15.75" customHeight="1" x14ac:dyDescent="0.15">
      <c r="A118" s="1" t="s">
        <v>284</v>
      </c>
      <c r="B118" s="3" t="str">
        <f ca="1">IFERROR(__xludf.DUMMYFUNCTION("GOOGLETRANSLATE(B118,""es"",""en"")"),"RT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118" s="2" t="s">
        <v>285</v>
      </c>
      <c r="D118" s="1" t="s">
        <v>286</v>
      </c>
    </row>
    <row r="119" spans="1:4" ht="15.75" customHeight="1" x14ac:dyDescent="0.15">
      <c r="A119" s="1" t="s">
        <v>287</v>
      </c>
      <c r="B119" s="3" t="str">
        <f ca="1">IFERROR(__xludf.DUMMYFUNCTION("GOOGLETRANSLATE(B119,""es"",""en"")"),"Speaking of extortion, Vizcarra and del Solar should be arrested for extorting the communities of Las Bambas by suggesting that if they lift the blockade the government will lift the state of emergency.")</f>
        <v>Speaking of extortion, Vizcarra and del Solar should be arrested for extorting the communities of Las Bambas by suggesting that if they lift the blockade the government will lift the state of emergency.</v>
      </c>
      <c r="C119" s="2" t="s">
        <v>288</v>
      </c>
      <c r="D119" s="1" t="s">
        <v>286</v>
      </c>
    </row>
    <row r="120" spans="1:4" ht="15.75" customHeight="1" x14ac:dyDescent="0.15">
      <c r="A120" s="1" t="s">
        <v>289</v>
      </c>
      <c r="B120" s="3" t="str">
        <f ca="1">IFERROR(__xludf.DUMMYFUNCTION("GOOGLETRANSLATE(B120,""es"",""en"")"),"A community is not a criminal organization. https://t.co/U3pIXLWVz6")</f>
        <v>A community is not a criminal organization. https://t.co/U3pIXLWVz6</v>
      </c>
      <c r="C120" s="2" t="s">
        <v>290</v>
      </c>
      <c r="D120" s="1" t="s">
        <v>286</v>
      </c>
    </row>
    <row r="121" spans="1:4" ht="15.75" customHeight="1" x14ac:dyDescent="0.15">
      <c r="A121" s="1" t="s">
        <v>194</v>
      </c>
      <c r="B121" s="3" t="str">
        <f ca="1">IFERROR(__xludf.DUMMYFUNCTION("GOOGLETRANSLATE(B121,""es"",""en"")"),"RT @Gestionpe: Government estimates paying S/ 350 million to overcome conflict in Las Bambas ► https://t.co/cpIX0vCx38 https://t.co/Sy3BDSdShe")</f>
        <v>RT @Gestionpe: Government estimates paying S/ 350 million to overcome conflict in Las Bambas ► https://t.co/cpIX0vCx38 https://t.co/Sy3BDSdShe</v>
      </c>
      <c r="C121" s="2" t="s">
        <v>291</v>
      </c>
      <c r="D121" s="1" t="s">
        <v>292</v>
      </c>
    </row>
    <row r="122" spans="1:4" ht="15.75" customHeight="1" x14ac:dyDescent="0.15">
      <c r="A122" s="1" t="s">
        <v>293</v>
      </c>
      <c r="B122" s="3" t="str">
        <f ca="1">IFERROR(__xludf.DUMMYFUNCTION("GOOGLETRANSLATE(B122,""es"",""en"")"),"RT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122" s="2" t="s">
        <v>294</v>
      </c>
      <c r="D122" s="1" t="s">
        <v>292</v>
      </c>
    </row>
    <row r="123" spans="1:4" ht="15.75" customHeight="1" x14ac:dyDescent="0.15">
      <c r="A123" s="1" t="s">
        <v>295</v>
      </c>
      <c r="B123" s="3" t="str">
        <f ca="1">IFERROR(__xludf.DUMMYFUNCTION("GOOGLETRANSLATE(B123,""es"",""en"")"),"RT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123" s="2" t="s">
        <v>296</v>
      </c>
      <c r="D123" s="1" t="s">
        <v>292</v>
      </c>
    </row>
    <row r="124" spans="1:4" ht="15.75" customHeight="1" x14ac:dyDescent="0.15">
      <c r="A124" s="1" t="s">
        <v>297</v>
      </c>
      <c r="B124" s="3" t="str">
        <f ca="1">IFERROR(__xludf.DUMMYFUNCTION("GOOGLETRANSLATE(B124,""es"",""en"")"),"""Commit to the community to relieve the truck system within a certain period... Start the construction of the mineral pipeline, they have only lost 3 of 20 recoverable years..."" | @PepeMoquillaza proposes solutions to the #LasBambas conflict https://t.c"&amp;"o/x0YM2i0bIk")</f>
        <v>"Commit to the community to relieve the truck system within a certain period... Start the construction of the mineral pipeline, they have only lost 3 of 20 recoverable years..." | @PepeMoquillaza proposes solutions to the #LasBambas conflict https://t.co/x0YM2i0bIk</v>
      </c>
      <c r="C124" s="2" t="s">
        <v>298</v>
      </c>
      <c r="D124" s="1" t="s">
        <v>299</v>
      </c>
    </row>
    <row r="125" spans="1:4" ht="15.75" customHeight="1" x14ac:dyDescent="0.15">
      <c r="A125" s="1" t="s">
        <v>300</v>
      </c>
      <c r="B125" s="3" t="str">
        <f ca="1">IFERROR(__xludf.DUMMYFUNCTION("GOOGLETRANSLATE(B125,""es"",""en"")"),"Solution door. Premier Salvador del Solar and leader Gregorio Rojas met yesterday at the headquarters of the Peruvian Episcopal Conference. If community members remove the blockade towards Las Bambas today, the Executive will lift the state of emergency ►"&amp;" https://t.co/o8sCsloUXv https://t.co/l24EPCZBZ1")</f>
        <v>Solution door. Premier Salvador del Solar and leader Gregorio Rojas met yesterday at the headquarters of the Peruvian Episcopal Conference. If community members remove the blockade towards Las Bambas today, the Executive will lift the state of emergency ► https://t.co/o8sCsloUXv https://t.co/l24EPCZBZ1</v>
      </c>
      <c r="C125" s="2" t="s">
        <v>301</v>
      </c>
      <c r="D125" s="1" t="s">
        <v>299</v>
      </c>
    </row>
    <row r="126" spans="1:4" ht="15.75" customHeight="1" x14ac:dyDescent="0.15">
      <c r="A126" s="1" t="s">
        <v>302</v>
      </c>
      <c r="B126" s="3" t="str">
        <f ca="1">IFERROR(__xludf.DUMMYFUNCTION("GOOGLETRANSLATE(B126,""es"",""en"")"),"RT @radio_santarosa: #NOW || Rosa María Palacios on Las Bambas: The vision of the Peruvian left is the vision that the other is not a citizen. He is almost a disabled person who must be protected. 
Follow us on &amp;gt;&amp;gt;&amp;gt; https://t.co/ZBo0cr2G2C
@rmapa"&amp;"lacios @gmtavarac 
#Fiori #Peru 
#Odebrecht #DelSolar https://t.co/2MdtUPSTD2")</f>
        <v>RT @radio_santarosa: #NOW || Rosa María Palacios on Las Bambas: The vision of the Peruvian left is the vision that the other is not a citizen. He is almost a disabled person who must be protected. 
Follow us on &amp;gt;&amp;gt;&amp;gt; https://t.co/ZBo0cr2G2C
@rmapalacios @gmtavarac 
#Fiori #Peru 
#Odebrecht #DelSolar https://t.co/2MdtUPSTD2</v>
      </c>
      <c r="C126" s="2" t="s">
        <v>303</v>
      </c>
      <c r="D126" s="1" t="s">
        <v>299</v>
      </c>
    </row>
    <row r="127" spans="1:4" ht="15.75" customHeight="1" x14ac:dyDescent="0.15">
      <c r="A127" s="1" t="s">
        <v>304</v>
      </c>
      <c r="B127" s="3" t="str">
        <f ca="1">IFERROR(__xludf.DUMMYFUNCTION("GOOGLETRANSLATE(B127,""es"",""en"")"),"RT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127" s="2" t="s">
        <v>305</v>
      </c>
      <c r="D127" s="1" t="s">
        <v>299</v>
      </c>
    </row>
    <row r="128" spans="1:4" ht="15.75" customHeight="1" x14ac:dyDescent="0.15">
      <c r="A128" s="1" t="s">
        <v>306</v>
      </c>
      <c r="B128" s="3" t="str">
        <f ca="1">IFERROR(__xludf.DUMMYFUNCTION("GOOGLETRANSLATE(B128,""es"",""en"")"),"RT @paolobenza: What's happening in Las Bambas? This happens in Las Bambas:
- The mine - at the time, the largest project in the country - was originally owned by Xstrata, which also had Antapaccay. 
- In 2013 Glencore bought Xstrata and, to complete the "&amp;"operation, China demanded... [thread]")</f>
        <v>RT @paolobenza: What's happening in Las Bambas? This happens in Las Bambas:
- The mine - at the time, the largest project in the country - was originally owned by Xstrata, which also had Antapaccay. 
- In 2013 Glencore bought Xstrata and, to complete the operation, China demanded... [thread]</v>
      </c>
      <c r="C128" s="2" t="s">
        <v>307</v>
      </c>
      <c r="D128" s="1" t="s">
        <v>308</v>
      </c>
    </row>
    <row r="129" spans="1:4" ht="15.75" customHeight="1" x14ac:dyDescent="0.15">
      <c r="A129" s="1" t="s">
        <v>309</v>
      </c>
      <c r="B129" s="3" t="str">
        <f ca="1">IFERROR(__xludf.DUMMYFUNCTION("GOOGLETRANSLATE(B129,""es"",""en"")"),"In this context, shouldn't the Apurímac congressmen have a role in the social conflict in Las Bambas? What has Acción Popular or the congressmen from Lima said about yesterday's tragedy in Fiori? What is political representation in Peru? @gmtavarac")</f>
        <v>In this context, shouldn't the Apurímac congressmen have a role in the social conflict in Las Bambas? What has Acción Popular or the congressmen from Lima said about yesterday's tragedy in Fiori? What is political representation in Peru? @gmtavarac</v>
      </c>
      <c r="C129" s="2" t="s">
        <v>310</v>
      </c>
      <c r="D129" s="1" t="s">
        <v>308</v>
      </c>
    </row>
    <row r="130" spans="1:4" ht="15.75" customHeight="1" x14ac:dyDescent="0.15">
      <c r="A130" s="1" t="s">
        <v>311</v>
      </c>
      <c r="B130" s="3" t="str">
        <f ca="1">IFERROR(__xludf.DUMMYFUNCTION("GOOGLETRANSLATE(B130,""es"",""en"")"),"@irazz83 @_0ta_ @sidneykh @xiopink89 You will have the sneakers in the fridge https://t.co/PxKVI8BaIo")</f>
        <v>@irazz83 @_0ta_ @sidneykh @xiopink89 You will have the sneakers in the fridge https://t.co/PxKVI8BaIo</v>
      </c>
      <c r="C130" s="2" t="s">
        <v>312</v>
      </c>
      <c r="D130" s="1" t="s">
        <v>313</v>
      </c>
    </row>
    <row r="131" spans="1:4" ht="15.75" customHeight="1" x14ac:dyDescent="0.15">
      <c r="A131" s="1" t="s">
        <v>314</v>
      </c>
      <c r="B131" s="3" t="str">
        <f ca="1">IFERROR(__xludf.DUMMYFUNCTION("GOOGLETRANSLATE(B131,""es"",""en"")"),"@radio_santarosa @rmapalacios @gmtavarac BAMBAS !!!BAMBAS THAT IS THE MISTREATMENT THEY RECEIVE FOR ACCEPTING MINING MINING!!! IT IS THE CURSE OF OUR ANCESTORS BROTHERS OF THE ANDES EYES THAT SEE AND EARS THAT HEAR WE CAN PRODUCE WHEAT AND MAKE FLOUR THAT"&amp;" TODAY PERU IMPORTS SO THAT THE CRIOLLADA COLLECTS KICKES!")</f>
        <v>@radio_santarosa @rmapalacios @gmtavarac BAMBAS !!!BAMBAS THAT IS THE MISTREATMENT THEY RECEIVE FOR ACCEPTING MINING MINING!!! IT IS THE CURSE OF OUR ANCESTORS BROTHERS OF THE ANDES EYES THAT SEE AND EARS THAT HEAR WE CAN PRODUCE WHEAT AND MAKE FLOUR THAT TODAY PERU IMPORTS SO THAT THE CRIOLLADA COLLECTS KICKES!</v>
      </c>
      <c r="C131" s="2" t="s">
        <v>315</v>
      </c>
      <c r="D131" s="1" t="s">
        <v>313</v>
      </c>
    </row>
    <row r="132" spans="1:4" ht="15.75" customHeight="1" x14ac:dyDescent="0.15">
      <c r="A132" s="1" t="s">
        <v>293</v>
      </c>
      <c r="B132" s="3" t="str">
        <f ca="1">IFERROR(__xludf.DUMMYFUNCTION("GOOGLETRANSLATE(B132,""es"",""en"")"),"RT @lamula: ""Commit to the community to relieve the truck system within a given period... Start the construction of the mineral pipeline, they have only lost 3 of 20 recoverable years..."" | @PepeMoquillaza proposes solutions to the #LasBambas conflict h"&amp;"ttps://t.co/x0YM2i0bIk")</f>
        <v>RT @lamula: "Commit to the community to relieve the truck system within a given period... Start the construction of the mineral pipeline, they have only lost 3 of 20 recoverable years..." | @PepeMoquillaza proposes solutions to the #LasBambas conflict https://t.co/x0YM2i0bIk</v>
      </c>
      <c r="C132" s="2" t="s">
        <v>316</v>
      </c>
      <c r="D132" s="1" t="s">
        <v>313</v>
      </c>
    </row>
    <row r="133" spans="1:4" ht="15.75" customHeight="1" x14ac:dyDescent="0.15">
      <c r="A133" s="1" t="s">
        <v>314</v>
      </c>
      <c r="B133" s="3" t="str">
        <f ca="1">IFERROR(__xludf.DUMMYFUNCTION("GOOGLETRANSLATE(B133,""es"",""en"")"),"RT @carmendeate1: @radio_santarosa @rmapalacios @gmtavarac BAMBAS !!!BAMBAS THAT IS THE MISTREATMENT THEY RECEIVE FOR ACCEPTING MINING MINING!!! IT IS THE CURSE OF OUR ANCESTORS BROTHERS OF THE ANDES EYES THAT SEE AND EARS THAT HEAR WE CAN PRODUCE WHEAT A"&amp;"ND MAKE FLOUR THAT TODAY PERU IMPORTS SO THAT THE CRIOLLADA COLLECTS KICKES!")</f>
        <v>RT @carmendeate1: @radio_santarosa @rmapalacios @gmtavarac BAMBAS !!!BAMBAS THAT IS THE MISTREATMENT THEY RECEIVE FOR ACCEPTING MINING MINING!!! IT IS THE CURSE OF OUR ANCESTORS BROTHERS OF THE ANDES EYES THAT SEE AND EARS THAT HEAR WE CAN PRODUCE WHEAT AND MAKE FLOUR THAT TODAY PERU IMPORTS SO THAT THE CRIOLLADA COLLECTS KICKES!</v>
      </c>
      <c r="C133" s="2" t="s">
        <v>317</v>
      </c>
      <c r="D133" s="1" t="s">
        <v>318</v>
      </c>
    </row>
    <row r="134" spans="1:4" ht="15.75" customHeight="1" x14ac:dyDescent="0.15">
      <c r="A134" s="1" t="s">
        <v>319</v>
      </c>
      <c r="B134" s="3" t="str">
        <f ca="1">IFERROR(__xludf.DUMMYFUNCTION("GOOGLETRANSLATE(B134,""es"",""en"")"),"RT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134" s="2" t="s">
        <v>320</v>
      </c>
      <c r="D134" s="1" t="s">
        <v>318</v>
      </c>
    </row>
    <row r="135" spans="1:4" ht="15.75" customHeight="1" x14ac:dyDescent="0.15">
      <c r="A135" s="1" t="s">
        <v>321</v>
      </c>
      <c r="B135" s="3" t="str">
        <f ca="1">IFERROR(__xludf.DUMMYFUNCTION("GOOGLETRANSLATE(B135,""es"",""en"")"),"CECILIANO YOU NEED TO BE A GRINGA AND SHOW YOU YOUR PLANT OF CEOS DON'T BE A HUACHAFA, THAT DOESN'T WORK HERE, FROM BAD TO WORSE, I WOULD HAVE PREFERRED A PAGE ON THE PROBLEM OF THE BAMBAS")</f>
        <v>CECILIANO YOU NEED TO BE A GRINGA AND SHOW YOU YOUR PLANT OF CEOS DON'T BE A HUACHAFA, THAT DOESN'T WORK HERE, FROM BAD TO WORSE, I WOULD HAVE PREFERRED A PAGE ON THE PROBLEM OF THE BAMBAS</v>
      </c>
      <c r="C135" s="2" t="s">
        <v>322</v>
      </c>
      <c r="D135" s="1" t="s">
        <v>318</v>
      </c>
    </row>
    <row r="136" spans="1:4" ht="15.75" customHeight="1" x14ac:dyDescent="0.15">
      <c r="A136" s="1" t="s">
        <v>323</v>
      </c>
      <c r="B136" s="3" t="str">
        <f ca="1">IFERROR(__xludf.DUMMYFUNCTION("GOOGLETRANSLATE(B136,""es"",""en"")"),"RT @godtaehx: de acordo com o seu mês de aniversário, pra quem você daria até até nas pernas ficarem sneakers?
jan-taehyung 
fev-jimin
mar- jungkook
abr- namjoon
mai-hoseok
jun-jin
jul- bts inteiro 
ago-yoongi 
set- hoseok
out-taehyung 
Nov - Jungkook 
d"&amp;"ez-jimin")</f>
        <v>RT @godtaehx: de acordo com o seu mês de aniversário, pra quem você daria até até nas pernas ficarem sneakers?
jan-taehyung 
fev-jimin
mar- jungkook
abr- namjoon
mai-hoseok
jun-jin
jul- bts inteiro 
ago-yoongi 
set- hoseok
out-taehyung 
Nov - Jungkook 
dez-jimin</v>
      </c>
      <c r="C136" s="2" t="s">
        <v>324</v>
      </c>
      <c r="D136" s="1" t="s">
        <v>318</v>
      </c>
    </row>
    <row r="137" spans="1:4" ht="15.75" customHeight="1" x14ac:dyDescent="0.15">
      <c r="A137" s="1" t="s">
        <v>325</v>
      </c>
      <c r="B137" s="3" t="str">
        <f ca="1">IFERROR(__xludf.DUMMYFUNCTION("GOOGLETRANSLATE(B137,""es"",""en"")"),"We talk, write and comment on the Las Bambas mining company every day.
But almost no one takes a deep approach to it.
Starting today I will make a summary of the reality of this mining case that has the country in a debacle without a solution.
Two months "&amp;"on strike.")</f>
        <v>We talk, write and comment on the Las Bambas mining company every day.
But almost no one takes a deep approach to it.
Starting today I will make a summary of the reality of this mining case that has the country in a debacle without a solution.
Two months on strike.</v>
      </c>
      <c r="C137" s="2" t="s">
        <v>326</v>
      </c>
      <c r="D137" s="1" t="s">
        <v>327</v>
      </c>
    </row>
    <row r="138" spans="1:4" ht="15.75" customHeight="1" x14ac:dyDescent="0.15">
      <c r="A138" s="1" t="s">
        <v>328</v>
      </c>
      <c r="B138" s="3" t="str">
        <f ca="1">IFERROR(__xludf.DUMMYFUNCTION("GOOGLETRANSLATE(B138,""es"",""en"")"),"If you want some information with entertainment listen to this....  
The firm ones and the sneakers episode of Moloko Podcast
https://t.co/PFA49Es1QP")</f>
        <v>If you want some information with entertainment listen to this....  
The firm ones and the sneakers episode of Moloko Podcast
https://t.co/PFA49Es1QP</v>
      </c>
      <c r="C138" s="2" t="s">
        <v>329</v>
      </c>
      <c r="D138" s="1" t="s">
        <v>327</v>
      </c>
    </row>
    <row r="139" spans="1:4" ht="15.75" customHeight="1" x14ac:dyDescent="0.15">
      <c r="A139" s="1" t="s">
        <v>330</v>
      </c>
      <c r="B139" s="3" t="str">
        <f ca="1">IFERROR(__xludf.DUMMYFUNCTION("GOOGLETRANSLATE(B139,""es"",""en"")"),"RT @atv_noticias: Why is the conflict generated in Las Bambas? @MilagrosLeivaG explains the chronology of the conflict. The host of our program, #ATVNoticiasMatinal, analyzed the situation that has now totaled 52 days of blockade at the mine.
Full video ➡"&amp;"️ https://t.co/zYQbxkZUZA https://t.co/holKSdsJt9")</f>
        <v>RT @atv_noticias: Why is the conflict generated in Las Bambas? @MilagrosLeivaG explains the chronology of the conflict. The host of our program, #ATVNoticiasMatinal, analyzed the situation that has now totaled 52 days of blockade at the mine.
Full video ➡️ https://t.co/zYQbxkZUZA https://t.co/holKSdsJt9</v>
      </c>
      <c r="C139" s="2" t="s">
        <v>331</v>
      </c>
      <c r="D139" s="1" t="s">
        <v>327</v>
      </c>
    </row>
    <row r="140" spans="1:4" ht="15.75" customHeight="1" x14ac:dyDescent="0.15">
      <c r="A140" s="1" t="s">
        <v>332</v>
      </c>
      <c r="B140" s="3" t="str">
        <f ca="1">IFERROR(__xludf.DUMMYFUNCTION("GOOGLETRANSLATE(B140,""es"",""en"")"),"mo bamboo
mo sneakers
mo bamba
we danced
mo bamban")</f>
        <v>mo bamboo
mo sneakers
mo bamba
we danced
mo bamban</v>
      </c>
      <c r="C140" s="2" t="s">
        <v>333</v>
      </c>
      <c r="D140" s="1" t="s">
        <v>334</v>
      </c>
    </row>
    <row r="141" spans="1:4" ht="15.75" customHeight="1" x14ac:dyDescent="0.15">
      <c r="A141" s="1" t="s">
        <v>335</v>
      </c>
      <c r="B141" s="3" t="str">
        <f ca="1">IFERROR(__xludf.DUMMYFUNCTION("GOOGLETRANSLATE(B141,""es"",""en"")"),"@PBODigital @Plinio2009: 
Everything would have been avoided if Verónika Mendoza (PPK guarantor) had not OPPOSED, along with her pro-PCP-SL comrade Oscar MOLLOHUANCA, the installation of the Mining Pipeline. Why did she do it? Days ago he encouraged the "&amp;"""chavelos"" to speak in Congress. https://t.co/c1COaIqOqI")</f>
        <v>@PBODigital @Plinio2009: 
Everything would have been avoided if Verónika Mendoza (PPK guarantor) had not OPPOSED, along with her pro-PCP-SL comrade Oscar MOLLOHUANCA, the installation of the Mining Pipeline. Why did she do it? Days ago he encouraged the "chavelos" to speak in Congress. https://t.co/c1COaIqOqI</v>
      </c>
      <c r="C141" s="2" t="s">
        <v>336</v>
      </c>
      <c r="D141" s="1" t="s">
        <v>334</v>
      </c>
    </row>
    <row r="142" spans="1:4" ht="15.75" customHeight="1" x14ac:dyDescent="0.15">
      <c r="A142" s="1" t="s">
        <v>337</v>
      </c>
      <c r="B142" s="3" t="str">
        <f ca="1">IFERROR(__xludf.DUMMYFUNCTION("GOOGLETRANSLATE(B142,""es"",""en"")"),"Las Bambas: cause or effects? https://t.co/9D5fdSTrGZ")</f>
        <v>Las Bambas: cause or effects? https://t.co/9D5fdSTrGZ</v>
      </c>
      <c r="C142" s="2" t="s">
        <v>338</v>
      </c>
      <c r="D142" s="1" t="s">
        <v>334</v>
      </c>
    </row>
    <row r="143" spans="1:4" ht="15.75" customHeight="1" x14ac:dyDescent="0.15">
      <c r="A143" s="1" t="s">
        <v>339</v>
      </c>
      <c r="B143" s="3" t="str">
        <f ca="1">IFERROR(__xludf.DUMMYFUNCTION("GOOGLETRANSLATE(B143,""es"",""en"")"),"RT @jsaldanacuba: Brilliant article by Alfredo Torres about Las Bambas. He summarizes everything in the final sentence: ""The author is executive president of Ipsos Perú. The company has carried out studies for Las Bambas."" 
If I started there, there wa"&amp;"s no need to waste time reading more.
https://t.co/MB24a8kEgQ")</f>
        <v>RT @jsaldanacuba: Brilliant article by Alfredo Torres about Las Bambas. He summarizes everything in the final sentence: "The author is executive president of Ipsos Perú. The company has carried out studies for Las Bambas." 
If I started there, there was no need to waste time reading more.
https://t.co/MB24a8kEgQ</v>
      </c>
      <c r="C143" s="2" t="s">
        <v>340</v>
      </c>
      <c r="D143" s="1" t="s">
        <v>341</v>
      </c>
    </row>
    <row r="144" spans="1:4" ht="15.75" customHeight="1" x14ac:dyDescent="0.15">
      <c r="A144" s="1" t="s">
        <v>342</v>
      </c>
      <c r="B144" s="3" t="str">
        <f ca="1">IFERROR(__xludf.DUMMYFUNCTION("GOOGLETRANSLATE(B144,""es"",""en"")"),"RT @Gestionpe: Government estimates paying S/ 350 million to overcome conflict in Las Bambas ► https://t.co/cpIX0vCx38 https://t.co/Sy3BDSdShe")</f>
        <v>RT @Gestionpe: Government estimates paying S/ 350 million to overcome conflict in Las Bambas ► https://t.co/cpIX0vCx38 https://t.co/Sy3BDSdShe</v>
      </c>
      <c r="C144" s="2" t="s">
        <v>343</v>
      </c>
      <c r="D144" s="1" t="s">
        <v>341</v>
      </c>
    </row>
    <row r="145" spans="1:4" ht="15.75" customHeight="1" x14ac:dyDescent="0.15">
      <c r="A145" s="1" t="s">
        <v>344</v>
      </c>
      <c r="B145" s="3" t="str">
        <f ca="1">IFERROR(__xludf.DUMMYFUNCTION("GOOGLETRANSLATE(B145,""es"",""en"")"),"@eljorobado This happens BECAUSE HE IS INTENSIVE to the BIG PROBLEMS OF THE COUNTRY, he has no LEADERSHIP, he does not face THE PROBLEMS like LAS BAMBAS, where he shows that it is a WEAK, INCAPABLE government.")</f>
        <v>@eljorobado This happens BECAUSE HE IS INTENSIVE to the BIG PROBLEMS OF THE COUNTRY, he has no LEADERSHIP, he does not face THE PROBLEMS like LAS BAMBAS, where he shows that it is a WEAK, INCAPABLE government.</v>
      </c>
      <c r="C145" s="2" t="s">
        <v>345</v>
      </c>
      <c r="D145" s="1" t="s">
        <v>346</v>
      </c>
    </row>
    <row r="146" spans="1:4" ht="15.75" customHeight="1" x14ac:dyDescent="0.15">
      <c r="A146" s="1" t="s">
        <v>347</v>
      </c>
      <c r="B146" s="3" t="str">
        <f ca="1">IFERROR(__xludf.DUMMYFUNCTION("GOOGLETRANSLATE(B146,""es"",""en"")"),"Las Bambas | They deny attack on a helicopter transporting ministers https://t.co/UXiT6prqpB")</f>
        <v>Las Bambas | They deny attack on a helicopter transporting ministers https://t.co/UXiT6prqpB</v>
      </c>
      <c r="C146" s="2" t="s">
        <v>348</v>
      </c>
      <c r="D146" s="1" t="s">
        <v>346</v>
      </c>
    </row>
    <row r="147" spans="1:4" ht="15.75" customHeight="1" x14ac:dyDescent="0.15">
      <c r="A147" s="1" t="s">
        <v>349</v>
      </c>
      <c r="B147" s="3" t="str">
        <f ca="1">IFERROR(__xludf.DUMMYFUNCTION("GOOGLETRANSLATE(B147,""es"",""en"")"),"RT @ConsultantsCtl: Our Partners @c3sarmv
and @mportocarrero spoke on Friday about the social conflict in Las Bambas and the dismissal of workers in companies.
#CTL #LegalFriday #Business #Companies #LasBambas #MINEM #Dismissals #LaborLaw #SUNAFIL #MINTRA"&amp;" https://t.co/GM7Bm2kvfi")</f>
        <v>RT @ConsultantsCtl: Our Partners @c3sarmv
and @mportocarrero spoke on Friday about the social conflict in Las Bambas and the dismissal of workers in companies.
#CTL #LegalFriday #Business #Companies #LasBambas #MINEM #Dismissals #LaborLaw #SUNAFIL #MINTRA https://t.co/GM7Bm2kvfi</v>
      </c>
      <c r="C147" s="2" t="s">
        <v>350</v>
      </c>
      <c r="D147" s="1" t="s">
        <v>351</v>
      </c>
    </row>
    <row r="148" spans="1:4" ht="15.75" customHeight="1" x14ac:dyDescent="0.15">
      <c r="A148" s="1" t="s">
        <v>352</v>
      </c>
      <c r="B148" s="3" t="str">
        <f ca="1">IFERROR(__xludf.DUMMYFUNCTION("GOOGLETRANSLATE(B148,""es"",""en"")"),"RT @PrimerPedal: Question, I repeat, question:
Are those who mediated in Conga, Espinar and La Oroya the ones doing the same in Las Bambas?
If it's true, we already know how this story is going to end.")</f>
        <v>RT @PrimerPedal: Question, I repeat, question:
Are those who mediated in Conga, Espinar and La Oroya the ones doing the same in Las Bambas?
If it's true, we already know how this story is going to end.</v>
      </c>
      <c r="C148" s="2" t="s">
        <v>353</v>
      </c>
      <c r="D148" s="1" t="s">
        <v>351</v>
      </c>
    </row>
    <row r="149" spans="1:4" ht="15.75" customHeight="1" x14ac:dyDescent="0.15">
      <c r="A149" s="1" t="s">
        <v>354</v>
      </c>
      <c r="B149" s="3" t="str">
        <f ca="1">IFERROR(__xludf.DUMMYFUNCTION("GOOGLETRANSLATE(B149,""es"",""en"")"),"Mr. #MartinVizcarra, with all due respect (I refer to the facts), it only does not demonstrate #Incapacity and #ineptitude, there are other ""dictations"" such as #Mediocrity and #cynicism that ""flaunt"" his #Presidential Majesty.
#CouldThisHotPotatoCool"&amp;"?
https://t.co/4kl8vf8ZRr")</f>
        <v>Mr. #MartinVizcarra, with all due respect (I refer to the facts), it only does not demonstrate #Incapacity and #ineptitude, there are other "dictations" such as #Mediocrity and #cynicism that "flaunt" his #Presidential Majesty.
#CouldThisHotPotatoCool?
https://t.co/4kl8vf8ZRr</v>
      </c>
      <c r="C149" s="2" t="s">
        <v>355</v>
      </c>
      <c r="D149" s="1" t="s">
        <v>356</v>
      </c>
    </row>
    <row r="150" spans="1:4" ht="15.75" customHeight="1" x14ac:dyDescent="0.15">
      <c r="A150" s="1" t="s">
        <v>357</v>
      </c>
      <c r="B150" s="3" t="str">
        <f ca="1">IFERROR(__xludf.DUMMYFUNCTION("GOOGLETRANSLATE(B150,""es"",""en"")"),"RT @ConvocaPe: In July 2014 Glencore Read the hidden operation here: https://t.co/9bfkexRDZN https://t.co/54chLJxwOl")</f>
        <v>RT @ConvocaPe: In July 2014 Glencore Read the hidden operation here: https://t.co/9bfkexRDZN https://t.co/54chLJxwOl</v>
      </c>
      <c r="C150" s="2" t="s">
        <v>358</v>
      </c>
      <c r="D150" s="1" t="s">
        <v>356</v>
      </c>
    </row>
    <row r="151" spans="1:4" ht="15.75" customHeight="1" x14ac:dyDescent="0.15">
      <c r="A151" s="1" t="s">
        <v>359</v>
      </c>
      <c r="B151" s="3" t="str">
        <f ca="1">IFERROR(__xludf.DUMMYFUNCTION("GOOGLETRANSLATE(B151,""es"",""en"")"),"We heard from Minister @EdmerTrujilloM last night on @Cuarto_Poder that the State will pay compensation for + S/. 300 million to the communities and owners of the corridor through which the Las Bambas mineral transits and that paving the road will cost S/"&amp;".1,600 million more.")</f>
        <v>We heard from Minister @EdmerTrujilloM last night on @Cuarto_Poder that the State will pay compensation for + S/. 300 million to the communities and owners of the corridor through which the Las Bambas mineral transits and that paving the road will cost S/.1,600 million more.</v>
      </c>
      <c r="C151" s="2" t="s">
        <v>360</v>
      </c>
      <c r="D151" s="1" t="s">
        <v>361</v>
      </c>
    </row>
    <row r="152" spans="1:4" ht="15.75" customHeight="1" x14ac:dyDescent="0.15">
      <c r="A152" s="1" t="s">
        <v>362</v>
      </c>
      <c r="B152" s="3" t="str">
        <f ca="1">IFERROR(__xludf.DUMMYFUNCTION("GOOGLETRANSLATE(B152,""es"",""en"")"),"RT @Jorgedelama: José De Echave talked about Las Bambas with Sol Carreño. He is a director of Cooperación, an anti-extractivist NGO that receives funds from the Open Society like its ""allies"". Abel Gilvonio works there, son of terrorists and a communist"&amp;" who attacked Cardinal Cipriani on Twitter Photos👇 https://t.co/l8BHyMqeao")</f>
        <v>RT @Jorgedelama: José De Echave talked about Las Bambas with Sol Carreño. He is a director of Cooperación, an anti-extractivist NGO that receives funds from the Open Society like its "allies". Abel Gilvonio works there, son of terrorists and a communist who attacked Cardinal Cipriani on Twitter Photos👇 https://t.co/l8BHyMqeao</v>
      </c>
      <c r="C152" s="2" t="s">
        <v>363</v>
      </c>
      <c r="D152" s="1" t="s">
        <v>364</v>
      </c>
    </row>
    <row r="153" spans="1:4" ht="15.75" customHeight="1" x14ac:dyDescent="0.15">
      <c r="A153" s="1" t="s">
        <v>365</v>
      </c>
      <c r="B153" s="3" t="str">
        <f ca="1">IFERROR(__xludf.DUMMYFUNCTION("GOOGLETRANSLATE(B153,""es"",""en"")"),"RT @Ojo_Publico: #LoÚltimo Judicial Branch suspends preventive detention hearing against the Chávez Sotelo brothers, advisors of #Fuerabamba. It is rescheduled for tomorrow at 10 a.m. #LasBambas https://t.co/UCH9ljxxuZ https://t.co/oTHIGQ5hXM")</f>
        <v>RT @Ojo_Publico: #LoÚltimo Judicial Branch suspends preventive detention hearing against the Chávez Sotelo brothers, advisors of #Fuerabamba. It is rescheduled for tomorrow at 10 a.m. #LasBambas https://t.co/UCH9ljxxuZ https://t.co/oTHIGQ5hXM</v>
      </c>
      <c r="C153" s="2" t="s">
        <v>366</v>
      </c>
      <c r="D153" s="1" t="s">
        <v>367</v>
      </c>
    </row>
    <row r="154" spans="1:4" ht="15.75" customHeight="1" x14ac:dyDescent="0.15">
      <c r="A154" s="1" t="s">
        <v>368</v>
      </c>
      <c r="B154" s="3" t="str">
        <f ca="1">IFERROR(__xludf.DUMMYFUNCTION("GOOGLETRANSLATE(B154,""es"",""en"")"),"RT @willynugent: About Las Bambas the issue of liberalism comes up again. For this, the basis of ALL rights is private property, not citizenship.
That is why they need the fiction of Peru as a country of owners rather than citizens.")</f>
        <v>RT @willynugent: About Las Bambas the issue of liberalism comes up again. For this, the basis of ALL rights is private property, not citizenship.
That is why they need the fiction of Peru as a country of owners rather than citizens.</v>
      </c>
      <c r="C154" s="2" t="s">
        <v>369</v>
      </c>
      <c r="D154" s="1" t="s">
        <v>367</v>
      </c>
    </row>
    <row r="155" spans="1:4" ht="15.75" customHeight="1" x14ac:dyDescent="0.15">
      <c r="A155" s="1" t="s">
        <v>370</v>
      </c>
      <c r="B155" s="3" t="str">
        <f ca="1">IFERROR(__xludf.DUMMYFUNCTION("GOOGLETRANSLATE(B155,""es"",""en"")"),"RT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155" s="2" t="s">
        <v>371</v>
      </c>
      <c r="D155" s="1" t="s">
        <v>367</v>
      </c>
    </row>
    <row r="156" spans="1:4" ht="15.75" customHeight="1" x14ac:dyDescent="0.15">
      <c r="A156" s="1" t="s">
        <v>372</v>
      </c>
      <c r="B156" s="3" t="str">
        <f ca="1">IFERROR(__xludf.DUMMYFUNCTION("GOOGLETRANSLATE(B156,""es"",""en"")"),"RT @xafu: Vizcarra and Ppk set Las Bambas on fire.
When he was minister, Martín Vizcarra created expectations in the community members, by promising investments of more than 2,000 million soles, which were not fulfilled.
Ppk took advantage of the mineral "&amp;"pipeline for transportation in its trucks.
via @ExpresoPeru https://t.co/pA8jElFbv5")</f>
        <v>RT @xafu: Vizcarra and Ppk set Las Bambas on fire.
When he was minister, Martín Vizcarra created expectations in the community members, by promising investments of more than 2,000 million soles, which were not fulfilled.
Ppk took advantage of the mineral pipeline for transportation in its trucks.
via @ExpresoPeru https://t.co/pA8jElFbv5</v>
      </c>
      <c r="C156" s="2" t="s">
        <v>373</v>
      </c>
      <c r="D156" s="1" t="s">
        <v>374</v>
      </c>
    </row>
    <row r="157" spans="1:4" ht="15.75" customHeight="1" x14ac:dyDescent="0.15">
      <c r="A157" s="1" t="s">
        <v>375</v>
      </c>
      <c r="B157" s="3" t="str">
        <f ca="1">IFERROR(__xludf.DUMMYFUNCTION("GOOGLETRANSLATE(B157,""es"",""en"")"),"Lack of air with the legs, sneakers of love")</f>
        <v>Lack of air with the legs, sneakers of love</v>
      </c>
      <c r="C157" s="2" t="s">
        <v>376</v>
      </c>
      <c r="D157" s="1" t="s">
        <v>374</v>
      </c>
    </row>
    <row r="158" spans="1:4" ht="15.75" customHeight="1" x14ac:dyDescent="0.15">
      <c r="A158" s="1" t="s">
        <v>377</v>
      </c>
      <c r="B158" s="3" t="str">
        <f ca="1">IFERROR(__xludf.DUMMYFUNCTION("GOOGLETRANSLATE(B158,""es"",""en"")"),"Las Bambas: State willing to pay more than S/ 300 million to communities https://t.co/rp4ihy2Vrp")</f>
        <v>Las Bambas: State willing to pay more than S/ 300 million to communities https://t.co/rp4ihy2Vrp</v>
      </c>
      <c r="C158" s="2" t="s">
        <v>378</v>
      </c>
      <c r="D158" s="1" t="s">
        <v>379</v>
      </c>
    </row>
    <row r="159" spans="1:4" ht="15.75" customHeight="1" x14ac:dyDescent="0.15">
      <c r="A159" s="1" t="s">
        <v>380</v>
      </c>
      <c r="B159" s="3" t="str">
        <f ca="1">IFERROR(__xludf.DUMMYFUNCTION("GOOGLETRANSLATE(B159,""es"",""en"")"),"RT @manifiesto_peru: PROSECUTOR ADMITS THAT THEY RELEASED THE LEADER EVALUATING THE POLITICAL SITUATION
They detained Gregorio Rojas after 6 months of investigation and wiretapping, but only then did they realize that protesters were asking him for dialo"&amp;"gue in Las Bambas ▶️ https://t.co/XtKUcgKWvW https://t.co/Sn1c9rY2Ra")</f>
        <v>RT @manifiesto_peru: PROSECUTOR ADMITS THAT THEY RELEASED THE LEADER EVALUATING THE POLITICAL SITUATION
They detained Gregorio Rojas after 6 months of investigation and wiretapping, but only then did they realize that protesters were asking him for dialogue in Las Bambas ▶️ https://t.co/XtKUcgKWvW https://t.co/Sn1c9rY2Ra</v>
      </c>
      <c r="C159" s="2" t="s">
        <v>381</v>
      </c>
      <c r="D159" s="1" t="s">
        <v>379</v>
      </c>
    </row>
    <row r="160" spans="1:4" ht="15.75" customHeight="1" x14ac:dyDescent="0.15">
      <c r="A160" s="1" t="s">
        <v>382</v>
      </c>
      <c r="B160" s="3" t="str">
        <f ca="1">IFERROR(__xludf.DUMMYFUNCTION("GOOGLETRANSLATE(B160,""es"",""en"")"),"RT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160" s="2" t="s">
        <v>383</v>
      </c>
      <c r="D160" s="1" t="s">
        <v>384</v>
      </c>
    </row>
    <row r="161" spans="1:4" ht="15.75" customHeight="1" x14ac:dyDescent="0.15">
      <c r="A161" s="1" t="s">
        <v>385</v>
      </c>
      <c r="B161" s="3" t="str">
        <f ca="1">IFERROR(__xludf.DUMMYFUNCTION("GOOGLETRANSLATE(B161,""es"",""en"")"),"📰#International|The Peruvian Catholic Church today opened a dialogue between the government and the community of Fuerabamba, in search of a solution to a conflict that has kept the Las Bambas copper mine blocked for two months. https://t.co/jQiTeBKHnJ")</f>
        <v>📰#International|The Peruvian Catholic Church today opened a dialogue between the government and the community of Fuerabamba, in search of a solution to a conflict that has kept the Las Bambas copper mine blocked for two months. https://t.co/jQiTeBKHnJ</v>
      </c>
      <c r="C161" s="2" t="s">
        <v>386</v>
      </c>
      <c r="D161" s="1" t="s">
        <v>384</v>
      </c>
    </row>
    <row r="162" spans="1:4" ht="15.75" customHeight="1" x14ac:dyDescent="0.15">
      <c r="A162" s="1" t="s">
        <v>157</v>
      </c>
      <c r="B162" s="3" t="str">
        <f ca="1">IFERROR(__xludf.DUMMYFUNCTION("GOOGLETRANSLATE(B162,""es"",""en"")"),"@eljorobado In summary Humpback, we are full of laws, regulations, directives that are a dead letter. We have first world laws, in a third world society.
Don't let them listen to me in Las Bambas!")</f>
        <v>@eljorobado In summary Humpback, we are full of laws, regulations, directives that are a dead letter. We have first world laws, in a third world society.
Don't let them listen to me in Las Bambas!</v>
      </c>
      <c r="C162" s="2" t="s">
        <v>387</v>
      </c>
      <c r="D162" s="1" t="s">
        <v>384</v>
      </c>
    </row>
    <row r="163" spans="1:4" ht="15.75" customHeight="1" x14ac:dyDescent="0.15">
      <c r="A163" s="1" t="s">
        <v>388</v>
      </c>
      <c r="B163" s="3" t="str">
        <f ca="1">IFERROR(__xludf.DUMMYFUNCTION("GOOGLETRANSLATE(B163,""es"",""en"")"),"RT @conf_episcopal: #LasBambas Today at 12:30 p.m. Monsignor Miguel Cabrejos, President of the Peruvian Episcopate, receives a visit from the Ombudsman, Dr. Walter Gutierrez, to discuss the Las Bambas conflict.")</f>
        <v>RT @conf_episcopal: #LasBambas Today at 12:30 p.m. Monsignor Miguel Cabrejos, President of the Peruvian Episcopate, receives a visit from the Ombudsman, Dr. Walter Gutierrez, to discuss the Las Bambas conflict.</v>
      </c>
      <c r="C163" s="2" t="s">
        <v>389</v>
      </c>
      <c r="D163" s="1" t="s">
        <v>384</v>
      </c>
    </row>
    <row r="164" spans="1:4" ht="15.75" customHeight="1" x14ac:dyDescent="0.15">
      <c r="A164" s="1" t="s">
        <v>390</v>
      </c>
      <c r="B164" s="3" t="str">
        <f ca="1">IFERROR(__xludf.DUMMYFUNCTION("GOOGLETRANSLATE(B164,""es"",""en"")"),"RT @madriz_memes: Stop calling sneakers, t-shirts or tennis shoes to what are normal fucking sneakers. 
First notification")</f>
        <v>RT @madriz_memes: Stop calling sneakers, t-shirts or tennis shoes to what are normal fucking sneakers. 
First notification</v>
      </c>
      <c r="C164" s="2" t="s">
        <v>391</v>
      </c>
      <c r="D164" s="1" t="s">
        <v>392</v>
      </c>
    </row>
    <row r="165" spans="1:4" ht="15.75" customHeight="1" x14ac:dyDescent="0.15">
      <c r="A165" s="1" t="s">
        <v>393</v>
      </c>
      <c r="B165" s="3" t="str">
        <f ca="1">IFERROR(__xludf.DUMMYFUNCTION("GOOGLETRANSLATE(B165,""es"",""en"")"),"RT @iormachea: We heard from Minister @EdmerTrujilloM last night on @Cuarto_Poder that the State will pay compensation for + S/. 300 million to the communities and owners of the corridor through which the Las Bambas mineral transits and that paving the ro"&amp;"ad will cost S/.1,600 million more.")</f>
        <v>RT @iormachea: We heard from Minister @EdmerTrujilloM last night on @Cuarto_Poder that the State will pay compensation for + S/. 300 million to the communities and owners of the corridor through which the Las Bambas mineral transits and that paving the road will cost S/.1,600 million more.</v>
      </c>
      <c r="C165" s="2" t="s">
        <v>394</v>
      </c>
      <c r="D165" s="1" t="s">
        <v>392</v>
      </c>
    </row>
    <row r="166" spans="1:4" ht="15.75" customHeight="1" x14ac:dyDescent="0.15">
      <c r="A166" s="1" t="s">
        <v>395</v>
      </c>
      <c r="B166" s="3" t="str">
        <f ca="1">IFERROR(__xludf.DUMMYFUNCTION("GOOGLETRANSLATE(B166,""es"",""en"")"),"RT @manifiesto_peru: PROSECUTOR ADMITS THAT THEY RELEASED THE LEADER EVALUATING THE POLITICAL SITUATION
They detained Gregorio Rojas after 6 months of investigation and wiretapping, but only then did they realize that protesters were asking him for dialo"&amp;"gue in Las Bambas ▶️ https://t.co/XtKUcgKWvW https://t.co/Sn1c9rY2Ra")</f>
        <v>RT @manifiesto_peru: PROSECUTOR ADMITS THAT THEY RELEASED THE LEADER EVALUATING THE POLITICAL SITUATION
They detained Gregorio Rojas after 6 months of investigation and wiretapping, but only then did they realize that protesters were asking him for dialogue in Las Bambas ▶️ https://t.co/XtKUcgKWvW https://t.co/Sn1c9rY2Ra</v>
      </c>
      <c r="C166" s="2" t="s">
        <v>396</v>
      </c>
      <c r="D166" s="1" t="s">
        <v>397</v>
      </c>
    </row>
    <row r="167" spans="1:4" ht="15.75" customHeight="1" x14ac:dyDescent="0.15">
      <c r="A167" s="1" t="s">
        <v>241</v>
      </c>
      <c r="B167" s="3" t="str">
        <f ca="1">IFERROR(__xludf.DUMMYFUNCTION("GOOGLETRANSLATE(B167,""es"",""en"")"),"#OPINION 
Mávila Huertas (@MavilaHuertasC): Las Bambas and the lesson never learned
Don't stop reading 'Opina.21' https://t.co/TVosMSF7qt https://t.co/Razgq6MF1h")</f>
        <v>#OPINION 
Mávila Huertas (@MavilaHuertasC): Las Bambas and the lesson never learned
Don't stop reading 'Opina.21' https://t.co/TVosMSF7qt https://t.co/Razgq6MF1h</v>
      </c>
      <c r="C167" s="2" t="s">
        <v>398</v>
      </c>
      <c r="D167" s="1" t="s">
        <v>397</v>
      </c>
    </row>
    <row r="168" spans="1:4" ht="15.75" customHeight="1" x14ac:dyDescent="0.15">
      <c r="A168" s="1" t="s">
        <v>399</v>
      </c>
      <c r="B168" s="3" t="str">
        <f ca="1">IFERROR(__xludf.DUMMYFUNCTION("GOOGLETRANSLATE(B168,""es"",""en"")"),"DE LAS BAMBAS MAKES ME BELIEVE... THAT THIS PUPPET PPKAUSA FROM VIZCARRATA LET IT OVERFLOW TO... IN HIS MOMENT COVER UP ABOUT ODEBRECHT, COVER UP ABOUT MRS KEIKO'S PRISON AND MAKE HER MANAGEMENT A SONG TO DEMOCRACY..TOOD IT CAME OUT OF HIS BACK...HE WENT "&amp;"ON HIS FACE AND TODAY FLOATS AT 25%")</f>
        <v>DE LAS BAMBAS MAKES ME BELIEVE... THAT THIS PUPPET PPKAUSA FROM VIZCARRATA LET IT OVERFLOW TO... IN HIS MOMENT COVER UP ABOUT ODEBRECHT, COVER UP ABOUT MRS KEIKO'S PRISON AND MAKE HER MANAGEMENT A SONG TO DEMOCRACY..TOOD IT CAME OUT OF HIS BACK...HE WENT ON HIS FACE AND TODAY FLOATS AT 25%</v>
      </c>
      <c r="C168" s="2" t="s">
        <v>400</v>
      </c>
      <c r="D168" s="1" t="s">
        <v>401</v>
      </c>
    </row>
    <row r="169" spans="1:4" ht="15.75" customHeight="1" x14ac:dyDescent="0.15">
      <c r="A169" s="1" t="s">
        <v>402</v>
      </c>
      <c r="B169" s="3" t="str">
        <f ca="1">IFERROR(__xludf.DUMMYFUNCTION("GOOGLETRANSLATE(B169,""es"",""en"")"),"And once again, the Catholic Church saving the Peruvian government's skin, intervening as a mediator this time in Las Bambas! At this rate... better that the Church govern or give it the Ministry of the Presidency! From Ripley!")</f>
        <v>And once again, the Catholic Church saving the Peruvian government's skin, intervening as a mediator this time in Las Bambas! At this rate... better that the Church govern or give it the Ministry of the Presidency! From Ripley!</v>
      </c>
      <c r="C169" s="2" t="s">
        <v>403</v>
      </c>
      <c r="D169" s="1" t="s">
        <v>404</v>
      </c>
    </row>
    <row r="170" spans="1:4" ht="15.75" customHeight="1" x14ac:dyDescent="0.15">
      <c r="A170" s="1" t="s">
        <v>405</v>
      </c>
      <c r="B170" s="3" t="str">
        <f ca="1">IFERROR(__xludf.DUMMYFUNCTION("GOOGLETRANSLATE(B170,""es"",""en"")"),"RT @ConsultantsCtl: Our Partners @c3sarmv
and @mportocarrero spoke on Friday about the social conflict in Las Bambas and the dismissal of workers in companies.
#CTL #LegalFriday #Business #Companies #LasBambas #MINEM #Dismissals #LaborLaw #SUNAFIL #MINTRA"&amp;" https://t.co/GM7Bm2kvfi")</f>
        <v>RT @ConsultantsCtl: Our Partners @c3sarmv
and @mportocarrero spoke on Friday about the social conflict in Las Bambas and the dismissal of workers in companies.
#CTL #LegalFriday #Business #Companies #LasBambas #MINEM #Dismissals #LaborLaw #SUNAFIL #MINTRA https://t.co/GM7Bm2kvfi</v>
      </c>
      <c r="C170" s="2" t="s">
        <v>406</v>
      </c>
      <c r="D170" s="1" t="s">
        <v>404</v>
      </c>
    </row>
    <row r="171" spans="1:4" ht="15.75" customHeight="1" x14ac:dyDescent="0.15">
      <c r="A171" s="1" t="s">
        <v>407</v>
      </c>
      <c r="B171" s="3" t="str">
        <f ca="1">IFERROR(__xludf.DUMMYFUNCTION("GOOGLETRANSLATE(B171,""es"",""en"")"),"RT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171" s="2" t="s">
        <v>408</v>
      </c>
      <c r="D171" s="1" t="s">
        <v>404</v>
      </c>
    </row>
    <row r="172" spans="1:4" ht="15.75" customHeight="1" x14ac:dyDescent="0.15">
      <c r="A172" s="1" t="s">
        <v>409</v>
      </c>
      <c r="B172" s="3" t="str">
        <f ca="1">IFERROR(__xludf.DUMMYFUNCTION("GOOGLETRANSLATE(B172,""es"",""en"")"),"RT @jdeechave: Good summary of how the Las Bambas project has been changing permanently without the population being adequately informed... https://t.co/8XVr32eWma")</f>
        <v>RT @jdeechave: Good summary of how the Las Bambas project has been changing permanently without the population being adequately informed... https://t.co/8XVr32eWma</v>
      </c>
      <c r="C172" s="2" t="s">
        <v>410</v>
      </c>
      <c r="D172" s="1" t="s">
        <v>404</v>
      </c>
    </row>
    <row r="173" spans="1:4" ht="15.75" customHeight="1" x14ac:dyDescent="0.15">
      <c r="A173" s="1" t="s">
        <v>411</v>
      </c>
      <c r="B173" s="3" t="str">
        <f ca="1">IFERROR(__xludf.DUMMYFUNCTION("GOOGLETRANSLATE(B173,""es"",""en"")"),"The government and the community members of Fuerabamba resumed dialogue to find a solution to the current social conflict over the #LasBambas mining project. The head of the cabinet, Salvador del Solar, and the president of the Fuerabamba community, Grego"&amp;"rio Rojas,... https://t.co/fDASTyM5DB")</f>
        <v>The government and the community members of Fuerabamba resumed dialogue to find a solution to the current social conflict over the #LasBambas mining project. The head of the cabinet, Salvador del Solar, and the president of the Fuerabamba community, Gregorio Rojas,... https://t.co/fDASTyM5DB</v>
      </c>
      <c r="C173" s="2" t="s">
        <v>412</v>
      </c>
      <c r="D173" s="1" t="s">
        <v>404</v>
      </c>
    </row>
    <row r="174" spans="1:4" ht="15.75" customHeight="1" x14ac:dyDescent="0.15">
      <c r="A174" s="1" t="s">
        <v>413</v>
      </c>
      <c r="B174" s="3" t="str">
        <f ca="1">IFERROR(__xludf.DUMMYFUNCTION("GOOGLETRANSLATE(B174,""es"",""en"")"),"RT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174" s="2" t="s">
        <v>414</v>
      </c>
      <c r="D174" s="1" t="s">
        <v>415</v>
      </c>
    </row>
    <row r="175" spans="1:4" ht="15.75" customHeight="1" x14ac:dyDescent="0.15">
      <c r="A175" s="1" t="s">
        <v>416</v>
      </c>
      <c r="B175" s="3" t="str">
        <f ca="1">IFERROR(__xludf.DUMMYFUNCTION("GOOGLETRANSLATE(B175,""es"",""en"")"),"RT @tema0902: I don't understand how @AlanGarciaPeru CRITICIZES THE GOVERNMENT, with what morals if it has crime, money laundering, delinquency, No reconstruction in Pisco, Narco Pardons, Massacre in the Frontón, El Baguazo, Dólar Muc, bribes from ODB, Pe"&amp;"troaudios. DO YOU LIKE TROLLING?
https://t.co/fWoMHDzIHG")</f>
        <v>RT @tema0902: I don't understand how @AlanGarciaPeru CRITICIZES THE GOVERNMENT, with what morals if it has crime, money laundering, delinquency, No reconstruction in Pisco, Narco Pardons, Massacre in the Frontón, El Baguazo, Dólar Muc, bribes from ODB, Petroaudios. DO YOU LIKE TROLLING?
https://t.co/fWoMHDzIHG</v>
      </c>
      <c r="C175" s="2" t="s">
        <v>417</v>
      </c>
      <c r="D175" s="1" t="s">
        <v>415</v>
      </c>
    </row>
    <row r="176" spans="1:4" ht="15.75" customHeight="1" x14ac:dyDescent="0.15">
      <c r="A176" s="1" t="s">
        <v>418</v>
      </c>
      <c r="B176" s="3" t="str">
        <f ca="1">IFERROR(__xludf.DUMMYFUNCTION("GOOGLETRANSLATE(B176,""es"",""en"")"),"RT @matuk: @rmapalacios 1) Road that crosses Yavi-Yavi did not exist before the purchase of Las Bambas 
2) Easement did not exist when Las Bambas bought Yavi-Yavi
3) Easement is registered when Las Bambas is the owner of Yavi-Yavi
4) Las Bambas delivers Y"&amp;"avi-Yavi with bondage
5) Yavi-Yavi = Trojan Horse")</f>
        <v>RT @matuk: @rmapalacios 1) Road that crosses Yavi-Yavi did not exist before the purchase of Las Bambas 
2) Easement did not exist when Las Bambas bought Yavi-Yavi
3) Easement is registered when Las Bambas is the owner of Yavi-Yavi
4) Las Bambas delivers Yavi-Yavi with bondage
5) Yavi-Yavi = Trojan Horse</v>
      </c>
      <c r="C176" s="2" t="s">
        <v>419</v>
      </c>
      <c r="D176" s="1" t="s">
        <v>415</v>
      </c>
    </row>
    <row r="177" spans="1:4" ht="15.75" customHeight="1" x14ac:dyDescent="0.15">
      <c r="A177" s="1" t="s">
        <v>420</v>
      </c>
      <c r="B177" s="3" t="str">
        <f ca="1">IFERROR(__xludf.DUMMYFUNCTION("GOOGLETRANSLATE(B177,""es"",""en"")"),"Seizure in Las Bambas: paralysis and losses https://t.co/Xkl4QlQoSH via @YouTube")</f>
        <v>Seizure in Las Bambas: paralysis and losses https://t.co/Xkl4QlQoSH via @YouTube</v>
      </c>
      <c r="C177" s="2" t="s">
        <v>421</v>
      </c>
      <c r="D177" s="1" t="s">
        <v>422</v>
      </c>
    </row>
    <row r="178" spans="1:4" ht="15.75" customHeight="1" x14ac:dyDescent="0.15">
      <c r="A178" s="1" t="s">
        <v>420</v>
      </c>
      <c r="B178" s="3" t="str">
        <f ca="1">IFERROR(__xludf.DUMMYFUNCTION("GOOGLETRANSLATE(B178,""es"",""en"")"),"RT @anatari33: Convulsion in Las Bambas: paralysis and losses https://t.co/Xkl4QlQoSH via @YouTube")</f>
        <v>RT @anatari33: Convulsion in Las Bambas: paralysis and losses https://t.co/Xkl4QlQoSH via @YouTube</v>
      </c>
      <c r="C178" s="2" t="s">
        <v>423</v>
      </c>
      <c r="D178" s="1" t="s">
        <v>422</v>
      </c>
    </row>
    <row r="179" spans="1:4" ht="15.75" customHeight="1" x14ac:dyDescent="0.15">
      <c r="A179" s="1" t="s">
        <v>424</v>
      </c>
      <c r="B179" s="3" t="str">
        <f ca="1">IFERROR(__xludf.DUMMYFUNCTION("GOOGLETRANSLATE(B179,""es"",""en"")"),"Community members of Las Bambas await a meeting with Gregorio Rojas to reevaluate the strike https://t.co/0wKqd98k3I https://t.co/u9BdA7VPow")</f>
        <v>Community members of Las Bambas await a meeting with Gregorio Rojas to reevaluate the strike https://t.co/0wKqd98k3I https://t.co/u9BdA7VPow</v>
      </c>
      <c r="C179" s="2" t="s">
        <v>425</v>
      </c>
      <c r="D179" s="1" t="s">
        <v>426</v>
      </c>
    </row>
    <row r="180" spans="1:4" ht="15.75" customHeight="1" x14ac:dyDescent="0.15">
      <c r="A180" s="1" t="s">
        <v>427</v>
      </c>
      <c r="B180" s="3" t="str">
        <f ca="1">IFERROR(__xludf.DUMMYFUNCTION("GOOGLETRANSLATE(B180,""es"",""en"")"),"@AdrianoBitti @FUribe20 
Esse vascaíno até now has amazing legs.
Vlw Uribe")</f>
        <v>@AdrianoBitti @FUribe20 
Esse vascaíno até now has amazing legs.
Vlw Uribe</v>
      </c>
      <c r="C180" s="2" t="s">
        <v>428</v>
      </c>
      <c r="D180" s="1" t="s">
        <v>426</v>
      </c>
    </row>
    <row r="181" spans="1:4" ht="15.75" customHeight="1" x14ac:dyDescent="0.15">
      <c r="A181" s="1" t="s">
        <v>429</v>
      </c>
      <c r="B181" s="3" t="str">
        <f ca="1">IFERROR(__xludf.DUMMYFUNCTION("GOOGLETRANSLATE(B181,""es"",""en"")"),"@otravezandres @Politica_ECpe ....Lustful and libidinous tricks are being woven for Bambas.
Accommodating listener and reader of tweeters.")</f>
        <v>@otravezandres @Politica_ECpe ....Lustful and libidinous tricks are being woven for Bambas.
Accommodating listener and reader of tweeters.</v>
      </c>
      <c r="C181" s="2" t="s">
        <v>430</v>
      </c>
      <c r="D181" s="1" t="s">
        <v>426</v>
      </c>
    </row>
    <row r="182" spans="1:4" ht="15.75" customHeight="1" x14ac:dyDescent="0.15">
      <c r="A182" s="1" t="s">
        <v>431</v>
      </c>
      <c r="B182" s="3" t="str">
        <f ca="1">IFERROR(__xludf.DUMMYFUNCTION("GOOGLETRANSLATE(B182,""es"",""en"")"),"LAS BAMBAS PROCESSING PLANT https://t.co/JZHuJeAk9v")</f>
        <v>LAS BAMBAS PROCESSING PLANT https://t.co/JZHuJeAk9v</v>
      </c>
      <c r="C182" s="2" t="s">
        <v>432</v>
      </c>
      <c r="D182" s="1" t="s">
        <v>433</v>
      </c>
    </row>
    <row r="183" spans="1:4" ht="15.75" customHeight="1" x14ac:dyDescent="0.15">
      <c r="A183" s="1" t="s">
        <v>434</v>
      </c>
      <c r="B183" s="3" t="str">
        <f ca="1">IFERROR(__xludf.DUMMYFUNCTION("GOOGLETRANSLATE(B183,""es"",""en"")"),"RT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183" s="2" t="s">
        <v>435</v>
      </c>
      <c r="D183" s="1" t="s">
        <v>433</v>
      </c>
    </row>
    <row r="184" spans="1:4" ht="15.75" customHeight="1" x14ac:dyDescent="0.15">
      <c r="A184" s="1" t="s">
        <v>436</v>
      </c>
      <c r="B184" s="3" t="str">
        <f ca="1">IFERROR(__xludf.DUMMYFUNCTION("GOOGLETRANSLATE(B184,""es"",""en"")"),"RT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184" s="2" t="s">
        <v>437</v>
      </c>
      <c r="D184" s="1" t="s">
        <v>438</v>
      </c>
    </row>
    <row r="185" spans="1:4" ht="15.75" customHeight="1" x14ac:dyDescent="0.15">
      <c r="A185" s="1" t="s">
        <v>439</v>
      </c>
      <c r="B185" s="3" t="str">
        <f ca="1">IFERROR(__xludf.DUMMYFUNCTION("GOOGLETRANSLATE(B185,""es"",""en"")"),"RT @noticiAmerica: Likewise, Nieto specified that the conflict is “relatively soluble” because it is not a conflict of ways of life https://t.co/bcCwxOlwxF")</f>
        <v>RT @noticiAmerica: Likewise, Nieto specified that the conflict is “relatively soluble” because it is not a conflict of ways of life https://t.co/bcCwxOlwxF</v>
      </c>
      <c r="C185" s="2" t="s">
        <v>440</v>
      </c>
      <c r="D185" s="1" t="s">
        <v>441</v>
      </c>
    </row>
    <row r="186" spans="1:4" ht="15.75" customHeight="1" x14ac:dyDescent="0.15">
      <c r="A186" s="1" t="s">
        <v>442</v>
      </c>
      <c r="B186" s="3" t="str">
        <f ca="1">IFERROR(__xludf.DUMMYFUNCTION("GOOGLETRANSLATE(B186,""es"",""en"")"),"RT @PasquinDeM: Peru is falling apart: There is no reconstruction in the north, sneakers are in emergency, there is no employment, crime is increasing!
And what is the President thinking about? In playing tennis? Go to the stadium? or a visit to the King?"&amp;" 
VIZCARRA GET TO WORK FOR PERUVIANS ONCE AND FOR ALL!!! https://t.co/mPC25VesiY")</f>
        <v>RT @PasquinDeM: Peru is falling apart: There is no reconstruction in the north, sneakers are in emergency, there is no employment, crime is increasing!
And what is the President thinking about? In playing tennis? Go to the stadium? or a visit to the King? 
VIZCARRA GET TO WORK FOR PERUVIANS ONCE AND FOR ALL!!! https://t.co/mPC25VesiY</v>
      </c>
      <c r="C186" s="2" t="s">
        <v>443</v>
      </c>
      <c r="D186" s="1" t="s">
        <v>441</v>
      </c>
    </row>
    <row r="187" spans="1:4" ht="15.75" customHeight="1" x14ac:dyDescent="0.15">
      <c r="A187" s="1" t="s">
        <v>444</v>
      </c>
      <c r="B187" s="3" t="str">
        <f ca="1">IFERROR(__xludf.DUMMYFUNCTION("GOOGLETRANSLATE(B187,""es"",""en"")"),"And tolerance for the informal and the illegal supports this chaos. In Las Bambas almost everyone points to the ""damned"" and ""abusive"" businessmen. In Huamachuco, informal miners cause people to die all the time. 8 have just died on El Toro hill. And "&amp;"nobody points them out.")</f>
        <v>And tolerance for the informal and the illegal supports this chaos. In Las Bambas almost everyone points to the "damned" and "abusive" businessmen. In Huamachuco, informal miners cause people to die all the time. 8 have just died on El Toro hill. And nobody points them out.</v>
      </c>
      <c r="C187" s="2" t="s">
        <v>445</v>
      </c>
      <c r="D187" s="1" t="s">
        <v>446</v>
      </c>
    </row>
    <row r="188" spans="1:4" ht="15.75" customHeight="1" x14ac:dyDescent="0.15">
      <c r="A188" s="1" t="s">
        <v>447</v>
      </c>
      <c r="B188" s="3" t="str">
        <f ca="1">IFERROR(__xludf.DUMMYFUNCTION("GOOGLETRANSLATE(B188,""es"",""en"")"),"URGENT!! The Peruvian State kneels before community members and will pay 300 million dollars from the pockets of ALL PERUVANS to several communities that demand compensation for a public runway. https://t.co/FS6QGVdk28")</f>
        <v>URGENT!! The Peruvian State kneels before community members and will pay 300 million dollars from the pockets of ALL PERUVANS to several communities that demand compensation for a public runway. https://t.co/FS6QGVdk28</v>
      </c>
      <c r="C188" s="2" t="s">
        <v>448</v>
      </c>
      <c r="D188" s="1" t="s">
        <v>446</v>
      </c>
    </row>
    <row r="189" spans="1:4" ht="15.75" customHeight="1" x14ac:dyDescent="0.15">
      <c r="A189" s="1" t="s">
        <v>447</v>
      </c>
      <c r="B189" s="3" t="str">
        <f ca="1">IFERROR(__xludf.DUMMYFUNCTION("GOOGLETRANSLATE(B189,""es"",""en"")"),"RT @rubenlima2017: URGENT!! The Peruvian State kneels before community members and will pay 300 million dollars from the pockets of ALL PERUVANS to several communities that demand compensation for a public runway. https://t.co/FS6QGVdk28")</f>
        <v>RT @rubenlima2017: URGENT!! The Peruvian State kneels before community members and will pay 300 million dollars from the pockets of ALL PERUVANS to several communities that demand compensation for a public runway. https://t.co/FS6QGVdk28</v>
      </c>
      <c r="C189" s="2" t="s">
        <v>449</v>
      </c>
      <c r="D189" s="1" t="s">
        <v>446</v>
      </c>
    </row>
    <row r="190" spans="1:4" ht="15.75" customHeight="1" x14ac:dyDescent="0.15">
      <c r="A190" s="1" t="s">
        <v>450</v>
      </c>
      <c r="B190" s="3" t="str">
        <f ca="1">IFERROR(__xludf.DUMMYFUNCTION("GOOGLETRANSLATE(B190,""es"",""en"")"),"RT @leo_valra: The country upside down, does this criminal have a crown? He runs over police officers, his followers stone them and in a few hours he is released?
TERRORISTS MANAGED BY THE GOVERNMENT, 
 https://t.co/NBkFoMkvr9")</f>
        <v>RT @leo_valra: The country upside down, does this criminal have a crown? He runs over police officers, his followers stone them and in a few hours he is released?
TERRORISTS MANAGED BY THE GOVERNMENT, 
 https://t.co/NBkFoMkvr9</v>
      </c>
      <c r="C190" s="2" t="s">
        <v>451</v>
      </c>
      <c r="D190" s="1" t="s">
        <v>446</v>
      </c>
    </row>
    <row r="191" spans="1:4" ht="15.75" customHeight="1" x14ac:dyDescent="0.15">
      <c r="A191" s="1" t="s">
        <v>452</v>
      </c>
      <c r="B191" s="3" t="str">
        <f ca="1">IFERROR(__xludf.DUMMYFUNCTION("GOOGLETRANSLATE(B191,""es"",""en"")"),"RT @peru21noticias: #OPINION 
Mávila Huertas (@MavilaHuertasC): Las Bambas and the lesson never learned
Don't stop reading 'Opina.21' https://t.co/TVosMSF7qt https://t.co/Razgq6MF1h")</f>
        <v>RT @peru21noticias: #OPINION 
Mávila Huertas (@MavilaHuertasC): Las Bambas and the lesson never learned
Don't stop reading 'Opina.21' https://t.co/TVosMSF7qt https://t.co/Razgq6MF1h</v>
      </c>
      <c r="C191" s="2" t="s">
        <v>453</v>
      </c>
      <c r="D191" s="1" t="s">
        <v>454</v>
      </c>
    </row>
    <row r="192" spans="1:4" ht="15.75" customHeight="1" x14ac:dyDescent="0.15">
      <c r="A192" s="1" t="s">
        <v>431</v>
      </c>
      <c r="B192" s="3" t="str">
        <f ca="1">IFERROR(__xludf.DUMMYFUNCTION("GOOGLETRANSLATE(B192,""es"",""en"")"),"Las Bambas hot - WITHOUT SCRIPT with Rosa María Palacios https://t.co/2hzTPXdBbT")</f>
        <v>Las Bambas hot - WITHOUT SCRIPT with Rosa María Palacios https://t.co/2hzTPXdBbT</v>
      </c>
      <c r="C192" s="2" t="s">
        <v>455</v>
      </c>
      <c r="D192" s="1" t="s">
        <v>454</v>
      </c>
    </row>
    <row r="193" spans="1:4" ht="15.75" customHeight="1" x14ac:dyDescent="0.15">
      <c r="A193" s="1" t="s">
        <v>424</v>
      </c>
      <c r="B193" s="3" t="str">
        <f ca="1">IFERROR(__xludf.DUMMYFUNCTION("GOOGLETRANSLATE(B193,""es"",""en"")"),"Jorge Nieto on Las Bambas: ""Why was the law on the EIA not complied with?"" https://t.co/w6K4zkurVp https://t.co/LO88SbFW8Q")</f>
        <v>Jorge Nieto on Las Bambas: "Why was the law on the EIA not complied with?" https://t.co/w6K4zkurVp https://t.co/LO88SbFW8Q</v>
      </c>
      <c r="C193" s="2" t="s">
        <v>456</v>
      </c>
      <c r="D193" s="1" t="s">
        <v>454</v>
      </c>
    </row>
    <row r="194" spans="1:4" ht="15.75" customHeight="1" x14ac:dyDescent="0.15">
      <c r="A194" s="1" t="s">
        <v>457</v>
      </c>
      <c r="B194" s="3" t="str">
        <f ca="1">IFERROR(__xludf.DUMMYFUNCTION("GOOGLETRANSLATE(B194,""es"",""en"")"),"Tomorrow the hearing will resume to evaluate the request for preventive detention presented by the @FiscaliaPeru against the brothers Jorge and Frank Chávez Sotelo, accused of extortion against the Las Bambas mining project https://t.co/DGYNkwyQ4v https:/"&amp;"/t. co/bTdfSEV7z3")</f>
        <v>Tomorrow the hearing will resume to evaluate the request for preventive detention presented by the @FiscaliaPeru against the brothers Jorge and Frank Chávez Sotelo, accused of extortion against the Las Bambas mining project https://t.co/DGYNkwyQ4v https://t. co/bTdfSEV7z3</v>
      </c>
      <c r="C194" s="2" t="s">
        <v>458</v>
      </c>
      <c r="D194" s="1" t="s">
        <v>454</v>
      </c>
    </row>
    <row r="195" spans="1:4" ht="15.75" customHeight="1" x14ac:dyDescent="0.15">
      <c r="A195" s="1" t="s">
        <v>459</v>
      </c>
      <c r="B195" s="3" t="str">
        <f ca="1">IFERROR(__xludf.DUMMYFUNCTION("GOOGLETRANSLATE(B195,""es"",""en"")"),"RT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195" s="2" t="s">
        <v>460</v>
      </c>
      <c r="D195" s="1" t="s">
        <v>461</v>
      </c>
    </row>
    <row r="196" spans="1:4" ht="15.75" customHeight="1" x14ac:dyDescent="0.15">
      <c r="A196" s="1" t="s">
        <v>462</v>
      </c>
      <c r="B196" s="3" t="str">
        <f ca="1">IFERROR(__xludf.DUMMYFUNCTION("GOOGLETRANSLATE(B196,""es"",""en"")"),"#LasBambas #Conflict
Interview José De Echave
""The overexpectations that were generated, the commitments that were not fulfilled and a road that was built without the... https://t.co/kxOnDegNcj")</f>
        <v>#LasBambas #Conflict
Interview José De Echave
"The overexpectations that were generated, the commitments that were not fulfilled and a road that was built without the... https://t.co/kxOnDegNcj</v>
      </c>
      <c r="C196" s="2" t="s">
        <v>463</v>
      </c>
      <c r="D196" s="1" t="s">
        <v>464</v>
      </c>
    </row>
    <row r="197" spans="1:4" ht="15.75" customHeight="1" x14ac:dyDescent="0.15">
      <c r="A197" s="1" t="s">
        <v>465</v>
      </c>
      <c r="B197" s="3" t="str">
        <f ca="1">IFERROR(__xludf.DUMMYFUNCTION("GOOGLETRANSLATE(B197,""es"",""en"")"),"Las Bambas: Rojas' release will allow for a better dialogue to begin, according to Confiep ►https://t.co/KpTpBoVpEV")</f>
        <v>Las Bambas: Rojas' release will allow for a better dialogue to begin, according to Confiep ►https://t.co/KpTpBoVpEV</v>
      </c>
      <c r="C197" s="2" t="s">
        <v>466</v>
      </c>
      <c r="D197" s="1" t="s">
        <v>467</v>
      </c>
    </row>
    <row r="198" spans="1:4" ht="15.75" customHeight="1" x14ac:dyDescent="0.15">
      <c r="A198" s="1" t="s">
        <v>468</v>
      </c>
      <c r="B198" s="3" t="str">
        <f ca="1">IFERROR(__xludf.DUMMYFUNCTION("GOOGLETRANSLATE(B198,""es"",""en"")"),"#MiningConflicts
Interview with our deputy director José De Echave in the newspaper El Comercio on Sunday 03-31-19:
the commitments that were not met and a road that was built without the MTC implementing its own guidelines 
Read more here: https://t.co/H"&amp;"JQYY9z9YR")</f>
        <v>#MiningConflicts
Interview with our deputy director José De Echave in the newspaper El Comercio on Sunday 03-31-19:
the commitments that were not met and a road that was built without the MTC implementing its own guidelines 
Read more here: https://t.co/HJQYY9z9YR</v>
      </c>
      <c r="C198" s="2" t="s">
        <v>469</v>
      </c>
      <c r="D198" s="1" t="s">
        <v>467</v>
      </c>
    </row>
    <row r="199" spans="1:4" ht="15.75" customHeight="1" x14ac:dyDescent="0.15">
      <c r="A199" s="1" t="s">
        <v>470</v>
      </c>
      <c r="B199" s="3" t="str">
        <f ca="1">IFERROR(__xludf.DUMMYFUNCTION("GOOGLETRANSLATE(B199,""es"",""en"")"),"#LasBambas #Conflict
Two days after Gregorio Rojas, president of the community of Fuerabamba (Apurímac), was released, the government began a first approach with the leader.
Read more here: https://t.co/GAX9G2DNjK")</f>
        <v>#LasBambas #Conflict
Two days after Gregorio Rojas, president of the community of Fuerabamba (Apurímac), was released, the government began a first approach with the leader.
Read more here: https://t.co/GAX9G2DNjK</v>
      </c>
      <c r="C199" s="2" t="s">
        <v>471</v>
      </c>
      <c r="D199" s="1" t="s">
        <v>467</v>
      </c>
    </row>
    <row r="200" spans="1:4" ht="15.75" customHeight="1" x14ac:dyDescent="0.15">
      <c r="A200" s="1" t="s">
        <v>472</v>
      </c>
      <c r="B200" s="3" t="str">
        <f ca="1">IFERROR(__xludf.DUMMYFUNCTION("GOOGLETRANSLATE(B200,""es"",""en"")"),"RT @Ojo_Publico: #LoÚltimo Judicial Branch suspends preventive detention hearing against the Chávez Sotelo brothers, advisors of #Fuerabamba. It is rescheduled for tomorrow at 10 a.m. #LasBambas https://t.co/UCH9ljxxuZ https://t.co/oTHIGQ5hXM")</f>
        <v>RT @Ojo_Publico: #LoÚltimo Judicial Branch suspends preventive detention hearing against the Chávez Sotelo brothers, advisors of #Fuerabamba. It is rescheduled for tomorrow at 10 a.m. #LasBambas https://t.co/UCH9ljxxuZ https://t.co/oTHIGQ5hXM</v>
      </c>
      <c r="C200" s="2" t="s">
        <v>473</v>
      </c>
      <c r="D200" s="1" t="s">
        <v>467</v>
      </c>
    </row>
    <row r="201" spans="1:4" ht="15.75" customHeight="1" x14ac:dyDescent="0.15">
      <c r="A201" s="1" t="s">
        <v>474</v>
      </c>
      <c r="B201" s="3" t="str">
        <f ca="1">IFERROR(__xludf.DUMMYFUNCTION("GOOGLETRANSLATE(B201,""es"",""en"")"),"RT @matuk: @rmapalacios 1) Road that crosses Yavi-Yavi did not exist before the purchase of Las Bambas 
2) Easement did not exist when Las Bambas bought Yavi-Yavi
3) Easement is registered when Las Bambas is the owner of Yavi-Yavi
4) Las Bambas delivers Y"&amp;"avi-Yavi with bondage
5) Yavi-Yavi = Trojan Horse")</f>
        <v>RT @matuk: @rmapalacios 1) Road that crosses Yavi-Yavi did not exist before the purchase of Las Bambas 
2) Easement did not exist when Las Bambas bought Yavi-Yavi
3) Easement is registered when Las Bambas is the owner of Yavi-Yavi
4) Las Bambas delivers Yavi-Yavi with bondage
5) Yavi-Yavi = Trojan Horse</v>
      </c>
      <c r="C201" s="2" t="s">
        <v>475</v>
      </c>
      <c r="D201" s="1" t="s">
        <v>467</v>
      </c>
    </row>
    <row r="202" spans="1:4" ht="15.75" customHeight="1" x14ac:dyDescent="0.15">
      <c r="A202" s="1" t="s">
        <v>474</v>
      </c>
      <c r="B202" s="3" t="str">
        <f ca="1">IFERROR(__xludf.DUMMYFUNCTION("GOOGLETRANSLATE(B202,""es"",""en"")"),"RT @PrimerPedal: Question, I repeat, question:
Are those who mediated in Conga, Espinar and La Oroya the ones doing the same in Las Bambas?
If it's true, we already know how this story is going to end.")</f>
        <v>RT @PrimerPedal: Question, I repeat, question:
Are those who mediated in Conga, Espinar and La Oroya the ones doing the same in Las Bambas?
If it's true, we already know how this story is going to end.</v>
      </c>
      <c r="C202" s="2" t="s">
        <v>476</v>
      </c>
      <c r="D202" s="1" t="s">
        <v>477</v>
      </c>
    </row>
    <row r="203" spans="1:4" ht="15.75" customHeight="1" x14ac:dyDescent="0.15">
      <c r="A203" s="1" t="s">
        <v>478</v>
      </c>
      <c r="B203" s="3" t="str">
        <f ca="1">IFERROR(__xludf.DUMMYFUNCTION("GOOGLETRANSLATE(B203,""es"",""en"")"),"Las Bambas: hearing against the Chávez Sotelo brothers was suspended until tomorrow. They request preventive detention for the alleged crime of extortion ► https://t.co/dJgjSsWjGF https://t.co/sfh5pI6qzo")</f>
        <v>Las Bambas: hearing against the Chávez Sotelo brothers was suspended until tomorrow. They request preventive detention for the alleged crime of extortion ► https://t.co/dJgjSsWjGF https://t.co/sfh5pI6qzo</v>
      </c>
      <c r="C203" s="2" t="s">
        <v>479</v>
      </c>
      <c r="D203" s="1" t="s">
        <v>477</v>
      </c>
    </row>
    <row r="204" spans="1:4" ht="15.75" customHeight="1" x14ac:dyDescent="0.15">
      <c r="A204" s="1" t="s">
        <v>480</v>
      </c>
      <c r="B204" s="3" t="str">
        <f ca="1">IFERROR(__xludf.DUMMYFUNCTION("GOOGLETRANSLATE(B204,""es"",""en"")"),"➽Las Bambas: consequences of the commercialization of politics&amp;lt;p&amp;gt;. https://t.co/gWwYSkgB4B")</f>
        <v>➽Las Bambas: consequences of the commercialization of politics&amp;lt;p&amp;gt;. https://t.co/gWwYSkgB4B</v>
      </c>
      <c r="C204" s="2" t="s">
        <v>481</v>
      </c>
      <c r="D204" s="1" t="s">
        <v>477</v>
      </c>
    </row>
    <row r="205" spans="1:4" ht="15.75" customHeight="1" x14ac:dyDescent="0.15">
      <c r="A205" s="1" t="s">
        <v>482</v>
      </c>
      <c r="B205" s="3" t="str">
        <f ca="1">IFERROR(__xludf.DUMMYFUNCTION("GOOGLETRANSLATE(B205,""es"",""en"")"),"RT @PeruECpe: Las Bambas: hearing against the Chávez Sotelo brothers was suspended until tomorrow. They request preventive detention for the alleged crime of extortion ► https://t.co/dJgjSsWjGF https://t.co/sfh5pI6qzo")</f>
        <v>RT @PeruECpe: Las Bambas: hearing against the Chávez Sotelo brothers was suspended until tomorrow. They request preventive detention for the alleged crime of extortion ► https://t.co/dJgjSsWjGF https://t.co/sfh5pI6qzo</v>
      </c>
      <c r="C205" s="2" t="s">
        <v>483</v>
      </c>
      <c r="D205" s="1" t="s">
        <v>477</v>
      </c>
    </row>
    <row r="206" spans="1:4" ht="15.75" customHeight="1" x14ac:dyDescent="0.15">
      <c r="A206" s="1" t="s">
        <v>484</v>
      </c>
      <c r="B206" s="3" t="str">
        <f ca="1">IFERROR(__xludf.DUMMYFUNCTION("GOOGLETRANSLATE(B206,""es"",""en"")"),"A week of conflict in Las Bambas
https://t.co/EgUp8Ngg1f https://t.co/EgUp8Ngg1f")</f>
        <v>A week of conflict in Las Bambas
https://t.co/EgUp8Ngg1f https://t.co/EgUp8Ngg1f</v>
      </c>
      <c r="C206" s="2" t="s">
        <v>485</v>
      </c>
      <c r="D206" s="1" t="s">
        <v>477</v>
      </c>
    </row>
    <row r="207" spans="1:4" ht="15.75" customHeight="1" x14ac:dyDescent="0.15">
      <c r="A207" s="1" t="s">
        <v>486</v>
      </c>
      <c r="B207" s="3" t="str">
        <f ca="1">IFERROR(__xludf.DUMMYFUNCTION("GOOGLETRANSLATE(B207,""es"",""en"")"),"RT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207" s="2" t="s">
        <v>487</v>
      </c>
      <c r="D207" s="1" t="s">
        <v>477</v>
      </c>
    </row>
    <row r="208" spans="1:4" ht="15.75" customHeight="1" x14ac:dyDescent="0.15">
      <c r="A208" s="1" t="s">
        <v>488</v>
      </c>
      <c r="B208" s="3" t="str">
        <f ca="1">IFERROR(__xludf.DUMMYFUNCTION("GOOGLETRANSLATE(B208,""es"",""en"")"),"Las Bambas Case: Peruvian farmers against a foreign mining project https://t.co/JkPJwPAdt9 https://t.co/ATs6V1duL1")</f>
        <v>Las Bambas Case: Peruvian farmers against a foreign mining project https://t.co/JkPJwPAdt9 https://t.co/ATs6V1duL1</v>
      </c>
      <c r="C208" s="2" t="s">
        <v>489</v>
      </c>
      <c r="D208" s="1" t="s">
        <v>490</v>
      </c>
    </row>
    <row r="209" spans="1:4" ht="15.75" customHeight="1" x14ac:dyDescent="0.15">
      <c r="A209" s="1" t="s">
        <v>491</v>
      </c>
      <c r="B209" s="3" t="str">
        <f ca="1">IFERROR(__xludf.DUMMYFUNCTION("GOOGLETRANSLATE(B209,""es"",""en"")"),"@veritatisperu That was always known, only that it was convenient for many among jammers and opinion experts to have the opposition leader imprisoned because with that it was easier to get down to the FP bench and now with that of Las Bambas there is no o"&amp;"ne to blame or create a smoke screen with Keiko.")</f>
        <v>@veritatisperu That was always known, only that it was convenient for many among jammers and opinion experts to have the opposition leader imprisoned because with that it was easier to get down to the FP bench and now with that of Las Bambas there is no one to blame or create a smoke screen with Keiko.</v>
      </c>
      <c r="C209" s="2" t="s">
        <v>492</v>
      </c>
      <c r="D209" s="1" t="s">
        <v>493</v>
      </c>
    </row>
    <row r="210" spans="1:4" ht="15.75" customHeight="1" x14ac:dyDescent="0.15">
      <c r="A210" s="1" t="s">
        <v>494</v>
      </c>
      <c r="B210" s="3" t="str">
        <f ca="1">IFERROR(__xludf.DUMMYFUNCTION("GOOGLETRANSLATE(B210,""es"",""en"")"),"@NicolasLucar @Poder_Judicial_ You should be Impartial. You are a journalist, right? Learn from #ManuelRosas who expresses himself appropriately, giving you and the public valid arguments regarding the situation in Las Bambas, you Nicolas only manage to g"&amp;"o to the clash without giving proposals from solution.")</f>
        <v>@NicolasLucar @Poder_Judicial_ You should be Impartial. You are a journalist, right? Learn from #ManuelRosas who expresses himself appropriately, giving you and the public valid arguments regarding the situation in Las Bambas, you Nicolas only manage to go to the clash without giving proposals from solution.</v>
      </c>
      <c r="C210" s="2" t="s">
        <v>495</v>
      </c>
      <c r="D210" s="1" t="s">
        <v>496</v>
      </c>
    </row>
    <row r="211" spans="1:4" ht="15.75" customHeight="1" x14ac:dyDescent="0.15">
      <c r="A211" s="1" t="s">
        <v>497</v>
      </c>
      <c r="B211" s="3" t="str">
        <f ca="1">IFERROR(__xludf.DUMMYFUNCTION("GOOGLETRANSLATE(B211,""es"",""en"")"),"RT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211" s="2" t="s">
        <v>498</v>
      </c>
      <c r="D211" s="1" t="s">
        <v>496</v>
      </c>
    </row>
    <row r="212" spans="1:4" ht="15.75" customHeight="1" x14ac:dyDescent="0.15">
      <c r="A212" s="1" t="s">
        <v>213</v>
      </c>
      <c r="B212" s="3" t="str">
        <f ca="1">IFERROR(__xludf.DUMMYFUNCTION("GOOGLETRANSLATE(B212,""es"",""en"")"),"RT @leo_valra: The country upside down, does this criminal have a crown? He runs over police officers, his followers stone them and in a few hours he is released?
TERRORISTS MANAGED BY THE GOVERNMENT, 
 https://t.co/NBkFoMkvr9")</f>
        <v>RT @leo_valra: The country upside down, does this criminal have a crown? He runs over police officers, his followers stone them and in a few hours he is released?
TERRORISTS MANAGED BY THE GOVERNMENT, 
 https://t.co/NBkFoMkvr9</v>
      </c>
      <c r="C212" s="2" t="s">
        <v>499</v>
      </c>
      <c r="D212" s="1" t="s">
        <v>500</v>
      </c>
    </row>
    <row r="213" spans="1:4" ht="15.75" customHeight="1" x14ac:dyDescent="0.15">
      <c r="A213" s="1" t="s">
        <v>501</v>
      </c>
      <c r="B213" s="3" t="str">
        <f ca="1">IFERROR(__xludf.DUMMYFUNCTION("GOOGLETRANSLATE(B213,""es"",""en"")"),"RT @CooperAccionPER: #MiningConflicts
Interview with our deputy director José De Echave in the newspaper El Comercio on Sunday 03-31-19:
the commitments that were not met and a road that was built without the MTC implementing its own guidelines 
Read more"&amp;" here: https://t.co/HJQYY9z9YR")</f>
        <v>RT @CooperAccionPER: #MiningConflicts
Interview with our deputy director José De Echave in the newspaper El Comercio on Sunday 03-31-19:
the commitments that were not met and a road that was built without the MTC implementing its own guidelines 
Read more here: https://t.co/HJQYY9z9YR</v>
      </c>
      <c r="C213" s="2" t="s">
        <v>502</v>
      </c>
      <c r="D213" s="1" t="s">
        <v>500</v>
      </c>
    </row>
    <row r="214" spans="1:4" ht="15.75" customHeight="1" x14ac:dyDescent="0.15">
      <c r="A214" s="1" t="s">
        <v>503</v>
      </c>
      <c r="B214" s="3" t="str">
        <f ca="1">IFERROR(__xludf.DUMMYFUNCTION("GOOGLETRANSLATE(B214,""es"",""en"")"),"LAS BAMBAS: EXECUTIVE AND COMMUNITIES RESUME DIALOGUE.
The executive points out that if the roads are unblocked, the state of emergency in the area would be lifted. The Episcopal Conference acts as mediator.
#The Bambas. #Mining. #DigitalMiner. https://t."&amp;"co/NVcQDvmAaN")</f>
        <v>LAS BAMBAS: EXECUTIVE AND COMMUNITIES RESUME DIALOGUE.
The executive points out that if the roads are unblocked, the state of emergency in the area would be lifted. The Episcopal Conference acts as mediator.
#The Bambas. #Mining. #DigitalMiner. https://t.co/NVcQDvmAaN</v>
      </c>
      <c r="C214" s="2" t="s">
        <v>504</v>
      </c>
      <c r="D214" s="1" t="s">
        <v>500</v>
      </c>
    </row>
    <row r="215" spans="1:4" ht="15.75" customHeight="1" x14ac:dyDescent="0.15">
      <c r="A215" s="1" t="s">
        <v>505</v>
      </c>
      <c r="B215" s="3" t="str">
        <f ca="1">IFERROR(__xludf.DUMMYFUNCTION("GOOGLETRANSLATE(B215,""es"",""en"")"),"old reduto of sneakers where all curtiam or true samba https://t.co/9COsGVl19v")</f>
        <v>old reduto of sneakers where all curtiam or true samba https://t.co/9COsGVl19v</v>
      </c>
      <c r="C215" s="2" t="s">
        <v>506</v>
      </c>
      <c r="D215" s="1" t="s">
        <v>500</v>
      </c>
    </row>
    <row r="216" spans="1:4" ht="15.75" customHeight="1" x14ac:dyDescent="0.15">
      <c r="A216" s="1" t="s">
        <v>501</v>
      </c>
      <c r="B216" s="3" t="str">
        <f ca="1">IFERROR(__xludf.DUMMYFUNCTION("GOOGLETRANSLATE(B216,""es"",""en"")"),"RT @OCMPeru: #LasBambas #Conflict
Two days after Gregorio Rojas, president of the community of Fuerabamba (Apurímac), was released, the government began a first approach with the leader.
Read more here: https://t.co/GAX9G2DNjK")</f>
        <v>RT @OCMPeru: #LasBambas #Conflict
Two days after Gregorio Rojas, president of the community of Fuerabamba (Apurímac), was released, the government began a first approach with the leader.
Read more here: https://t.co/GAX9G2DNjK</v>
      </c>
      <c r="C216" s="2" t="s">
        <v>507</v>
      </c>
      <c r="D216" s="1" t="s">
        <v>500</v>
      </c>
    </row>
    <row r="217" spans="1:4" ht="15.75" customHeight="1" x14ac:dyDescent="0.15">
      <c r="A217" s="1" t="s">
        <v>508</v>
      </c>
      <c r="B217" s="3" t="str">
        <f ca="1">IFERROR(__xludf.DUMMYFUNCTION("GOOGLETRANSLATE(B217,""es"",""en"")"),"RT @jsaldanacuba: Brilliant article by Alfredo Torres about Las Bambas. He summarizes everything in the final sentence: ""The author is executive president of Ipsos Perú. The company has carried out studies for Las Bambas."" 
If I started there, there wa"&amp;"s no need to waste time reading more.
https://t.co/MB24a8kEgQ")</f>
        <v>RT @jsaldanacuba: Brilliant article by Alfredo Torres about Las Bambas. He summarizes everything in the final sentence: "The author is executive president of Ipsos Perú. The company has carried out studies for Las Bambas." 
If I started there, there was no need to waste time reading more.
https://t.co/MB24a8kEgQ</v>
      </c>
      <c r="C217" s="2" t="s">
        <v>509</v>
      </c>
      <c r="D217" s="1" t="s">
        <v>500</v>
      </c>
    </row>
    <row r="218" spans="1:4" ht="15.75" customHeight="1" x14ac:dyDescent="0.15">
      <c r="A218" s="1" t="s">
        <v>510</v>
      </c>
      <c r="B218" s="3" t="str">
        <f ca="1">IFERROR(__xludf.DUMMYFUNCTION("GOOGLETRANSLATE(B218,""es"",""en"")"),"RT @JAAbadSotomayor: The Solar Cabinet is facing a crisis a few days after assuming its functions with a Conflict in Las Bambas that has been going on for years, and there are people who do not want to dialogue like the community of Fuerabamba who are ask"&amp;"ing for 39 hectares USD 31 million")</f>
        <v>RT @JAAbadSotomayor: The Solar Cabinet is facing a crisis a few days after assuming its functions with a Conflict in Las Bambas that has been going on for years, and there are people who do not want to dialogue like the community of Fuerabamba who are asking for 39 hectares USD 31 million</v>
      </c>
      <c r="C218" s="2" t="s">
        <v>511</v>
      </c>
      <c r="D218" s="1" t="s">
        <v>500</v>
      </c>
    </row>
    <row r="219" spans="1:4" ht="15.75" customHeight="1" x14ac:dyDescent="0.15">
      <c r="A219" s="1" t="s">
        <v>512</v>
      </c>
      <c r="B219" s="3" t="str">
        <f ca="1">IFERROR(__xludf.DUMMYFUNCTION("GOOGLETRANSLATE(B219,""es"",""en"")"),"RT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219" s="2" t="s">
        <v>513</v>
      </c>
      <c r="D219" s="1" t="s">
        <v>514</v>
      </c>
    </row>
    <row r="220" spans="1:4" ht="15.75" customHeight="1" x14ac:dyDescent="0.15">
      <c r="A220" s="1" t="s">
        <v>515</v>
      </c>
      <c r="B220" s="3" t="str">
        <f ca="1">IFERROR(__xludf.DUMMYFUNCTION("GOOGLETRANSLATE(B220,""es"",""en"")"),"RT @filhaadomar: old reduto of sneakers where everyone is curtiam or true samba https://t.co/9COsGVl19v")</f>
        <v>RT @filhaadomar: old reduto of sneakers where everyone is curtiam or true samba https://t.co/9COsGVl19v</v>
      </c>
      <c r="C220" s="2" t="s">
        <v>516</v>
      </c>
      <c r="D220" s="1" t="s">
        <v>514</v>
      </c>
    </row>
    <row r="221" spans="1:4" ht="15.75" customHeight="1" x14ac:dyDescent="0.15">
      <c r="A221" s="1" t="s">
        <v>517</v>
      </c>
      <c r="B221" s="3" t="str">
        <f ca="1">IFERROR(__xludf.DUMMYFUNCTION("GOOGLETRANSLATE(B221,""es"",""en"")"),"RT @willynugent: About Las Bambas the issue of liberalism comes up again. For this, the basis of ALL rights is private property, not citizenship.
That is why they need the fiction of Peru as a country of owners rather than citizens.")</f>
        <v>RT @willynugent: About Las Bambas the issue of liberalism comes up again. For this, the basis of ALL rights is private property, not citizenship.
That is why they need the fiction of Peru as a country of owners rather than citizens.</v>
      </c>
      <c r="C221" s="2" t="s">
        <v>518</v>
      </c>
      <c r="D221" s="1" t="s">
        <v>514</v>
      </c>
    </row>
    <row r="222" spans="1:4" ht="15.75" customHeight="1" x14ac:dyDescent="0.15">
      <c r="A222" s="1" t="s">
        <v>519</v>
      </c>
      <c r="B222" s="3" t="str">
        <f ca="1">IFERROR(__xludf.DUMMYFUNCTION("GOOGLETRANSLATE(B222,""es"",""en"")"),"RT @Ojo_Publico: #LasBambas Fuerabamba, which was registered as a Quechua town until 2015, the year in which it was withdrawn. By not appearing on this list, the government did not carry out the Prior Consultation process for the construction of a highway"&amp;" in its territory. https://t.co/UCH9ljxxuZ")</f>
        <v>RT @Ojo_Publico: #LasBambas Fuerabamba, which was registered as a Quechua town until 2015, the year in which it was withdrawn. By not appearing on this list, the government did not carry out the Prior Consultation process for the construction of a highway in its territory. https://t.co/UCH9ljxxuZ</v>
      </c>
      <c r="C222" s="2" t="s">
        <v>520</v>
      </c>
      <c r="D222" s="1" t="s">
        <v>521</v>
      </c>
    </row>
    <row r="223" spans="1:4" ht="15.75" customHeight="1" x14ac:dyDescent="0.15">
      <c r="A223" s="1" t="s">
        <v>122</v>
      </c>
      <c r="B223" s="3" t="str">
        <f ca="1">IFERROR(__xludf.DUMMYFUNCTION("GOOGLETRANSLATE(B223,""es"",""en"")"),"RT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223" s="2" t="s">
        <v>522</v>
      </c>
      <c r="D223" s="1" t="s">
        <v>521</v>
      </c>
    </row>
    <row r="224" spans="1:4" ht="15.75" customHeight="1" x14ac:dyDescent="0.15">
      <c r="A224" s="1" t="s">
        <v>523</v>
      </c>
      <c r="B224" s="3" t="str">
        <f ca="1">IFERROR(__xludf.DUMMYFUNCTION("GOOGLETRANSLATE(B224,""es"",""en"")"),"And the leaf train was like it was not a manhã houvesse, pernocas bambas and that feeling of bombs 😂😂😂")</f>
        <v>And the leaf train was like it was not a manhã houvesse, pernocas bambas and that feeling of bombs 😂😂😂</v>
      </c>
      <c r="C224" s="2" t="s">
        <v>524</v>
      </c>
      <c r="D224" s="1" t="s">
        <v>521</v>
      </c>
    </row>
    <row r="225" spans="1:4" ht="15.75" customHeight="1" x14ac:dyDescent="0.15">
      <c r="A225" s="1" t="s">
        <v>525</v>
      </c>
      <c r="B225" s="3" t="str">
        <f ca="1">IFERROR(__xludf.DUMMYFUNCTION("GOOGLETRANSLATE(B225,""es"",""en"")"),"RT @cnddhh: 🔴[#ATTENTION] We share the statement issued today on @larepublica_pe 
🔼ABOUT THE LAS BAMBAS CONFLICT:
ELEMENTS FOR A DIALOGUE, PEACEFUL AND DURABLE EXIT. https://t.co/SaN1D026DH")</f>
        <v>RT @cnddhh: 🔴[#ATTENTION] We share the statement issued today on @larepublica_pe 
🔼ABOUT THE LAS BAMBAS CONFLICT:
ELEMENTS FOR A DIALOGUE, PEACEFUL AND DURABLE EXIT. https://t.co/SaN1D026DH</v>
      </c>
      <c r="C225" s="2" t="s">
        <v>526</v>
      </c>
      <c r="D225" s="1" t="s">
        <v>521</v>
      </c>
    </row>
    <row r="226" spans="1:4" ht="15.75" customHeight="1" x14ac:dyDescent="0.15">
      <c r="A226" s="1" t="s">
        <v>527</v>
      </c>
      <c r="B226" s="3" t="str">
        <f ca="1">IFERROR(__xludf.DUMMYFUNCTION("GOOGLETRANSLATE(B226,""es"",""en"")"),"RT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226" s="2" t="s">
        <v>528</v>
      </c>
      <c r="D226" s="1" t="s">
        <v>529</v>
      </c>
    </row>
    <row r="227" spans="1:4" ht="15.75" customHeight="1" x14ac:dyDescent="0.15">
      <c r="A227" s="1" t="s">
        <v>530</v>
      </c>
      <c r="B227" s="3" t="str">
        <f ca="1">IFERROR(__xludf.DUMMYFUNCTION("GOOGLETRANSLATE(B227,""es"",""en"")"),"RT @jdeechave: Good summary of how the Las Bambas project has been changing permanently without the population being adequately informed... https://t.co/8XVr32eWma")</f>
        <v>RT @jdeechave: Good summary of how the Las Bambas project has been changing permanently without the population being adequately informed... https://t.co/8XVr32eWma</v>
      </c>
      <c r="C227" s="2" t="s">
        <v>531</v>
      </c>
      <c r="D227" s="1" t="s">
        <v>532</v>
      </c>
    </row>
    <row r="228" spans="1:4" ht="15.75" customHeight="1" x14ac:dyDescent="0.15">
      <c r="A228" s="1" t="s">
        <v>533</v>
      </c>
      <c r="B228" s="3" t="str">
        <f ca="1">IFERROR(__xludf.DUMMYFUNCTION("GOOGLETRANSLATE(B228,""es"",""en"")"),"RT @Ojo_Publico: #LasBambas Fuerabamba, which was registered as a Quechua town until 2015, the year in which it was withdrawn. By not appearing on this list, the government did not carry out the Prior Consultation process for the construction of a highway"&amp;" in its territory. https://t.co/UCH9ljxxuZ")</f>
        <v>RT @Ojo_Publico: #LasBambas Fuerabamba, which was registered as a Quechua town until 2015, the year in which it was withdrawn. By not appearing on this list, the government did not carry out the Prior Consultation process for the construction of a highway in its territory. https://t.co/UCH9ljxxuZ</v>
      </c>
      <c r="C228" s="2" t="s">
        <v>534</v>
      </c>
      <c r="D228" s="1" t="s">
        <v>532</v>
      </c>
    </row>
    <row r="229" spans="1:4" ht="15.75" customHeight="1" x14ac:dyDescent="0.15">
      <c r="A229" s="1" t="s">
        <v>535</v>
      </c>
      <c r="B229" s="3" t="str">
        <f ca="1">IFERROR(__xludf.DUMMYFUNCTION("GOOGLETRANSLATE(B229,""es"",""en"")"),"RT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229" s="2" t="s">
        <v>536</v>
      </c>
      <c r="D229" s="1" t="s">
        <v>532</v>
      </c>
    </row>
    <row r="230" spans="1:4" ht="15.75" customHeight="1" x14ac:dyDescent="0.15">
      <c r="A230" s="1" t="s">
        <v>537</v>
      </c>
      <c r="B230" s="3" t="str">
        <f ca="1">IFERROR(__xludf.DUMMYFUNCTION("GOOGLETRANSLATE(B230,""es"",""en"")"),"RT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230" s="2" t="s">
        <v>538</v>
      </c>
      <c r="D230" s="1" t="s">
        <v>532</v>
      </c>
    </row>
    <row r="231" spans="1:4" ht="15.75" customHeight="1" x14ac:dyDescent="0.15">
      <c r="A231" s="1" t="s">
        <v>539</v>
      </c>
      <c r="B231" s="3" t="str">
        <f ca="1">IFERROR(__xludf.DUMMYFUNCTION("GOOGLETRANSLATE(B231,""es"",""en"")"),"RT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231" s="2" t="s">
        <v>540</v>
      </c>
      <c r="D231" s="1" t="s">
        <v>541</v>
      </c>
    </row>
    <row r="232" spans="1:4" ht="15.75" customHeight="1" x14ac:dyDescent="0.15">
      <c r="A232" s="1" t="s">
        <v>542</v>
      </c>
      <c r="B232" s="3" t="str">
        <f ca="1">IFERROR(__xludf.DUMMYFUNCTION("GOOGLETRANSLATE(B232,""es"",""en"")"),"RT @JuanCar49682973: @rmapalacios With the experience of Fuerabamba, the residents of Huanacopampa, Pararani and others are asking for 7 million per person for the Haquira mining project, which is 4 times larger than Las Bambas 6, which is located a few k"&amp;"m from the Bambas.")</f>
        <v>RT @JuanCar49682973: @rmapalacios With the experience of Fuerabamba, the residents of Huanacopampa, Pararani and others are asking for 7 million per person for the Haquira mining project, which is 4 times larger than Las Bambas 6, which is located a few km from the Bambas.</v>
      </c>
      <c r="C232" s="2" t="s">
        <v>543</v>
      </c>
      <c r="D232" s="1" t="s">
        <v>541</v>
      </c>
    </row>
    <row r="233" spans="1:4" ht="15.75" customHeight="1" x14ac:dyDescent="0.15">
      <c r="A233" s="1" t="s">
        <v>544</v>
      </c>
      <c r="B233" s="3" t="str">
        <f ca="1">IFERROR(__xludf.DUMMYFUNCTION("GOOGLETRANSLATE(B233,""es"",""en"")"),"THIS IS FROM RIPLEY, THE GOVERNMENT OF OLLANTA STOLE THE BUDGET FOR THE CONSTRUCTION OF THE MINING PIPELINE, NOW THE PERUVIAN STATE WANTS TO GIVE AWAY 300 MILLION SOLS TO THE FARMER, WHEN... https://t.co/PtLFxsKUby")</f>
        <v>THIS IS FROM RIPLEY, THE GOVERNMENT OF OLLANTA STOLE THE BUDGET FOR THE CONSTRUCTION OF THE MINING PIPELINE, NOW THE PERUVIAN STATE WANTS TO GIVE AWAY 300 MILLION SOLS TO THE FARMER, WHEN... https://t.co/PtLFxsKUby</v>
      </c>
      <c r="C233" s="2" t="s">
        <v>545</v>
      </c>
      <c r="D233" s="1" t="s">
        <v>541</v>
      </c>
    </row>
    <row r="234" spans="1:4" ht="15.75" customHeight="1" x14ac:dyDescent="0.15">
      <c r="A234" s="1" t="s">
        <v>546</v>
      </c>
      <c r="B234" s="3" t="str">
        <f ca="1">IFERROR(__xludf.DUMMYFUNCTION("GOOGLETRANSLATE(B234,""es"",""en"")"),"Why is it intended to build a highway that leaves #Bambas paid for with money from all Peruvians? There are 1,500 million soles in addition to the 300 million for the payment to the community members. Why is it not paid by the #Mining? The Peruvian #State"&amp;" should not pay.")</f>
        <v>Why is it intended to build a highway that leaves #Bambas paid for with money from all Peruvians? There are 1,500 million soles in addition to the 300 million for the payment to the community members. Why is it not paid by the #Mining? The Peruvian #State should not pay.</v>
      </c>
      <c r="C234" s="2" t="s">
        <v>547</v>
      </c>
      <c r="D234" s="1" t="s">
        <v>541</v>
      </c>
    </row>
    <row r="235" spans="1:4" ht="15.75" customHeight="1" x14ac:dyDescent="0.15">
      <c r="A235" s="1" t="s">
        <v>548</v>
      </c>
      <c r="B235" s="3" t="str">
        <f ca="1">IFERROR(__xludf.DUMMYFUNCTION("GOOGLETRANSLATE(B235,""es"",""en"")"),"RT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235" s="2" t="s">
        <v>549</v>
      </c>
      <c r="D235" s="1" t="s">
        <v>550</v>
      </c>
    </row>
    <row r="236" spans="1:4" ht="15.75" customHeight="1" x14ac:dyDescent="0.15">
      <c r="A236" s="1" t="s">
        <v>551</v>
      </c>
      <c r="B236" s="3" t="str">
        <f ca="1">IFERROR(__xludf.DUMMYFUNCTION("GOOGLETRANSLATE(B236,""es"",""en"")"),"Las Bambas is still on the agenda. Let's not forget it. https://t.co/EtTnSbFm9M")</f>
        <v>Las Bambas is still on the agenda. Let's not forget it. https://t.co/EtTnSbFm9M</v>
      </c>
      <c r="C236" s="2" t="s">
        <v>552</v>
      </c>
      <c r="D236" s="1" t="s">
        <v>550</v>
      </c>
    </row>
    <row r="237" spans="1:4" ht="15.75" customHeight="1" x14ac:dyDescent="0.15">
      <c r="A237" s="1" t="s">
        <v>67</v>
      </c>
      <c r="B237" s="3" t="str">
        <f ca="1">IFERROR(__xludf.DUMMYFUNCTION("GOOGLETRANSLATE(B237,""es"",""en"")"),"RT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237" s="2" t="s">
        <v>553</v>
      </c>
      <c r="D237" s="1" t="s">
        <v>550</v>
      </c>
    </row>
    <row r="238" spans="1:4" ht="15.75" customHeight="1" x14ac:dyDescent="0.15">
      <c r="A238" s="1" t="s">
        <v>554</v>
      </c>
      <c r="B238" s="3" t="str">
        <f ca="1">IFERROR(__xludf.DUMMYFUNCTION("GOOGLETRANSLATE(B238,""es"",""en"")"),"RT @veritatisperu: ”Now that MP has heeded the political and commercial pressures that asked for the release of the president of the Fuerabamba community—to ""unravel"" negotiations"" in Las Bambas—, we know that, indeed, Keiko Fujimori is a political pri"&amp;"soner""
#KeikoPresaPolitics 
https://t.co/BKOmVPnxDt")</f>
        <v>RT @veritatisperu: ”Now that MP has heeded the political and commercial pressures that asked for the release of the president of the Fuerabamba community—to "unravel" negotiations" in Las Bambas—, we know that, indeed, Keiko Fujimori is a political prisoner"
#KeikoPresaPolitics 
https://t.co/BKOmVPnxDt</v>
      </c>
      <c r="C238" s="2" t="s">
        <v>555</v>
      </c>
      <c r="D238" s="1" t="s">
        <v>556</v>
      </c>
    </row>
    <row r="239" spans="1:4" ht="15.75" customHeight="1" x14ac:dyDescent="0.15">
      <c r="A239" s="1" t="s">
        <v>557</v>
      </c>
      <c r="B239" s="3" t="str">
        <f ca="1">IFERROR(__xludf.DUMMYFUNCTION("GOOGLETRANSLATE(B239,""es"",""en"")"),"@SixthManShow one point I do not agree on is saying that it’s basically Bambas rookie season. This is not an Isaac case where he only played 27 games his rookie year. Bamba player over half the season with 47 games. He had plenty of time on the court as a"&amp;" rookie")</f>
        <v>@SixthManShow one point I do not agree on is saying that it’s basically Bambas rookie season. This is not an Isaac case where he only played 27 games his rookie year. Bamba player over half the season with 47 games. He had plenty of time on the court as a rookie</v>
      </c>
      <c r="C239" s="2" t="s">
        <v>558</v>
      </c>
      <c r="D239" s="1" t="s">
        <v>556</v>
      </c>
    </row>
    <row r="240" spans="1:4" ht="15.75" customHeight="1" x14ac:dyDescent="0.15">
      <c r="A240" s="1" t="s">
        <v>559</v>
      </c>
      <c r="B240" s="3" t="str">
        <f ca="1">IFERROR(__xludf.DUMMYFUNCTION("GOOGLETRANSLATE(B240,""es"",""en"")"),"@PBODigital Let's hope that the Premier #SalvadorDelSolar handles the situation of the sneakers intelligently and that Vizcarra can work without being questioned even about how he combs his hair")</f>
        <v>@PBODigital Let's hope that the Premier #SalvadorDelSolar handles the situation of the sneakers intelligently and that Vizcarra can work without being questioned even about how he combs his hair</v>
      </c>
      <c r="C240" s="2" t="s">
        <v>560</v>
      </c>
      <c r="D240" s="1" t="s">
        <v>556</v>
      </c>
    </row>
    <row r="241" spans="1:4" ht="15.75" customHeight="1" x14ac:dyDescent="0.15">
      <c r="A241" s="1" t="s">
        <v>559</v>
      </c>
      <c r="B241" s="3" t="str">
        <f ca="1">IFERROR(__xludf.DUMMYFUNCTION("GOOGLETRANSLATE(B241,""es"",""en"")"),"RT @StorinoAragon: @PBODigital Let's hope that Premier #SalvadorDelSolar handles the sneakers situation intelligently and that Vizcarra can work without being questioned even about how he wears his hair")</f>
        <v>RT @StorinoAragon: @PBODigital Let's hope that Premier #SalvadorDelSolar handles the sneakers situation intelligently and that Vizcarra can work without being questioned even about how he wears his hair</v>
      </c>
      <c r="C241" s="2" t="s">
        <v>561</v>
      </c>
      <c r="D241" s="1" t="s">
        <v>556</v>
      </c>
    </row>
    <row r="242" spans="1:4" ht="15.75" customHeight="1" x14ac:dyDescent="0.15">
      <c r="A242" s="1" t="s">
        <v>562</v>
      </c>
      <c r="B242" s="3" t="str">
        <f ca="1">IFERROR(__xludf.DUMMYFUNCTION("GOOGLETRANSLATE(B242,""es"",""en"")"),"Children in the Ventana community, in Apurímac, walk three hours a day to go to school. Before they had a mobility service that would pick them up, but as a result of the conflict, the Las Bambas mining company has taken this service away from them. Becau"&amp;"se? What is their fault? And the State, where is it? https://t.co/OyJdGCYkxn")</f>
        <v>Children in the Ventana community, in Apurímac, walk three hours a day to go to school. Before they had a mobility service that would pick them up, but as a result of the conflict, the Las Bambas mining company has taken this service away from them. Because? What is their fault? And the State, where is it? https://t.co/OyJdGCYkxn</v>
      </c>
      <c r="C242" s="2" t="s">
        <v>563</v>
      </c>
      <c r="D242" s="1" t="s">
        <v>556</v>
      </c>
    </row>
    <row r="243" spans="1:4" ht="15.75" customHeight="1" x14ac:dyDescent="0.15">
      <c r="A243" s="1" t="s">
        <v>564</v>
      </c>
      <c r="B243" s="3" t="str">
        <f ca="1">IFERROR(__xludf.DUMMYFUNCTION("GOOGLETRANSLATE(B243,""es"",""en"")"),"RT @Ojo_Publico: #LasBambas Fuerabamba, which was registered as a Quechua town until 2015, the year in which it was withdrawn. By not appearing on this list, the government did not carry out the Prior Consultation process for the construction of a highway"&amp;" in its territory. https://t.co/UCH9ljxxuZ")</f>
        <v>RT @Ojo_Publico: #LasBambas Fuerabamba, which was registered as a Quechua town until 2015, the year in which it was withdrawn. By not appearing on this list, the government did not carry out the Prior Consultation process for the construction of a highway in its territory. https://t.co/UCH9ljxxuZ</v>
      </c>
      <c r="C243" s="2" t="s">
        <v>565</v>
      </c>
      <c r="D243" s="1" t="s">
        <v>556</v>
      </c>
    </row>
    <row r="244" spans="1:4" ht="15.75" customHeight="1" x14ac:dyDescent="0.15">
      <c r="A244" s="1" t="s">
        <v>566</v>
      </c>
      <c r="B244" s="3" t="str">
        <f ca="1">IFERROR(__xludf.DUMMYFUNCTION("GOOGLETRANSLATE(B244,""es"",""en"")"),"RT @Cecilia605040: After what happened in Las Bambas and the Fiori tragedy for allowing informal bus stops to operate, has the head of @MTC_GobPeru already resigned?")</f>
        <v>RT @Cecilia605040: After what happened in Las Bambas and the Fiori tragedy for allowing informal bus stops to operate, has the head of @MTC_GobPeru already resigned?</v>
      </c>
      <c r="C244" s="2" t="s">
        <v>567</v>
      </c>
      <c r="D244" s="1" t="s">
        <v>568</v>
      </c>
    </row>
    <row r="245" spans="1:4" ht="15.75" customHeight="1" x14ac:dyDescent="0.15">
      <c r="A245" s="1" t="s">
        <v>569</v>
      </c>
      <c r="B245" s="3" t="str">
        <f ca="1">IFERROR(__xludf.DUMMYFUNCTION("GOOGLETRANSLATE(B245,""es"",""en"")"),"#LaVozdeSE. The simplistic discourse that infers that mining conflicts originate only in the perverse interests of external instigators does not allow us to find an efficient solution. https://t.co/7Z5EwLwihx https://t.co/JB6IqpoEdW")</f>
        <v>#LaVozdeSE. The simplistic discourse that infers that mining conflicts originate only in the perverse interests of external instigators does not allow us to find an efficient solution. https://t.co/7Z5EwLwihx https://t.co/JB6IqpoEdW</v>
      </c>
      <c r="C245" s="2" t="s">
        <v>570</v>
      </c>
      <c r="D245" s="1" t="s">
        <v>568</v>
      </c>
    </row>
    <row r="246" spans="1:4" ht="15.75" customHeight="1" x14ac:dyDescent="0.15">
      <c r="A246" s="1" t="s">
        <v>571</v>
      </c>
      <c r="B246" s="3" t="str">
        <f ca="1">IFERROR(__xludf.DUMMYFUNCTION("GOOGLETRANSLATE(B246,""es"",""en"")"),"RT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246" s="2" t="s">
        <v>572</v>
      </c>
      <c r="D246" s="1" t="s">
        <v>568</v>
      </c>
    </row>
    <row r="247" spans="1:4" ht="15.75" customHeight="1" x14ac:dyDescent="0.15">
      <c r="A247" s="1" t="s">
        <v>573</v>
      </c>
      <c r="B247" s="3" t="str">
        <f ca="1">IFERROR(__xludf.DUMMYFUNCTION("GOOGLETRANSLATE(B247,""es"",""en"")"),"RT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247" s="2" t="s">
        <v>574</v>
      </c>
      <c r="D247" s="1" t="s">
        <v>575</v>
      </c>
    </row>
    <row r="248" spans="1:4" ht="15.75" customHeight="1" x14ac:dyDescent="0.15">
      <c r="A248" s="1" t="s">
        <v>576</v>
      </c>
      <c r="B248" s="3" t="str">
        <f ca="1">IFERROR(__xludf.DUMMYFUNCTION("GOOGLETRANSLATE(B248,""es"",""en"")"),"RT @PeruECpe: Las Bambas: hearing against the Chávez Sotelo brothers was suspended until tomorrow. They request preventive detention for the alleged crime of extortion ► https://t.co/dJgjSsWjGF https://t.co/sfh5pI6qzo")</f>
        <v>RT @PeruECpe: Las Bambas: hearing against the Chávez Sotelo brothers was suspended until tomorrow. They request preventive detention for the alleged crime of extortion ► https://t.co/dJgjSsWjGF https://t.co/sfh5pI6qzo</v>
      </c>
      <c r="C248" s="2" t="s">
        <v>577</v>
      </c>
      <c r="D248" s="1" t="s">
        <v>575</v>
      </c>
    </row>
    <row r="249" spans="1:4" ht="15.75" customHeight="1" x14ac:dyDescent="0.15">
      <c r="A249" s="1" t="s">
        <v>578</v>
      </c>
      <c r="B249" s="3" t="str">
        <f ca="1">IFERROR(__xludf.DUMMYFUNCTION("GOOGLETRANSLATE(B249,""es"",""en"")"),"RT @CooperAccionPER: #MiningConflicts
Interview with our deputy director José De Echave in the newspaper El Comercio on Sunday 03-31-19:
the commitments that were not met and a road that was built without the MTC implementing its own guidelines 
Read more"&amp;" here: https://t.co/HJQYY9z9YR")</f>
        <v>RT @CooperAccionPER: #MiningConflicts
Interview with our deputy director José De Echave in the newspaper El Comercio on Sunday 03-31-19:
the commitments that were not met and a road that was built without the MTC implementing its own guidelines 
Read more here: https://t.co/HJQYY9z9YR</v>
      </c>
      <c r="C249" s="2" t="s">
        <v>579</v>
      </c>
      <c r="D249" s="1" t="s">
        <v>580</v>
      </c>
    </row>
    <row r="250" spans="1:4" ht="15.75" customHeight="1" x14ac:dyDescent="0.15">
      <c r="A250" s="1" t="s">
        <v>581</v>
      </c>
      <c r="B250" s="3" t="str">
        <f ca="1">IFERROR(__xludf.DUMMYFUNCTION("GOOGLETRANSLATE(B250,""es"",""en"")"),"RT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250" s="2" t="s">
        <v>582</v>
      </c>
      <c r="D250" s="1" t="s">
        <v>580</v>
      </c>
    </row>
    <row r="251" spans="1:4" ht="15.75" customHeight="1" x14ac:dyDescent="0.15">
      <c r="A251" s="1" t="s">
        <v>424</v>
      </c>
      <c r="B251" s="3" t="str">
        <f ca="1">IFERROR(__xludf.DUMMYFUNCTION("GOOGLETRANSLATE(B251,""es"",""en"")"),"Las Bambas: preventive detention hearing for Chávez Sotelo brothers suspended https://t.co/ZNsJySwmAx https://t.co/Psf4dUHSwr")</f>
        <v>Las Bambas: preventive detention hearing for Chávez Sotelo brothers suspended https://t.co/ZNsJySwmAx https://t.co/Psf4dUHSwr</v>
      </c>
      <c r="C251" s="2" t="s">
        <v>583</v>
      </c>
      <c r="D251" s="1" t="s">
        <v>580</v>
      </c>
    </row>
    <row r="252" spans="1:4" ht="15.75" customHeight="1" x14ac:dyDescent="0.15">
      <c r="A252" s="1" t="s">
        <v>584</v>
      </c>
      <c r="B252" s="3" t="str">
        <f ca="1">IFERROR(__xludf.DUMMYFUNCTION("GOOGLETRANSLATE(B252,""es"",""en"")"),"RT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252" s="2" t="s">
        <v>585</v>
      </c>
      <c r="D252" s="1" t="s">
        <v>586</v>
      </c>
    </row>
    <row r="253" spans="1:4" ht="15.75" customHeight="1" x14ac:dyDescent="0.15">
      <c r="A253" s="1" t="s">
        <v>587</v>
      </c>
      <c r="B253" s="3" t="str">
        <f ca="1">IFERROR(__xludf.DUMMYFUNCTION("GOOGLETRANSLATE(B253,""es"",""en"")"),"Photos: The impact of one of the largest copper mines in the world https://t.co/ysh5OAoKEn This is how the indigenous communities of the Andes that surround Las Bambas live, the largest extractive project in the history of Peru @Planeta_Futuro https: //t."&amp;"co/TjKaybvH6A")</f>
        <v>Photos: The impact of one of the largest copper mines in the world https://t.co/ysh5OAoKEn This is how the indigenous communities of the Andes that surround Las Bambas live, the largest extractive project in the history of Peru @Planeta_Futuro https: //t.co/TjKaybvH6A</v>
      </c>
      <c r="C253" s="2" t="s">
        <v>588</v>
      </c>
      <c r="D253" s="1" t="s">
        <v>589</v>
      </c>
    </row>
    <row r="254" spans="1:4" ht="15.75" customHeight="1" x14ac:dyDescent="0.15">
      <c r="A254" s="1" t="s">
        <v>590</v>
      </c>
      <c r="B254" s="3" t="str">
        <f ca="1">IFERROR(__xludf.DUMMYFUNCTION("GOOGLETRANSLATE(B254,""es"",""en"")"),"Eu dava for his friend até ficar com as pernas bambas pq que homao — Hahahah fica a vontade, poxa. Chama ele na dm! https://t.co/MnKaoTk2wO")</f>
        <v>Eu dava for his friend até ficar com as pernas bambas pq que homao — Hahahah fica a vontade, poxa. Chama ele na dm! https://t.co/MnKaoTk2wO</v>
      </c>
      <c r="C254" s="2" t="s">
        <v>591</v>
      </c>
      <c r="D254" s="1" t="s">
        <v>589</v>
      </c>
    </row>
    <row r="255" spans="1:4" ht="15.75" customHeight="1" x14ac:dyDescent="0.15">
      <c r="A255" s="1" t="s">
        <v>480</v>
      </c>
      <c r="B255" s="3" t="str">
        <f ca="1">IFERROR(__xludf.DUMMYFUNCTION("GOOGLETRANSLATE(B255,""es"",""en"")"),"➽Las Bambas: Preventive detention hearing for the Chávez Sotelo brothers is suspended&amp;lt;p&amp;gt;. https://t.co/QC8urQ77Hb https://t.co/srV74EIN3i")</f>
        <v>➽Las Bambas: Preventive detention hearing for the Chávez Sotelo brothers is suspended&amp;lt;p&amp;gt;. https://t.co/QC8urQ77Hb https://t.co/srV74EIN3i</v>
      </c>
      <c r="C255" s="2" t="s">
        <v>592</v>
      </c>
      <c r="D255" s="1" t="s">
        <v>589</v>
      </c>
    </row>
    <row r="256" spans="1:4" ht="15.75" customHeight="1" x14ac:dyDescent="0.15">
      <c r="A256" s="1" t="s">
        <v>241</v>
      </c>
      <c r="B256" s="3" t="str">
        <f ca="1">IFERROR(__xludf.DUMMYFUNCTION("GOOGLETRANSLATE(B256,""es"",""en"")"),"The first step is taken to end the mining conflict in Las Bambas https://t.co/BQolQmd3dX
President of Fuerabamba met with Premier Salvador del Solar to address the complaints and exits. https://t.co/rB6pikbT1A")</f>
        <v>The first step is taken to end the mining conflict in Las Bambas https://t.co/BQolQmd3dX
President of Fuerabamba met with Premier Salvador del Solar to address the complaints and exits. https://t.co/rB6pikbT1A</v>
      </c>
      <c r="C256" s="2" t="s">
        <v>593</v>
      </c>
      <c r="D256" s="1" t="s">
        <v>594</v>
      </c>
    </row>
    <row r="257" spans="1:4" ht="15.75" customHeight="1" x14ac:dyDescent="0.15">
      <c r="A257" s="1" t="s">
        <v>595</v>
      </c>
      <c r="B257" s="3" t="str">
        <f ca="1">IFERROR(__xludf.DUMMYFUNCTION("GOOGLETRANSLATE(B257,""es"",""en"")"),"PRIME MINISTER OF SOLAR, MONSEÑOR CABREJOS, GREGORIO ROJAS AND THE OMBUDSMAN HOLD DIALOGUE ABOUT THE LAS BAMBAS CONFLICT
On Sunday, March 31 at 6 p.m. They met at the Headquarters of the... https://t.co/O7uh70zpRM")</f>
        <v>PRIME MINISTER OF SOLAR, MONSEÑOR CABREJOS, GREGORIO ROJAS AND THE OMBUDSMAN HOLD DIALOGUE ABOUT THE LAS BAMBAS CONFLICT
On Sunday, March 31 at 6 p.m. They met at the Headquarters of the... https://t.co/O7uh70zpRM</v>
      </c>
      <c r="C257" s="2" t="s">
        <v>596</v>
      </c>
      <c r="D257" s="1" t="s">
        <v>594</v>
      </c>
    </row>
    <row r="258" spans="1:4" ht="15.75" customHeight="1" x14ac:dyDescent="0.15">
      <c r="A258" s="1" t="s">
        <v>597</v>
      </c>
      <c r="B258" s="3" t="str">
        <f ca="1">IFERROR(__xludf.DUMMYFUNCTION("GOOGLETRANSLATE(B258,""es"",""en"")"),"RT @jgodoym: Good editorial from @SEMANAeconomica about Las Bambas. We must kill the dog in the manger https://t.co/8TArvrmQMl")</f>
        <v>RT @jgodoym: Good editorial from @SEMANAeconomica about Las Bambas. We must kill the dog in the manger https://t.co/8TArvrmQMl</v>
      </c>
      <c r="C258" s="2" t="s">
        <v>598</v>
      </c>
      <c r="D258" s="1" t="s">
        <v>594</v>
      </c>
    </row>
    <row r="259" spans="1:4" ht="15.75" customHeight="1" x14ac:dyDescent="0.15">
      <c r="A259" s="1" t="s">
        <v>424</v>
      </c>
      <c r="B259" s="3" t="str">
        <f ca="1">IFERROR(__xludf.DUMMYFUNCTION("GOOGLETRANSLATE(B259,""es"",""en"")"),"Las Bambas: hearing against the Chávez Sotelo brothers was suspended https://t.co/37ONM6l4Pe https://t.co/LhVs5vNT2A")</f>
        <v>Las Bambas: hearing against the Chávez Sotelo brothers was suspended https://t.co/37ONM6l4Pe https://t.co/LhVs5vNT2A</v>
      </c>
      <c r="C259" s="2" t="s">
        <v>599</v>
      </c>
      <c r="D259" s="1" t="s">
        <v>600</v>
      </c>
    </row>
    <row r="260" spans="1:4" ht="15.75" customHeight="1" x14ac:dyDescent="0.15">
      <c r="A260" s="1" t="s">
        <v>335</v>
      </c>
      <c r="B260" s="3" t="str">
        <f ca="1">IFERROR(__xludf.DUMMYFUNCTION("GOOGLETRANSLATE(B260,""es"",""en"")"),"@LinceAntiTuco @Jorgedelama  
José De Echave talked about Las Bambas with Sol Carreño. He is a director of Cooperación, an anti-extractivist NGO that receives funds from the Open Society like its ""allies"". Abel Gilvonio, son of terrorists and communist,"&amp;" works there https://t.co/ozd5YVW8vL")</f>
        <v>@LinceAntiTuco @Jorgedelama  
José De Echave talked about Las Bambas with Sol Carreño. He is a director of Cooperación, an anti-extractivist NGO that receives funds from the Open Society like its "allies". Abel Gilvonio, son of terrorists and communist, works there https://t.co/ozd5YVW8vL</v>
      </c>
      <c r="C260" s="2" t="s">
        <v>601</v>
      </c>
      <c r="D260" s="1" t="s">
        <v>602</v>
      </c>
    </row>
    <row r="261" spans="1:4" ht="15.75" customHeight="1" x14ac:dyDescent="0.15">
      <c r="A261" s="1" t="s">
        <v>603</v>
      </c>
      <c r="B261" s="3" t="str">
        <f ca="1">IFERROR(__xludf.DUMMYFUNCTION("GOOGLETRANSLATE(B261,""es"",""en"")"),"“Las Bambas cannot be a harvest of dead people” https://t.co/sIKSFMck6d")</f>
        <v>“Las Bambas cannot be a harvest of dead people” https://t.co/sIKSFMck6d</v>
      </c>
      <c r="C261" s="2" t="s">
        <v>604</v>
      </c>
      <c r="D261" s="1" t="s">
        <v>602</v>
      </c>
    </row>
    <row r="262" spans="1:4" ht="15.75" customHeight="1" x14ac:dyDescent="0.15">
      <c r="A262" s="1" t="s">
        <v>605</v>
      </c>
      <c r="B262" s="3" t="str">
        <f ca="1">IFERROR(__xludf.DUMMYFUNCTION("GOOGLETRANSLATE(B262,""es"",""en"")"),"RT @jgodoym: Good editorial from @SEMANAeconomica about Las Bambas. We must kill the dog in the manger https://t.co/8TArvrmQMl")</f>
        <v>RT @jgodoym: Good editorial from @SEMANAeconomica about Las Bambas. We must kill the dog in the manger https://t.co/8TArvrmQMl</v>
      </c>
      <c r="C262" s="2" t="s">
        <v>606</v>
      </c>
      <c r="D262" s="1" t="s">
        <v>602</v>
      </c>
    </row>
    <row r="263" spans="1:4" ht="15.75" customHeight="1" x14ac:dyDescent="0.15">
      <c r="A263" s="1" t="s">
        <v>607</v>
      </c>
      <c r="B263" s="3" t="str">
        <f ca="1">IFERROR(__xludf.DUMMYFUNCTION("GOOGLETRANSLATE(B263,""es"",""en"")"),"RT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263" s="2" t="s">
        <v>608</v>
      </c>
      <c r="D263" s="1" t="s">
        <v>609</v>
      </c>
    </row>
    <row r="264" spans="1:4" ht="15.75" customHeight="1" x14ac:dyDescent="0.15">
      <c r="A264" s="1" t="s">
        <v>335</v>
      </c>
      <c r="B264" s="3" t="str">
        <f ca="1">IFERROR(__xludf.DUMMYFUNCTION("GOOGLETRANSLATE(B264,""es"",""en"")"),"@LinceAntiTuco @xafu:
 Members of FUDEPP, political arm of PCP-SENDERO LUMINOSO, marched in Lima, in SUPPORT of community members from Las BAMBAS, CHALHUAHUACHO, CHUMBIVILCAS. Also groups from La CANTUTA, People's Summit, MAS Party, G. Santos and FREDIREC"&amp;". https://t.co/qx8Eh0PlTj")</f>
        <v>@LinceAntiTuco @xafu:
 Members of FUDEPP, political arm of PCP-SENDERO LUMINOSO, marched in Lima, in SUPPORT of community members from Las BAMBAS, CHALHUAHUACHO, CHUMBIVILCAS. Also groups from La CANTUTA, People's Summit, MAS Party, G. Santos and FREDIREC. https://t.co/qx8Eh0PlTj</v>
      </c>
      <c r="C264" s="2" t="s">
        <v>610</v>
      </c>
      <c r="D264" s="1" t="s">
        <v>609</v>
      </c>
    </row>
    <row r="265" spans="1:4" ht="15.75" customHeight="1" x14ac:dyDescent="0.15">
      <c r="A265" s="1" t="s">
        <v>611</v>
      </c>
      <c r="B265" s="3" t="str">
        <f ca="1">IFERROR(__xludf.DUMMYFUNCTION("GOOGLETRANSLATE(B265,""es"",""en"")"),"RT @JAAbadSotomayor: The Solar Cabinet is facing a crisis a few days after assuming its functions with a Conflict in Las Bambas that has been going on for years, and there are people who do not want to dialogue like the community of Fuerabamba who are ask"&amp;"ing for 39 hectares USD 31 million")</f>
        <v>RT @JAAbadSotomayor: The Solar Cabinet is facing a crisis a few days after assuming its functions with a Conflict in Las Bambas that has been going on for years, and there are people who do not want to dialogue like the community of Fuerabamba who are asking for 39 hectares USD 31 million</v>
      </c>
      <c r="C265" s="2" t="s">
        <v>612</v>
      </c>
      <c r="D265" s="1" t="s">
        <v>609</v>
      </c>
    </row>
    <row r="266" spans="1:4" ht="15.75" customHeight="1" x14ac:dyDescent="0.15">
      <c r="A266" s="1" t="s">
        <v>613</v>
      </c>
      <c r="B266" s="3" t="str">
        <f ca="1">IFERROR(__xludf.DUMMYFUNCTION("GOOGLETRANSLATE(B266,""es"",""en"")"),"@reyconbarba Dear gentlemen, it would truly be the LAST for this cabinet to have an approval, when citizens die every day due to INSECURITY. The glass overflowed with FIORI (20 DEAD) and the Minister of Transport BUSY in Las Bambas?, Please ! He is INEPT.")</f>
        <v>@reyconbarba Dear gentlemen, it would truly be the LAST for this cabinet to have an approval, when citizens die every day due to INSECURITY. The glass overflowed with FIORI (20 DEAD) and the Minister of Transport BUSY in Las Bambas?, Please ! He is INEPT.</v>
      </c>
      <c r="C266" s="2" t="s">
        <v>614</v>
      </c>
      <c r="D266" s="1" t="s">
        <v>615</v>
      </c>
    </row>
    <row r="267" spans="1:4" ht="15.75" customHeight="1" x14ac:dyDescent="0.15">
      <c r="A267" s="1" t="s">
        <v>616</v>
      </c>
      <c r="B267" s="3" t="str">
        <f ca="1">IFERROR(__xludf.DUMMYFUNCTION("GOOGLETRANSLATE(B267,""es"",""en"")"),"RT @ExpresoPeru: ""It is very clear to me that, in the case of Las Bambas, as long as trucks continue to be used to remove the mineral within sight and patience of the communities, regardless of the pollution or the environmental impact, there will be pro"&amp;"blems.""
Read Madeleine Osterling: https://t.co/KIjfPRh0Xs")</f>
        <v>RT @ExpresoPeru: "It is very clear to me that, in the case of Las Bambas, as long as trucks continue to be used to remove the mineral within sight and patience of the communities, regardless of the pollution or the environmental impact, there will be problems."
Read Madeleine Osterling: https://t.co/KIjfPRh0Xs</v>
      </c>
      <c r="C267" s="2" t="s">
        <v>617</v>
      </c>
      <c r="D267" s="1" t="s">
        <v>618</v>
      </c>
    </row>
    <row r="268" spans="1:4" ht="15.75" customHeight="1" x14ac:dyDescent="0.15">
      <c r="A268" s="1" t="s">
        <v>619</v>
      </c>
      <c r="B268" s="3" t="str">
        <f ca="1">IFERROR(__xludf.DUMMYFUNCTION("GOOGLETRANSLATE(B268,""es"",""en"")"),"I share the Friday program of the weekly PRESENTE in which the issue of Las Bambas and the first year of the Vizcarra government was analyzed.
Here the link: https://t.co/qA46MgYEnb")</f>
        <v>I share the Friday program of the weekly PRESENTE in which the issue of Las Bambas and the first year of the Vizcarra government was analyzed.
Here the link: https://t.co/qA46MgYEnb</v>
      </c>
      <c r="C268" s="2" t="s">
        <v>620</v>
      </c>
      <c r="D268" s="1" t="s">
        <v>618</v>
      </c>
    </row>
    <row r="269" spans="1:4" ht="15.75" customHeight="1" x14ac:dyDescent="0.15">
      <c r="A269" s="1" t="s">
        <v>300</v>
      </c>
      <c r="B269" s="3" t="str">
        <f ca="1">IFERROR(__xludf.DUMMYFUNCTION("GOOGLETRANSLATE(B269,""es"",""en"")"),"Las Bambas: hearing against the Chávez Sotelo brothers is suspended #VIDEO
 ► https://t.co/DvEtZs8Oqe https://t.co/CICt09pftm")</f>
        <v>Las Bambas: hearing against the Chávez Sotelo brothers is suspended #VIDEO
 ► https://t.co/DvEtZs8Oqe https://t.co/CICt09pftm</v>
      </c>
      <c r="C269" s="2" t="s">
        <v>621</v>
      </c>
      <c r="D269" s="1" t="s">
        <v>618</v>
      </c>
    </row>
    <row r="270" spans="1:4" ht="15.75" customHeight="1" x14ac:dyDescent="0.15">
      <c r="A270" s="1" t="s">
        <v>335</v>
      </c>
      <c r="B270" s="3" t="str">
        <f ca="1">IFERROR(__xludf.DUMMYFUNCTION("GOOGLETRANSLATE(B270,""es"",""en"")"),"@LinceAntiTuco @margamedonzac: 
Mr. Pdte @ MartinVizcarraC confirm if your family business C y M Vizcarra S.A.C has contracts with the copper mining company LAS BAMBAS, we await your response @vozdelatierra @gatoencerrado2 @manifiesto_peru @Politico_pe ht"&amp;"tps://t.co/RR66H8FmzV")</f>
        <v>@LinceAntiTuco @margamedonzac: 
Mr. Pdte @ MartinVizcarraC confirm if your family business C y M Vizcarra S.A.C has contracts with the copper mining company LAS BAMBAS, we await your response @vozdelatierra @gatoencerrado2 @manifiesto_peru @Politico_pe https://t.co/RR66H8FmzV</v>
      </c>
      <c r="C270" s="2" t="s">
        <v>622</v>
      </c>
      <c r="D270" s="1" t="s">
        <v>618</v>
      </c>
    </row>
    <row r="271" spans="1:4" ht="15.75" customHeight="1" x14ac:dyDescent="0.15">
      <c r="A271" s="1" t="s">
        <v>623</v>
      </c>
      <c r="B271" s="3" t="str">
        <f ca="1">IFERROR(__xludf.DUMMYFUNCTION("GOOGLETRANSLATE(B271,""es"",""en"")"),"Las Bambas is that “something” that all investors worldwide are looking at and makes them doubt whether it is appropriate to see Peru as a healthy market.
#LasBambas #Vizcarra #PPK #Fuerabamba https://t.co/IIl9cJX19M")</f>
        <v>Las Bambas is that “something” that all investors worldwide are looking at and makes them doubt whether it is appropriate to see Peru as a healthy market.
#LasBambas #Vizcarra #PPK #Fuerabamba https://t.co/IIl9cJX19M</v>
      </c>
      <c r="C271" s="2" t="s">
        <v>624</v>
      </c>
      <c r="D271" s="1" t="s">
        <v>625</v>
      </c>
    </row>
    <row r="272" spans="1:4" ht="15.75" customHeight="1" x14ac:dyDescent="0.15">
      <c r="A272" s="1" t="s">
        <v>626</v>
      </c>
      <c r="B272" s="3" t="str">
        <f ca="1">IFERROR(__xludf.DUMMYFUNCTION("GOOGLETRANSLATE(B272,""es"",""en"")"),"@malditaternura The shit, the topic is trending, it is more important than the 12-point drop in Vizcarra, the deaths in Fiori, the fall of MIG29, the deaths in Las Bambas due to the ineptitude of the Ministry of Transportation, the control of prosecutors "&amp;".. good Beto, you did it once again.")</f>
        <v>@malditaternura The shit, the topic is trending, it is more important than the 12-point drop in Vizcarra, the deaths in Fiori, the fall of MIG29, the deaths in Las Bambas due to the ineptitude of the Ministry of Transportation, the control of prosecutors .. good Beto, you did it once again.</v>
      </c>
      <c r="C272" s="2" t="s">
        <v>627</v>
      </c>
      <c r="D272" s="1" t="s">
        <v>625</v>
      </c>
    </row>
    <row r="273" spans="1:4" ht="15.75" customHeight="1" x14ac:dyDescent="0.15">
      <c r="A273" s="1" t="s">
        <v>628</v>
      </c>
      <c r="B273" s="3" t="str">
        <f ca="1">IFERROR(__xludf.DUMMYFUNCTION("GOOGLETRANSLATE(B273,""es"",""en"")"),"Las Bambas: This Tuesday they will evaluate preventive detention against the Chávez Sotelo brothers https://t.co/3wsJZkUxR1")</f>
        <v>Las Bambas: This Tuesday they will evaluate preventive detention against the Chávez Sotelo brothers https://t.co/3wsJZkUxR1</v>
      </c>
      <c r="C273" s="2" t="s">
        <v>629</v>
      </c>
      <c r="D273" s="1" t="s">
        <v>630</v>
      </c>
    </row>
    <row r="274" spans="1:4" ht="15.75" customHeight="1" x14ac:dyDescent="0.15">
      <c r="A274" s="1" t="s">
        <v>631</v>
      </c>
      <c r="B274" s="3" t="str">
        <f ca="1">IFERROR(__xludf.DUMMYFUNCTION("GOOGLETRANSLATE(B274,""es"",""en"")"),"""The Las Bambas conflict has several inputs for analysis that should, once and for all with leadership and political decision, channel the problem towards sustainable solutions."" By @josepatino65 https://t.co/gnBK2ZPLwu @presidenciaperu @congresoperu")</f>
        <v>"The Las Bambas conflict has several inputs for analysis that should, once and for all with leadership and political decision, channel the problem towards sustainable solutions." By @josepatino65 https://t.co/gnBK2ZPLwu @presidenciaperu @congresoperu</v>
      </c>
      <c r="C274" s="2" t="s">
        <v>632</v>
      </c>
      <c r="D274" s="1" t="s">
        <v>630</v>
      </c>
    </row>
    <row r="275" spans="1:4" ht="15.75" customHeight="1" x14ac:dyDescent="0.15">
      <c r="A275" s="1" t="s">
        <v>633</v>
      </c>
      <c r="B275" s="3" t="str">
        <f ca="1">IFERROR(__xludf.DUMMYFUNCTION("GOOGLETRANSLATE(B275,""es"",""en"")"),"@julioguzmanperu Hey, what about the conflict in Las Bambas? Not a word?")</f>
        <v>@julioguzmanperu Hey, what about the conflict in Las Bambas? Not a word?</v>
      </c>
      <c r="C275" s="2" t="s">
        <v>634</v>
      </c>
      <c r="D275" s="1" t="s">
        <v>630</v>
      </c>
    </row>
    <row r="276" spans="1:4" ht="15.75" customHeight="1" x14ac:dyDescent="0.15">
      <c r="A276" s="1" t="s">
        <v>635</v>
      </c>
      <c r="B276" s="3" t="str">
        <f ca="1">IFERROR(__xludf.DUMMYFUNCTION("GOOGLETRANSLATE(B276,""es"",""en"")"),"RT @Jessica48396615: True @MazaBera errors by @MartinVizcarraC and fall in polls: Las Bambas; hire Fujiapristas; Tuesta Commission: Bicamerality and eliminate Prohibition; Put or ratify questioned MINSA, MINAG, MININTER, Produce, MEM, Environment Housing,"&amp;" AFP, Cuellos Blancos regroup https://t.co/WjOPLU1s9E")</f>
        <v>RT @Jessica48396615: True @MazaBera errors by @MartinVizcarraC and fall in polls: Las Bambas; hire Fujiapristas; Tuesta Commission: Bicamerality and eliminate Prohibition; Put or ratify questioned MINSA, MINAG, MININTER, Produce, MEM, Environment Housing, AFP, Cuellos Blancos regroup https://t.co/WjOPLU1s9E</v>
      </c>
      <c r="C276" s="2" t="s">
        <v>636</v>
      </c>
      <c r="D276" s="1" t="s">
        <v>637</v>
      </c>
    </row>
    <row r="277" spans="1:4" ht="15.75" customHeight="1" x14ac:dyDescent="0.15">
      <c r="A277" s="1" t="s">
        <v>638</v>
      </c>
      <c r="B277" s="3" t="str">
        <f ca="1">IFERROR(__xludf.DUMMYFUNCTION("GOOGLETRANSLATE(B277,""es"",""en"")"),"RT @lamula: #LasBambas Did you think that the community members in the mining project area did not have the right to receive a payment? Did you think that the land through which the blocked road passes was not theirs? Here we explain this and more about t"&amp;"his conflict --&amp;gt; https://t.co/x48ljAPQPM
#MiningConflicts https://t.co/yCMZXGVRFT")</f>
        <v>RT @lamula: #LasBambas Did you think that the community members in the mining project area did not have the right to receive a payment? Did you think that the land through which the blocked road passes was not theirs? Here we explain this and more about this conflict --&amp;gt; https://t.co/x48ljAPQPM
#MiningConflicts https://t.co/yCMZXGVRFT</v>
      </c>
      <c r="C277" s="2" t="s">
        <v>639</v>
      </c>
      <c r="D277" s="1" t="s">
        <v>640</v>
      </c>
    </row>
    <row r="278" spans="1:4" ht="15.75" customHeight="1" x14ac:dyDescent="0.15">
      <c r="A278" s="1" t="s">
        <v>641</v>
      </c>
      <c r="B278" s="3" t="str">
        <f ca="1">IFERROR(__xludf.DUMMYFUNCTION("GOOGLETRANSLATE(B278,""es"",""en"")"),"RT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278" s="2" t="s">
        <v>642</v>
      </c>
      <c r="D278" s="1" t="s">
        <v>640</v>
      </c>
    </row>
    <row r="279" spans="1:4" ht="15.75" customHeight="1" x14ac:dyDescent="0.15">
      <c r="A279" s="1" t="s">
        <v>631</v>
      </c>
      <c r="B279" s="3" t="str">
        <f ca="1">IFERROR(__xludf.DUMMYFUNCTION("GOOGLETRANSLATE(B279,""es"",""en"")"),"On March 28, a community member who belongs to the Fuerabamba community that is confronting the State and the Las Bambas mine declared that her protest is due to the fact that “HER PRIVATE PROPERTY IS NOT RESPECTED.” By Jaime Miranda Sousa ► https://t.co/"&amp;"Br9bjSysz4 @presidenciaperu")</f>
        <v>On March 28, a community member who belongs to the Fuerabamba community that is confronting the State and the Las Bambas mine declared that her protest is due to the fact that “HER PRIVATE PROPERTY IS NOT RESPECTED.” By Jaime Miranda Sousa ► https://t.co/Br9bjSysz4 @presidenciaperu</v>
      </c>
      <c r="C279" s="2" t="s">
        <v>643</v>
      </c>
      <c r="D279" s="1" t="s">
        <v>644</v>
      </c>
    </row>
    <row r="280" spans="1:4" ht="15.75" customHeight="1" x14ac:dyDescent="0.15">
      <c r="A280" s="1" t="s">
        <v>645</v>
      </c>
      <c r="B280" s="3" t="str">
        <f ca="1">IFERROR(__xludf.DUMMYFUNCTION("GOOGLETRANSLATE(B280,""es"",""en"")"),"RT @lamula: #LasBambas Did you think that the community members in the mining project area did not have the right to receive a payment? Did you think that the land through which the blocked road passes was not theirs? Here we explain this and more about t"&amp;"his conflict --&amp;gt; https://t.co/x48ljAPQPM
#MiningConflicts https://t.co/yCMZXGVRFT")</f>
        <v>RT @lamula: #LasBambas Did you think that the community members in the mining project area did not have the right to receive a payment? Did you think that the land through which the blocked road passes was not theirs? Here we explain this and more about this conflict --&amp;gt; https://t.co/x48ljAPQPM
#MiningConflicts https://t.co/yCMZXGVRFT</v>
      </c>
      <c r="C280" s="2" t="s">
        <v>646</v>
      </c>
      <c r="D280" s="1" t="s">
        <v>644</v>
      </c>
    </row>
    <row r="281" spans="1:4" ht="15.75" customHeight="1" x14ac:dyDescent="0.15">
      <c r="A281" s="1" t="s">
        <v>647</v>
      </c>
      <c r="B281" s="3" t="str">
        <f ca="1">IFERROR(__xludf.DUMMYFUNCTION("GOOGLETRANSLATE(B281,""es"",""en"")"),"Talks began to end the mining conflict in #LasBambas ► https://t.co/GFMmEDguKL https://t.co/vSM6x7yZfS")</f>
        <v>Talks began to end the mining conflict in #LasBambas ► https://t.co/GFMmEDguKL https://t.co/vSM6x7yZfS</v>
      </c>
      <c r="C281" s="2" t="s">
        <v>648</v>
      </c>
      <c r="D281" s="1" t="s">
        <v>644</v>
      </c>
    </row>
    <row r="282" spans="1:4" ht="15.75" customHeight="1" x14ac:dyDescent="0.15">
      <c r="A282" s="1" t="s">
        <v>649</v>
      </c>
      <c r="B282" s="3" t="str">
        <f ca="1">IFERROR(__xludf.DUMMYFUNCTION("GOOGLETRANSLATE(B282,""es"",""en"")"),"@elcomercio_peru ""Round of dialogue"", looks like the sneakers")</f>
        <v>@elcomercio_peru "Round of dialogue", looks like the sneakers</v>
      </c>
      <c r="C282" s="2" t="s">
        <v>650</v>
      </c>
      <c r="D282" s="1" t="s">
        <v>651</v>
      </c>
    </row>
    <row r="283" spans="1:4" ht="15.75" customHeight="1" x14ac:dyDescent="0.15">
      <c r="A283" s="1" t="s">
        <v>652</v>
      </c>
      <c r="B283" s="3" t="str">
        <f ca="1">IFERROR(__xludf.DUMMYFUNCTION("GOOGLETRANSLATE(B283,""es"",""en"")"),"RT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283" s="2" t="s">
        <v>653</v>
      </c>
      <c r="D283" s="1" t="s">
        <v>654</v>
      </c>
    </row>
    <row r="284" spans="1:4" ht="15.75" customHeight="1" x14ac:dyDescent="0.15">
      <c r="A284" s="1" t="s">
        <v>25</v>
      </c>
      <c r="B284" s="3" t="str">
        <f ca="1">IFERROR(__xludf.DUMMYFUNCTION("GOOGLETRANSLATE(B284,""es"",""en"")"),"@Neiraelmutante
Mining and absence of State
Follow us on:
FB: https://t.co/8BN6IGtfbu
Youtube: https://t.co/x2WH9Dyq6f
More Articles: https://t.co/4sbQL43f0Q
#Mining #Fuerabamba #GregorioRojas 
https://t.co/NKZgzH7Psd")</f>
        <v>@Neiraelmutante
Mining and absence of State
Follow us on:
FB: https://t.co/8BN6IGtfbu
Youtube: https://t.co/x2WH9Dyq6f
More Articles: https://t.co/4sbQL43f0Q
#Mining #Fuerabamba #GregorioRojas 
https://t.co/NKZgzH7Psd</v>
      </c>
      <c r="C284" s="2" t="s">
        <v>655</v>
      </c>
      <c r="D284" s="1" t="s">
        <v>656</v>
      </c>
    </row>
    <row r="285" spans="1:4" ht="15.75" customHeight="1" x14ac:dyDescent="0.15">
      <c r="A285" s="1" t="s">
        <v>657</v>
      </c>
      <c r="B285" s="3" t="str">
        <f ca="1">IFERROR(__xludf.DUMMYFUNCTION("GOOGLETRANSLATE(B285,""es"",""en"")"),"@PanamericanaTV And with great fanfare last time they swore and perjured that this news was false and there is nothing to be afraid of... So with a new directory, these antics happen, that's why there are, there will be and there will never cease to be mo"&amp;"re cases like the # Sneakers")</f>
        <v>@PanamericanaTV And with great fanfare last time they swore and perjured that this news was false and there is nothing to be afraid of... So with a new directory, these antics happen, that's why there are, there will be and there will never cease to be more cases like the # Sneakers</v>
      </c>
      <c r="C285" s="2" t="s">
        <v>658</v>
      </c>
      <c r="D285" s="1" t="s">
        <v>656</v>
      </c>
    </row>
    <row r="286" spans="1:4" ht="15.75" customHeight="1" x14ac:dyDescent="0.15">
      <c r="A286" s="1" t="s">
        <v>659</v>
      </c>
      <c r="B286" s="3" t="str">
        <f ca="1">IFERROR(__xludf.DUMMYFUNCTION("GOOGLETRANSLATE(B286,""es"",""en"")"),"RT @lamula: #LasBambas Did you think that the community members in the mining project area did not have the right to receive a payment? Did you think that the land through which the blocked road passes was not theirs? Here we explain this and more about t"&amp;"his conflict --&amp;gt; https://t.co/x48ljAPQPM
#MiningConflicts https://t.co/yCMZXGVRFT")</f>
        <v>RT @lamula: #LasBambas Did you think that the community members in the mining project area did not have the right to receive a payment? Did you think that the land through which the blocked road passes was not theirs? Here we explain this and more about this conflict --&amp;gt; https://t.co/x48ljAPQPM
#MiningConflicts https://t.co/yCMZXGVRFT</v>
      </c>
      <c r="C286" s="2" t="s">
        <v>660</v>
      </c>
      <c r="D286" s="1" t="s">
        <v>656</v>
      </c>
    </row>
    <row r="287" spans="1:4" ht="15.75" customHeight="1" x14ac:dyDescent="0.15">
      <c r="A287" s="1" t="s">
        <v>661</v>
      </c>
      <c r="B287" s="3" t="str">
        <f ca="1">IFERROR(__xludf.DUMMYFUNCTION("GOOGLETRANSLATE(B287,""es"",""en"")"),"On Saturday the 6th they will meet again in Lima with the leader of #Fuerabamba. On that occasion, he stated, it is expected to also have a representative from the mining company #MMG #LasBambas 
@pcmperu @Defensoria_Peru @Minsa_Peru @MTC_GobPeru
@MidisPe"&amp;"ru https://t.co/3vBONyKn93")</f>
        <v>On Saturday the 6th they will meet again in Lima with the leader of #Fuerabamba. On that occasion, he stated, it is expected to also have a representative from the mining company #MMG #LasBambas 
@pcmperu @Defensoria_Peru @Minsa_Peru @MTC_GobPeru
@MidisPeru https://t.co/3vBONyKn93</v>
      </c>
      <c r="C287" s="2" t="s">
        <v>662</v>
      </c>
      <c r="D287" s="1" t="s">
        <v>663</v>
      </c>
    </row>
    <row r="288" spans="1:4" ht="15.75" customHeight="1" x14ac:dyDescent="0.15">
      <c r="A288" s="1" t="s">
        <v>664</v>
      </c>
      <c r="B288" s="3" t="str">
        <f ca="1">IFERROR(__xludf.DUMMYFUNCTION("GOOGLETRANSLATE(B288,""es"",""en"")"),"RT @grandemendesJr: The public judgments about the innocent or quarrelsome, savage or civilized character of the community members of Las Bambas are disgusting. They are trapped in the irrationality of a racism that they are not even aware of.")</f>
        <v>RT @grandemendesJr: The public judgments about the innocent or quarrelsome, savage or civilized character of the community members of Las Bambas are disgusting. They are trapped in the irrationality of a racism that they are not even aware of.</v>
      </c>
      <c r="C288" s="2" t="s">
        <v>665</v>
      </c>
      <c r="D288" s="1" t="s">
        <v>663</v>
      </c>
    </row>
    <row r="289" spans="1:4" ht="15.75" customHeight="1" x14ac:dyDescent="0.15">
      <c r="A289" s="1" t="s">
        <v>666</v>
      </c>
      <c r="B289" s="3" t="str">
        <f ca="1">IFERROR(__xludf.DUMMYFUNCTION("GOOGLETRANSLATE(B289,""es"",""en"")"),"RT @meiermq: ""What happened in Las Bambas is not because of the absence of the State but rather because of its inadequate presence, something that the great thinker Hernando de Soto would call “bad formality” https://t.co/8xhHMa0KRJ")</f>
        <v>RT @meiermq: "What happened in Las Bambas is not because of the absence of the State but rather because of its inadequate presence, something that the great thinker Hernando de Soto would call “bad formality” https://t.co/8xhHMa0KRJ</v>
      </c>
      <c r="C289" s="2" t="s">
        <v>667</v>
      </c>
      <c r="D289" s="1" t="s">
        <v>668</v>
      </c>
    </row>
    <row r="290" spans="1:4" ht="15.75" customHeight="1" x14ac:dyDescent="0.15">
      <c r="A290" s="1" t="s">
        <v>669</v>
      </c>
      <c r="B290" s="3" t="str">
        <f ca="1">IFERROR(__xludf.DUMMYFUNCTION("GOOGLETRANSLATE(B290,""es"",""en"")"),"The Minister of Health said that they are waiting for the response of the communities for an eventual suspension of the strike https://t.co/216s66VhjG")</f>
        <v>The Minister of Health said that they are waiting for the response of the communities for an eventual suspension of the strike https://t.co/216s66VhjG</v>
      </c>
      <c r="C290" s="2" t="s">
        <v>670</v>
      </c>
      <c r="D290" s="1" t="s">
        <v>671</v>
      </c>
    </row>
    <row r="291" spans="1:4" ht="15.75" customHeight="1" x14ac:dyDescent="0.15">
      <c r="A291" s="1" t="s">
        <v>672</v>
      </c>
      <c r="B291" s="3" t="str">
        <f ca="1">IFERROR(__xludf.DUMMYFUNCTION("GOOGLETRANSLATE(B291,""es"",""en"")"),"@PanoramaPTV Panorama press sold They are against the peasants of the sneakers.  They only seek their rights...they are Peruvians, not discrimination. ..")</f>
        <v>@PanoramaPTV Panorama press sold They are against the peasants of the sneakers.  They only seek their rights...they are Peruvians, not discrimination. ..</v>
      </c>
      <c r="C291" s="2" t="s">
        <v>673</v>
      </c>
      <c r="D291" s="1" t="s">
        <v>674</v>
      </c>
    </row>
    <row r="292" spans="1:4" ht="15.75" customHeight="1" x14ac:dyDescent="0.15">
      <c r="A292" s="1" t="s">
        <v>631</v>
      </c>
      <c r="B292" s="3" t="str">
        <f ca="1">IFERROR(__xludf.DUMMYFUNCTION("GOOGLETRANSLATE(B292,""es"",""en"")"),"However, community members insist on the release of the Chávez Sotelo family. https://t.co/zLr3y0Qihc")</f>
        <v>However, community members insist on the release of the Chávez Sotelo family. https://t.co/zLr3y0Qihc</v>
      </c>
      <c r="C292" s="2" t="s">
        <v>675</v>
      </c>
      <c r="D292" s="1" t="s">
        <v>674</v>
      </c>
    </row>
    <row r="293" spans="1:4" ht="15.75" customHeight="1" x14ac:dyDescent="0.15">
      <c r="A293" s="1" t="s">
        <v>676</v>
      </c>
      <c r="B293" s="3" t="str">
        <f ca="1">IFERROR(__xludf.DUMMYFUNCTION("GOOGLETRANSLATE(B293,""es"",""en"")"),"PROSECUTOR'S OFFICE ADMITS THAT THEY RELEASED THE BAMBAS LEADER AFTER EVALUATING THE POLITICAL SITUATION. WHAT THE SHELL, IS THIS HOW THE LAWS ARE HANDLED IN PERU? KEIKO MUST BE RELEASED IMMEDIATELY. LET'S SEE WHAT CONCRESISTS OF F.P. DO.")</f>
        <v>PROSECUTOR'S OFFICE ADMITS THAT THEY RELEASED THE BAMBAS LEADER AFTER EVALUATING THE POLITICAL SITUATION. WHAT THE SHELL, IS THIS HOW THE LAWS ARE HANDLED IN PERU? KEIKO MUST BE RELEASED IMMEDIATELY. LET'S SEE WHAT CONCRESISTS OF F.P. DO.</v>
      </c>
      <c r="C293" s="2" t="s">
        <v>677</v>
      </c>
      <c r="D293" s="1" t="s">
        <v>678</v>
      </c>
    </row>
    <row r="294" spans="1:4" ht="15.75" customHeight="1" x14ac:dyDescent="0.15">
      <c r="A294" s="1" t="s">
        <v>676</v>
      </c>
      <c r="B294" s="3" t="str">
        <f ca="1">IFERROR(__xludf.DUMMYFUNCTION("GOOGLETRANSLATE(B294,""es"",""en"")"),"RT @luislchihuan: PROSECUTOR ADMITS THAT THEY RELEASED THE LEADER OF THE BAMBAS AFTER EVALUATING THE POLITICAL SITUATION. WHAT THE SHELL, IS THIS HOW THE LAWS ARE HANDLED IN PERU? KEIKO MUST BE RELEASED IMMEDIATELY. LET'S SEE WHAT CONCRESISTS OF F.P. DO.")</f>
        <v>RT @luislchihuan: PROSECUTOR ADMITS THAT THEY RELEASED THE LEADER OF THE BAMBAS AFTER EVALUATING THE POLITICAL SITUATION. WHAT THE SHELL, IS THIS HOW THE LAWS ARE HANDLED IN PERU? KEIKO MUST BE RELEASED IMMEDIATELY. LET'S SEE WHAT CONCRESISTS OF F.P. DO.</v>
      </c>
      <c r="C294" s="2" t="s">
        <v>679</v>
      </c>
      <c r="D294" s="1" t="s">
        <v>678</v>
      </c>
    </row>
    <row r="295" spans="1:4" ht="15.75" customHeight="1" x14ac:dyDescent="0.15">
      <c r="A295" s="1" t="s">
        <v>680</v>
      </c>
      <c r="B295" s="3" t="str">
        <f ca="1">IFERROR(__xludf.DUMMYFUNCTION("GOOGLETRANSLATE(B295,""es"",""en"")"),"@SergiMMX Yes, mine takes off her sneakers and says; Li ported the mess to the Dyson! 🤦‍♂️")</f>
        <v>@SergiMMX Yes, mine takes off her sneakers and says; Li ported the mess to the Dyson! 🤦‍♂️</v>
      </c>
      <c r="C295" s="2" t="s">
        <v>681</v>
      </c>
      <c r="D295" s="1" t="s">
        <v>678</v>
      </c>
    </row>
    <row r="296" spans="1:4" ht="15.75" customHeight="1" x14ac:dyDescent="0.15">
      <c r="A296" s="1" t="s">
        <v>682</v>
      </c>
      <c r="B296" s="3" t="str">
        <f ca="1">IFERROR(__xludf.DUMMYFUNCTION("GOOGLETRANSLATE(B296,""es"",""en"")"),"RT @luislchihuan: PROSECUTOR ADMITS THAT THEY RELEASED THE LEADER OF THE BAMBAS AFTER EVALUATING THE POLITICAL SITUATION. WHAT THE SHELL, IS THIS HOW THE LAWS ARE HANDLED IN PERU? KEIKO MUST BE RELEASED IMMEDIATELY. LET'S SEE WHAT CONCRESISTS OF F.P. DO.")</f>
        <v>RT @luislchihuan: PROSECUTOR ADMITS THAT THEY RELEASED THE LEADER OF THE BAMBAS AFTER EVALUATING THE POLITICAL SITUATION. WHAT THE SHELL, IS THIS HOW THE LAWS ARE HANDLED IN PERU? KEIKO MUST BE RELEASED IMMEDIATELY. LET'S SEE WHAT CONCRESISTS OF F.P. DO.</v>
      </c>
      <c r="C296" s="2" t="s">
        <v>683</v>
      </c>
      <c r="D296" s="1" t="s">
        <v>678</v>
      </c>
    </row>
    <row r="297" spans="1:4" ht="15.75" customHeight="1" x14ac:dyDescent="0.15">
      <c r="A297" s="1" t="s">
        <v>424</v>
      </c>
      <c r="B297" s="3" t="str">
        <f ca="1">IFERROR(__xludf.DUMMYFUNCTION("GOOGLETRANSLATE(B297,""es"",""en"")"),"Minsa on Las Bambas: ""With the community members we agree on non-violence"" https://t.co/MxeqFig1uD https://t.co/BfyxEvlWqV")</f>
        <v>Minsa on Las Bambas: "With the community members we agree on non-violence" https://t.co/MxeqFig1uD https://t.co/BfyxEvlWqV</v>
      </c>
      <c r="C297" s="2" t="s">
        <v>684</v>
      </c>
      <c r="D297" s="1" t="s">
        <v>678</v>
      </c>
    </row>
    <row r="298" spans="1:4" ht="15.75" customHeight="1" x14ac:dyDescent="0.15">
      <c r="A298" s="1" t="s">
        <v>685</v>
      </c>
      <c r="B298" s="3" t="str">
        <f ca="1">IFERROR(__xludf.DUMMYFUNCTION("GOOGLETRANSLATE(B298,""es"",""en"")"),"RT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298" s="2" t="s">
        <v>686</v>
      </c>
      <c r="D298" s="1" t="s">
        <v>687</v>
      </c>
    </row>
    <row r="299" spans="1:4" ht="15.75" customHeight="1" x14ac:dyDescent="0.15">
      <c r="A299" s="1" t="s">
        <v>688</v>
      </c>
      <c r="B299" s="3" t="str">
        <f ca="1">IFERROR(__xludf.DUMMYFUNCTION("GOOGLETRANSLATE(B299,""es"",""en"")"),"RT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299" s="2" t="s">
        <v>689</v>
      </c>
      <c r="D299" s="1" t="s">
        <v>687</v>
      </c>
    </row>
    <row r="300" spans="1:4" ht="15.75" customHeight="1" x14ac:dyDescent="0.15">
      <c r="A300" s="1" t="s">
        <v>690</v>
      </c>
      <c r="B300" s="3" t="str">
        <f ca="1">IFERROR(__xludf.DUMMYFUNCTION("GOOGLETRANSLATE(B300,""es"",""en"")"),"Las Bambas: State will pay up to S/ 350 million to end the conflict https://t.co/C0BWP0yt6B")</f>
        <v>Las Bambas: State will pay up to S/ 350 million to end the conflict https://t.co/C0BWP0yt6B</v>
      </c>
      <c r="C300" s="2" t="s">
        <v>691</v>
      </c>
      <c r="D300" s="1" t="s">
        <v>687</v>
      </c>
    </row>
    <row r="301" spans="1:4" ht="15.75" customHeight="1" x14ac:dyDescent="0.15">
      <c r="A301" s="1" t="s">
        <v>692</v>
      </c>
      <c r="B301" s="3" t="str">
        <f ca="1">IFERROR(__xludf.DUMMYFUNCTION("GOOGLETRANSLATE(B301,""es"",""en"")"),"RT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301" s="2" t="s">
        <v>693</v>
      </c>
      <c r="D301" s="1" t="s">
        <v>687</v>
      </c>
    </row>
    <row r="302" spans="1:4" ht="15.75" customHeight="1" x14ac:dyDescent="0.15">
      <c r="A302" s="1" t="s">
        <v>694</v>
      </c>
      <c r="B302" s="3" t="str">
        <f ca="1">IFERROR(__xludf.DUMMYFUNCTION("GOOGLETRANSLATE(B302,""es"",""en"")"),"RT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302" s="2" t="s">
        <v>695</v>
      </c>
      <c r="D302" s="1" t="s">
        <v>696</v>
      </c>
    </row>
    <row r="303" spans="1:4" ht="15.75" customHeight="1" x14ac:dyDescent="0.15">
      <c r="A303" s="1" t="s">
        <v>697</v>
      </c>
      <c r="B303" s="3" t="str">
        <f ca="1">IFERROR(__xludf.DUMMYFUNCTION("GOOGLETRANSLATE(B303,""es"",""en"")"),"Do you say sneakers or sneakers?")</f>
        <v>Do you say sneakers or sneakers?</v>
      </c>
      <c r="C303" s="2" t="s">
        <v>698</v>
      </c>
      <c r="D303" s="1" t="s">
        <v>696</v>
      </c>
    </row>
    <row r="304" spans="1:4" ht="15.75" customHeight="1" x14ac:dyDescent="0.15">
      <c r="A304" s="1" t="s">
        <v>699</v>
      </c>
      <c r="B304" s="3" t="str">
        <f ca="1">IFERROR(__xludf.DUMMYFUNCTION("GOOGLETRANSLATE(B304,""es"",""en"")"),"RT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304" s="2" t="s">
        <v>700</v>
      </c>
      <c r="D304" s="1" t="s">
        <v>701</v>
      </c>
    </row>
    <row r="305" spans="1:4" ht="15.75" customHeight="1" x14ac:dyDescent="0.15">
      <c r="A305" s="1" t="s">
        <v>702</v>
      </c>
      <c r="B305" s="3" t="str">
        <f ca="1">IFERROR(__xludf.DUMMYFUNCTION("GOOGLETRANSLATE(B305,""es"",""en"")"),"RT @Jorgedelama: José De Echave talked about Las Bambas with Sol Carreño. He is a director of Cooperación, an anti-extractivist NGO that receives funds from the Open Society like its ""allies"". Abel Gilvonio works there, son of terrorists and a communist"&amp;" who attacked Cardinal Cipriani on Twitter Photos👇 https://t.co/l8BHyMqeao")</f>
        <v>RT @Jorgedelama: José De Echave talked about Las Bambas with Sol Carreño. He is a director of Cooperación, an anti-extractivist NGO that receives funds from the Open Society like its "allies". Abel Gilvonio works there, son of terrorists and a communist who attacked Cardinal Cipriani on Twitter Photos👇 https://t.co/l8BHyMqeao</v>
      </c>
      <c r="C305" s="2" t="s">
        <v>703</v>
      </c>
      <c r="D305" s="1" t="s">
        <v>704</v>
      </c>
    </row>
    <row r="306" spans="1:4" ht="15.75" customHeight="1" x14ac:dyDescent="0.15">
      <c r="A306" s="1" t="s">
        <v>705</v>
      </c>
      <c r="B306" s="3" t="str">
        <f ca="1">IFERROR(__xludf.DUMMYFUNCTION("GOOGLETRANSLATE(B306,""es"",""en"")"),"......
https://t.co/OgdACkWI5O")</f>
        <v>......
https://t.co/OgdACkWI5O</v>
      </c>
      <c r="C306" s="2" t="s">
        <v>706</v>
      </c>
      <c r="D306" s="1" t="s">
        <v>707</v>
      </c>
    </row>
    <row r="307" spans="1:4" ht="15.75" customHeight="1" x14ac:dyDescent="0.15">
      <c r="A307" s="1" t="s">
        <v>708</v>
      </c>
      <c r="B307" s="3" t="str">
        <f ca="1">IFERROR(__xludf.DUMMYFUNCTION("GOOGLETRANSLATE(B307,""es"",""en"")"),"RT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307" s="2" t="s">
        <v>709</v>
      </c>
      <c r="D307" s="1" t="s">
        <v>707</v>
      </c>
    </row>
    <row r="308" spans="1:4" ht="15.75" customHeight="1" x14ac:dyDescent="0.15">
      <c r="A308" s="1" t="s">
        <v>710</v>
      </c>
      <c r="B308" s="3" t="str">
        <f ca="1">IFERROR(__xludf.DUMMYFUNCTION("GOOGLETRANSLATE(B308,""es"",""en"")"),"Prime Minister Del Solar, Monsignor Cabrejos, Gregorio Rojas and the Ombudsman's Office held a dialogue on the Las Bambas conflict | https://t.co/8heBEJXoNp")</f>
        <v>Prime Minister Del Solar, Monsignor Cabrejos, Gregorio Rojas and the Ombudsman's Office held a dialogue on the Las Bambas conflict | https://t.co/8heBEJXoNp</v>
      </c>
      <c r="C308" s="2" t="s">
        <v>711</v>
      </c>
      <c r="D308" s="1" t="s">
        <v>707</v>
      </c>
    </row>
    <row r="309" spans="1:4" ht="15.75" customHeight="1" x14ac:dyDescent="0.15">
      <c r="A309" s="1" t="s">
        <v>712</v>
      </c>
      <c r="B309" s="3" t="str">
        <f ca="1">IFERROR(__xludf.DUMMYFUNCTION("GOOGLETRANSLATE(B309,""es"",""en"")"),"Tailor-made national road: ""Trujillo also recognized that the road that the community of Fuerabamba keeps blocked in the area of ​​the Yavi Yavi farm (Cusco) is for the almost exclusive use of the company MMG Limited."" #The Bambas
https://t.co/9ZuSJUIZK"&amp;"c")</f>
        <v>Tailor-made national road: "Trujillo also recognized that the road that the community of Fuerabamba keeps blocked in the area of ​​the Yavi Yavi farm (Cusco) is for the almost exclusive use of the company MMG Limited." #The Bambas
https://t.co/9ZuSJUIZKc</v>
      </c>
      <c r="C309" s="2" t="s">
        <v>713</v>
      </c>
      <c r="D309" s="1" t="s">
        <v>714</v>
      </c>
    </row>
    <row r="310" spans="1:4" ht="15.75" customHeight="1" x14ac:dyDescent="0.15">
      <c r="A310" s="1" t="s">
        <v>715</v>
      </c>
      <c r="B310" s="3" t="str">
        <f ca="1">IFERROR(__xludf.DUMMYFUNCTION("GOOGLETRANSLATE(B310,""es"",""en"")"),"RT @snmpeperu: For our executive director, Pablo de la Flor, the way we resolve the #LasBambas conflict can mark a turning point.
Read the full interview here at @elcomercio_peru. https://t.co/foSpMG33OU")</f>
        <v>RT @snmpeperu: For our executive director, Pablo de la Flor, the way we resolve the #LasBambas conflict can mark a turning point.
Read the full interview here at @elcomercio_peru. https://t.co/foSpMG33OU</v>
      </c>
      <c r="C310" s="2" t="s">
        <v>716</v>
      </c>
      <c r="D310" s="1" t="s">
        <v>714</v>
      </c>
    </row>
    <row r="311" spans="1:4" ht="15.75" customHeight="1" x14ac:dyDescent="0.15">
      <c r="A311" s="1" t="s">
        <v>717</v>
      </c>
      <c r="B311" s="3" t="str">
        <f ca="1">IFERROR(__xludf.DUMMYFUNCTION("GOOGLETRANSLATE(B311,""es"",""en"")"),"RT @frankri14641759: DE LAS BAMBAS MAKES ME BELIEVE... THAT THIS PUPPET PPKAUSA FROM VIZCARRATA LET IT OVERFLOW TO... IN HIS TIME COVER UP ABOUT ODEBRECHT, COVER UP ABOUT MRS KEIKO'S PRISON AND MAKE HER MANAGEMENT A SONG TO THE DEMOCRACY..TOOD CAME OUT OF"&amp;" HIS BACK...HE WENT ON HIS FACE AND TODAY FLOATS AT 25%")</f>
        <v>RT @frankri14641759: DE LAS BAMBAS MAKES ME BELIEVE... THAT THIS PUPPET PPKAUSA FROM VIZCARRATA LET IT OVERFLOW TO... IN HIS TIME COVER UP ABOUT ODEBRECHT, COVER UP ABOUT MRS KEIKO'S PRISON AND MAKE HER MANAGEMENT A SONG TO THE DEMOCRACY..TOOD CAME OUT OF HIS BACK...HE WENT ON HIS FACE AND TODAY FLOATS AT 25%</v>
      </c>
      <c r="C311" s="2" t="s">
        <v>718</v>
      </c>
      <c r="D311" s="1" t="s">
        <v>719</v>
      </c>
    </row>
    <row r="312" spans="1:4" ht="15.75" customHeight="1" x14ac:dyDescent="0.15">
      <c r="A312" s="1" t="s">
        <v>720</v>
      </c>
      <c r="B312" s="3" t="str">
        <f ca="1">IFERROR(__xludf.DUMMYFUNCTION("GOOGLETRANSLATE(B312,""es"",""en"")"),"RT @lamula: #LasBambas Did you think that the community members in the mining project area did not have the right to receive a payment? Did you think that the land through which the blocked road passes was not theirs? Here we explain this and more about t"&amp;"his conflict --&amp;gt; https://t.co/x48ljAPQPM
#MiningConflicts https://t.co/yCMZXGVRFT")</f>
        <v>RT @lamula: #LasBambas Did you think that the community members in the mining project area did not have the right to receive a payment? Did you think that the land through which the blocked road passes was not theirs? Here we explain this and more about this conflict --&amp;gt; https://t.co/x48ljAPQPM
#MiningConflicts https://t.co/yCMZXGVRFT</v>
      </c>
      <c r="C312" s="2" t="s">
        <v>721</v>
      </c>
      <c r="D312" s="1" t="s">
        <v>719</v>
      </c>
    </row>
    <row r="313" spans="1:4" ht="15.75" customHeight="1" x14ac:dyDescent="0.15">
      <c r="A313" s="1" t="s">
        <v>722</v>
      </c>
      <c r="B313" s="3" t="str">
        <f ca="1">IFERROR(__xludf.DUMMYFUNCTION("GOOGLETRANSLATE(B313,""es"",""en"")"),"RT @FUIKAOMAR: And what do you call “basketball shoes”? - https://t.co/VPveB0dVkE https://t.co/Mq6zIqb3na")</f>
        <v>RT @FUIKAOMAR: And what do you call “basketball shoes”? - https://t.co/VPveB0dVkE https://t.co/Mq6zIqb3na</v>
      </c>
      <c r="C313" s="2" t="s">
        <v>723</v>
      </c>
      <c r="D313" s="1" t="s">
        <v>724</v>
      </c>
    </row>
    <row r="314" spans="1:4" ht="15.75" customHeight="1" x14ac:dyDescent="0.15">
      <c r="A314" s="1" t="s">
        <v>725</v>
      </c>
      <c r="B314" s="3" t="str">
        <f ca="1">IFERROR(__xludf.DUMMYFUNCTION("GOOGLETRANSLATE(B314,""es"",""en"")"),"RT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314" s="2" t="s">
        <v>726</v>
      </c>
      <c r="D314" s="1" t="s">
        <v>727</v>
      </c>
    </row>
    <row r="315" spans="1:4" ht="15.75" customHeight="1" x14ac:dyDescent="0.15">
      <c r="A315" s="1" t="s">
        <v>728</v>
      </c>
      <c r="B315" s="3" t="str">
        <f ca="1">IFERROR(__xludf.DUMMYFUNCTION("GOOGLETRANSLATE(B315,""es"",""en"")"),"RT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315" s="2" t="s">
        <v>729</v>
      </c>
      <c r="D315" s="1" t="s">
        <v>727</v>
      </c>
    </row>
    <row r="316" spans="1:4" ht="15.75" customHeight="1" x14ac:dyDescent="0.15">
      <c r="A316" s="1" t="s">
        <v>661</v>
      </c>
      <c r="B316" s="3" t="str">
        <f ca="1">IFERROR(__xludf.DUMMYFUNCTION("GOOGLETRANSLATE(B316,""es"",""en"")"),"#LasBambas recognize the government's efforts to solve the problems at the base of the dialogue
https://t.co/lAFsZjN6rO")</f>
        <v>#LasBambas recognize the government's efforts to solve the problems at the base of the dialogue
https://t.co/lAFsZjN6rO</v>
      </c>
      <c r="C316" s="2" t="s">
        <v>730</v>
      </c>
      <c r="D316" s="1" t="s">
        <v>731</v>
      </c>
    </row>
    <row r="317" spans="1:4" ht="15.75" customHeight="1" x14ac:dyDescent="0.15">
      <c r="A317" s="1" t="s">
        <v>732</v>
      </c>
      <c r="B317" s="3" t="str">
        <f ca="1">IFERROR(__xludf.DUMMYFUNCTION("GOOGLETRANSLATE(B317,""es"",""en"")"),"@ArturoOrdoez11 The State is not a partner of Las Bambas, a company owned by a Chinese state company through an Australian subsidiary. In a very broad sense the State can be considered a partner of Las Bambas through Income Tax and Royalties .")</f>
        <v>@ArturoOrdoez11 The State is not a partner of Las Bambas, a company owned by a Chinese state company through an Australian subsidiary. In a very broad sense the State can be considered a partner of Las Bambas through Income Tax and Royalties .</v>
      </c>
      <c r="C317" s="2" t="s">
        <v>733</v>
      </c>
      <c r="D317" s="1" t="s">
        <v>734</v>
      </c>
    </row>
    <row r="318" spans="1:4" ht="15.75" customHeight="1" x14ac:dyDescent="0.15">
      <c r="A318" s="1" t="s">
        <v>735</v>
      </c>
      <c r="B318" s="3" t="str">
        <f ca="1">IFERROR(__xludf.DUMMYFUNCTION("GOOGLETRANSLATE(B318,""es"",""en"")"),"Salvador del Solar requests the unblocking of the road to the Las Bambas mining company for the start of the official meeting https://t.co/lHdAqsTA14")</f>
        <v>Salvador del Solar requests the unblocking of the road to the Las Bambas mining company for the start of the official meeting https://t.co/lHdAqsTA14</v>
      </c>
      <c r="C318" s="2" t="s">
        <v>736</v>
      </c>
      <c r="D318" s="1" t="s">
        <v>737</v>
      </c>
    </row>
    <row r="319" spans="1:4" ht="15.75" customHeight="1" x14ac:dyDescent="0.15">
      <c r="A319" s="1" t="s">
        <v>738</v>
      </c>
      <c r="B319" s="3" t="str">
        <f ca="1">IFERROR(__xludf.DUMMYFUNCTION("GOOGLETRANSLATE(B319,""es"",""en"")"),"RT @dmacera: Now that the paralysis of Las Bambas operations is taking shape, let's put their contribution into perspective.
Who is benefiting from this conflict? https://t.co/EsVEWMpXXy")</f>
        <v>RT @dmacera: Now that the paralysis of Las Bambas operations is taking shape, let's put their contribution into perspective.
Who is benefiting from this conflict? https://t.co/EsVEWMpXXy</v>
      </c>
      <c r="C319" s="2" t="s">
        <v>739</v>
      </c>
      <c r="D319" s="1" t="s">
        <v>737</v>
      </c>
    </row>
    <row r="320" spans="1:4" ht="15.75" customHeight="1" x14ac:dyDescent="0.15">
      <c r="A320" s="1" t="s">
        <v>740</v>
      </c>
      <c r="B320" s="3" t="str">
        <f ca="1">IFERROR(__xludf.DUMMYFUNCTION("GOOGLETRANSLATE(B320,""es"",""en"")"),"RT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320" s="2" t="s">
        <v>741</v>
      </c>
      <c r="D320" s="1" t="s">
        <v>742</v>
      </c>
    </row>
    <row r="321" spans="1:4" ht="15.75" customHeight="1" x14ac:dyDescent="0.15">
      <c r="A321" s="1" t="s">
        <v>743</v>
      </c>
      <c r="B321" s="3" t="str">
        <f ca="1">IFERROR(__xludf.DUMMYFUNCTION("GOOGLETRANSLATE(B321,""es"",""en"")"),"Government estimates paying S/ 350 million to overcome conflict in Las Bambas https://t.co/zYKWtjqNau")</f>
        <v>Government estimates paying S/ 350 million to overcome conflict in Las Bambas https://t.co/zYKWtjqNau</v>
      </c>
      <c r="C321" s="2" t="s">
        <v>744</v>
      </c>
      <c r="D321" s="1" t="s">
        <v>742</v>
      </c>
    </row>
    <row r="322" spans="1:4" ht="15.75" customHeight="1" x14ac:dyDescent="0.15">
      <c r="A322" s="1" t="s">
        <v>745</v>
      </c>
      <c r="B322" s="3" t="str">
        <f ca="1">IFERROR(__xludf.DUMMYFUNCTION("GOOGLETRANSLATE(B322,""es"",""en"")"),"Edmer Trujillo as Minister of Transportation is with tremendous political success. In Las Bambas and now, in Fiori.")</f>
        <v>Edmer Trujillo as Minister of Transportation is with tremendous political success. In Las Bambas and now, in Fiori.</v>
      </c>
      <c r="C322" s="2" t="s">
        <v>746</v>
      </c>
      <c r="D322" s="1" t="s">
        <v>747</v>
      </c>
    </row>
    <row r="323" spans="1:4" ht="15.75" customHeight="1" x14ac:dyDescent="0.15">
      <c r="A323" s="1" t="s">
        <v>748</v>
      </c>
      <c r="B323" s="3" t="str">
        <f ca="1">IFERROR(__xludf.DUMMYFUNCTION("GOOGLETRANSLATE(B323,""es"",""en"")"),"RT @Politica_LR: Las Bambas: they suspend hearing against the Chávez Sotelo brothers #VIDEO
 ► https://t.co/DvEtZs8Oqe https://t.co/CICt09pftm")</f>
        <v>RT @Politica_LR: Las Bambas: they suspend hearing against the Chávez Sotelo brothers #VIDEO
 ► https://t.co/DvEtZs8Oqe https://t.co/CICt09pftm</v>
      </c>
      <c r="C323" s="2" t="s">
        <v>749</v>
      </c>
      <c r="D323" s="1" t="s">
        <v>747</v>
      </c>
    </row>
    <row r="324" spans="1:4" ht="15.75" customHeight="1" x14ac:dyDescent="0.15">
      <c r="A324" s="1" t="s">
        <v>750</v>
      </c>
      <c r="B324" s="3" t="str">
        <f ca="1">IFERROR(__xludf.DUMMYFUNCTION("GOOGLETRANSLATE(B324,""es"",""en"")"),"RT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324" s="2" t="s">
        <v>751</v>
      </c>
      <c r="D324" s="1" t="s">
        <v>752</v>
      </c>
    </row>
    <row r="325" spans="1:4" ht="15.75" customHeight="1" x14ac:dyDescent="0.15">
      <c r="A325" s="1" t="s">
        <v>101</v>
      </c>
      <c r="B325" s="3" t="str">
        <f ca="1">IFERROR(__xludf.DUMMYFUNCTION("GOOGLETRANSLATE(B325,""es"",""en"")"),"[VIDEO] The Las Bambas conflict explained in 3 minutes What is really happening with the communities affected by the Las Bambas mining project? Lawyer Mirtha Vasquez explains it to you in #3Minutos⏱ | #TensiónEnLasBambas The entrance... https://t.co/V8gYh"&amp;"OdYBl #PerúNoticias")</f>
        <v>[VIDEO] The Las Bambas conflict explained in 3 minutes What is really happening with the communities affected by the Las Bambas mining project? Lawyer Mirtha Vasquez explains it to you in #3Minutos⏱ | #TensiónEnLasBambas The entrance... https://t.co/V8gYhOdYBl #PerúNoticias</v>
      </c>
      <c r="C325" s="2" t="s">
        <v>753</v>
      </c>
      <c r="D325" s="1" t="s">
        <v>754</v>
      </c>
    </row>
    <row r="326" spans="1:4" ht="15.75" customHeight="1" x14ac:dyDescent="0.15">
      <c r="A326" s="1" t="s">
        <v>755</v>
      </c>
      <c r="B326" s="3" t="str">
        <f ca="1">IFERROR(__xludf.DUMMYFUNCTION("GOOGLETRANSLATE(B326,""es"",""en"")"),"What news...and the Sneakers https://t.co/tc6L9vM6w3")</f>
        <v>What news...and the Sneakers https://t.co/tc6L9vM6w3</v>
      </c>
      <c r="C326" s="2" t="s">
        <v>756</v>
      </c>
      <c r="D326" s="1" t="s">
        <v>757</v>
      </c>
    </row>
    <row r="327" spans="1:4" ht="15.75" customHeight="1" x14ac:dyDescent="0.15">
      <c r="A327" s="1" t="s">
        <v>758</v>
      </c>
      <c r="B327" s="3" t="str">
        <f ca="1">IFERROR(__xludf.DUMMYFUNCTION("GOOGLETRANSLATE(B327,""es"",""en"")"),"@yonhy_lescano The state has to look after the lives of the community members and safeguard them because that contract that exists in Las Bambas is degrading to our country, how could this have happened in prison for those corrupt people who gave away Las"&amp;" Bambas... what kind of politicians do we have? they are miserable")</f>
        <v>@yonhy_lescano The state has to look after the lives of the community members and safeguard them because that contract that exists in Las Bambas is degrading to our country, how could this have happened in prison for those corrupt people who gave away Las Bambas... what kind of politicians do we have? they are miserable</v>
      </c>
      <c r="C327" s="2" t="s">
        <v>759</v>
      </c>
      <c r="D327" s="1" t="s">
        <v>757</v>
      </c>
    </row>
    <row r="328" spans="1:4" ht="15.75" customHeight="1" x14ac:dyDescent="0.15">
      <c r="A328" s="1" t="s">
        <v>760</v>
      </c>
      <c r="B328" s="3" t="str">
        <f ca="1">IFERROR(__xludf.DUMMYFUNCTION("GOOGLETRANSLATE(B328,""es"",""en"")"),"RT @elmontonero_pe: @Neiraelmutante
Mining and absence of State
Follow us on:
FB: https://t.co/8BN6IGbDMU
Youtube: https://t.co/x2WH9DgOHF
More Articles: https://t.co/4sbQL4kPSo
#HugoNeira #LasBambas #Conflicts 
https://t.co/NKZgzHpqjL")</f>
        <v>RT @elmontonero_pe: @Neiraelmutante
Mining and absence of State
Follow us on:
FB: https://t.co/8BN6IGbDMU
Youtube: https://t.co/x2WH9DgOHF
More Articles: https://t.co/4sbQL4kPSo
#HugoNeira #LasBambas #Conflicts 
https://t.co/NKZgzHpqjL</v>
      </c>
      <c r="C328" s="2" t="s">
        <v>761</v>
      </c>
      <c r="D328" s="1" t="s">
        <v>757</v>
      </c>
    </row>
    <row r="329" spans="1:4" ht="15.75" customHeight="1" x14ac:dyDescent="0.15">
      <c r="A329" s="1" t="s">
        <v>762</v>
      </c>
      <c r="B329" s="3" t="str">
        <f ca="1">IFERROR(__xludf.DUMMYFUNCTION("GOOGLETRANSLATE(B329,""es"",""en"")"),"RT @jctafur: Let's see if Las Bambas wakes up a government that has lost its compass and that if it persists in that mood, it will condemn the brand new Del Solar cabinet to being a failed bet. On the subject, I invite you to read my Sunday column in La R"&amp;"epública https://t.co/W52lbRPE52")</f>
        <v>RT @jctafur: Let's see if Las Bambas wakes up a government that has lost its compass and that if it persists in that mood, it will condemn the brand new Del Solar cabinet to being a failed bet. On the subject, I invite you to read my Sunday column in La República https://t.co/W52lbRPE52</v>
      </c>
      <c r="C329" s="2" t="s">
        <v>763</v>
      </c>
      <c r="D329" s="1" t="s">
        <v>757</v>
      </c>
    </row>
    <row r="330" spans="1:4" ht="15.75" customHeight="1" x14ac:dyDescent="0.15">
      <c r="A330" s="1" t="s">
        <v>764</v>
      </c>
      <c r="B330" s="3" t="str">
        <f ca="1">IFERROR(__xludf.DUMMYFUNCTION("GOOGLETRANSLATE(B330,""es"",""en"")"),"RT @MilagrosLeivaG: TOMORROW in #EdicionMatinal by @atvpe We arrived at the town of Pumamarca affected by the activities of the Las Bambas mining company. In extreme poverty, with a school on the verge of collapsing, its only post without staff or medicin"&amp;"es and what is worse with sick and poorly fed children...")</f>
        <v>RT @MilagrosLeivaG: TOMORROW in #EdicionMatinal by @atvpe We arrived at the town of Pumamarca affected by the activities of the Las Bambas mining company. In extreme poverty, with a school on the verge of collapsing, its only post without staff or medicines and what is worse with sick and poorly fed children...</v>
      </c>
      <c r="C330" s="2" t="s">
        <v>765</v>
      </c>
      <c r="D330" s="1" t="s">
        <v>766</v>
      </c>
    </row>
    <row r="331" spans="1:4" ht="15.75" customHeight="1" x14ac:dyDescent="0.15">
      <c r="A331" s="1" t="s">
        <v>767</v>
      </c>
      <c r="B331" s="3" t="str">
        <f ca="1">IFERROR(__xludf.DUMMYFUNCTION("GOOGLETRANSLATE(B331,""es"",""en"")"),"What mayor? Lima does not have a mayor, it has an idiot who is the clone of Susana Villlaran who only served to bribe OAS and loot the mayor's office with his bambas consultancies, and this miserable person is just the same https://t.co/PiNCmVUL3J")</f>
        <v>What mayor? Lima does not have a mayor, it has an idiot who is the clone of Susana Villlaran who only served to bribe OAS and loot the mayor's office with his bambas consultancies, and this miserable person is just the same https://t.co/PiNCmVUL3J</v>
      </c>
      <c r="C331" s="2" t="s">
        <v>768</v>
      </c>
      <c r="D331" s="1" t="s">
        <v>766</v>
      </c>
    </row>
    <row r="332" spans="1:4" ht="15.75" customHeight="1" x14ac:dyDescent="0.15">
      <c r="A332" s="1" t="s">
        <v>769</v>
      </c>
      <c r="B332" s="3" t="str">
        <f ca="1">IFERROR(__xludf.DUMMYFUNCTION("GOOGLETRANSLATE(B332,""es"",""en"")"),"#BRIEF: Approval of Vizcarra goes from 56% to 44%, and the alarming thing is that data was collected before the conflict escalated in Las Bambas. Furthermore, only 28% approve of Premier Del Solar, almost like Villanueva when he left office: 27%! https://"&amp;"t.co/fdwOHAKd5w https://t.co/ISYbScnWyu")</f>
        <v>#BRIEF: Approval of Vizcarra goes from 56% to 44%, and the alarming thing is that data was collected before the conflict escalated in Las Bambas. Furthermore, only 28% approve of Premier Del Solar, almost like Villanueva when he left office: 27%! https://t.co/fdwOHAKd5w https://t.co/ISYbScnWyu</v>
      </c>
      <c r="C332" s="2" t="s">
        <v>770</v>
      </c>
      <c r="D332" s="1" t="s">
        <v>771</v>
      </c>
    </row>
    <row r="333" spans="1:4" ht="15.75" customHeight="1" x14ac:dyDescent="0.15">
      <c r="A333" s="1" t="s">
        <v>772</v>
      </c>
      <c r="B333" s="3" t="str">
        <f ca="1">IFERROR(__xludf.DUMMYFUNCTION("GOOGLETRANSLATE(B333,""es"",""en"")"),"@Vero_Mendoza_F You want to get on the Bambas train...")</f>
        <v>@Vero_Mendoza_F You want to get on the Bambas train...</v>
      </c>
      <c r="C333" s="2" t="s">
        <v>773</v>
      </c>
      <c r="D333" s="1" t="s">
        <v>774</v>
      </c>
    </row>
    <row r="334" spans="1:4" ht="15.75" customHeight="1" x14ac:dyDescent="0.15">
      <c r="A334" s="1" t="s">
        <v>775</v>
      </c>
      <c r="B334" s="3" t="str">
        <f ca="1">IFERROR(__xludf.DUMMYFUNCTION("GOOGLETRANSLATE(B334,""es"",""en"")"),"@Fantasyfans_net Kommer Berisha signeringen til å hampen effekt på Sneakers minutter? Spesielt mtp spissrush i runde 2.")</f>
        <v>@Fantasyfans_net Kommer Berisha signeringen til å hampen effekt på Sneakers minutter? Spesielt mtp spissrush i runde 2.</v>
      </c>
      <c r="C334" s="2" t="s">
        <v>776</v>
      </c>
      <c r="D334" s="1" t="s">
        <v>774</v>
      </c>
    </row>
    <row r="335" spans="1:4" ht="15.75" customHeight="1" x14ac:dyDescent="0.15">
      <c r="A335" s="1" t="s">
        <v>777</v>
      </c>
      <c r="B335" s="3" t="str">
        <f ca="1">IFERROR(__xludf.DUMMYFUNCTION("GOOGLETRANSLATE(B335,""es"",""en"")"),"RT @jctafur: Let's see if Las Bambas wakes up a government that has lost its compass and that if it persists in that mood, it will condemn the brand new Del Solar cabinet to being a failed bet. On the subject, I invite you to read my Sunday column in La R"&amp;"epública https://t.co/W52lbRPE52")</f>
        <v>RT @jctafur: Let's see if Las Bambas wakes up a government that has lost its compass and that if it persists in that mood, it will condemn the brand new Del Solar cabinet to being a failed bet. On the subject, I invite you to read my Sunday column in La República https://t.co/W52lbRPE52</v>
      </c>
      <c r="C335" s="2" t="s">
        <v>778</v>
      </c>
      <c r="D335" s="1" t="s">
        <v>779</v>
      </c>
    </row>
    <row r="336" spans="1:4" ht="15.75" customHeight="1" x14ac:dyDescent="0.15">
      <c r="A336" s="1" t="s">
        <v>780</v>
      </c>
      <c r="B336" s="3" t="str">
        <f ca="1">IFERROR(__xludf.DUMMYFUNCTION("GOOGLETRANSLATE(B336,""es"",""en"")"),"RT @cnddhh: 🔴[#ATTENTION] We share the statement issued today on @larepublica_pe 
🔼ABOUT THE LAS BAMBAS CONFLICT:
ELEMENTS FOR A DIALOGUE, PEACEFUL AND DURABLE EXIT. https://t.co/SaN1D026DH")</f>
        <v>RT @cnddhh: 🔴[#ATTENTION] We share the statement issued today on @larepublica_pe 
🔼ABOUT THE LAS BAMBAS CONFLICT:
ELEMENTS FOR A DIALOGUE, PEACEFUL AND DURABLE EXIT. https://t.co/SaN1D026DH</v>
      </c>
      <c r="C336" s="2" t="s">
        <v>781</v>
      </c>
      <c r="D336" s="1" t="s">
        <v>782</v>
      </c>
    </row>
    <row r="337" spans="1:4" ht="15.75" customHeight="1" x14ac:dyDescent="0.15">
      <c r="A337" s="1" t="s">
        <v>783</v>
      </c>
      <c r="B337" s="3" t="str">
        <f ca="1">IFERROR(__xludf.DUMMYFUNCTION("GOOGLETRANSLATE(B337,""es"",""en"")"),"By dialogue or by force, by Alfredo Torres* https://t.co/95wNstH711 via @elcomercio_peru")</f>
        <v>By dialogue or by force, by Alfredo Torres* https://t.co/95wNstH711 via @elcomercio_peru</v>
      </c>
      <c r="C337" s="2" t="s">
        <v>784</v>
      </c>
      <c r="D337" s="1" t="s">
        <v>785</v>
      </c>
    </row>
    <row r="338" spans="1:4" ht="15.75" customHeight="1" x14ac:dyDescent="0.15">
      <c r="A338" s="1" t="s">
        <v>786</v>
      </c>
      <c r="B338" s="3" t="str">
        <f ca="1">IFERROR(__xludf.DUMMYFUNCTION("GOOGLETRANSLATE(B338,""es"",""en"")"),"@matuk @rmapalacios Be careful Las Bambas bought and paid for that land, the former owners are going to complain. The new Fuerabamba owners do complain about non-payment for road use. Yavi Yavi is 117km route from Nueva Fuerabamba.")</f>
        <v>@matuk @rmapalacios Be careful Las Bambas bought and paid for that land, the former owners are going to complain. The new Fuerabamba owners do complain about non-payment for road use. Yavi Yavi is 117km route from Nueva Fuerabamba.</v>
      </c>
      <c r="C338" s="2" t="s">
        <v>787</v>
      </c>
      <c r="D338" s="1" t="s">
        <v>785</v>
      </c>
    </row>
    <row r="339" spans="1:4" ht="15.75" customHeight="1" x14ac:dyDescent="0.15">
      <c r="A339" s="1" t="s">
        <v>788</v>
      </c>
      <c r="B339" s="3" t="str">
        <f ca="1">IFERROR(__xludf.DUMMYFUNCTION("GOOGLETRANSLATE(B339,""es"",""en"")"),"Que saudade que eu tava de sair da Academia com las pernas bambas")</f>
        <v>Que saudade que eu tava de sair da Academia com las pernas bambas</v>
      </c>
      <c r="C339" s="2" t="s">
        <v>789</v>
      </c>
      <c r="D339" s="1" t="s">
        <v>790</v>
      </c>
    </row>
    <row r="340" spans="1:4" ht="15.75" customHeight="1" x14ac:dyDescent="0.15">
      <c r="A340" s="1" t="s">
        <v>791</v>
      </c>
      <c r="B340" s="3" t="str">
        <f ca="1">IFERROR(__xludf.DUMMYFUNCTION("GOOGLETRANSLATE(B340,""es"",""en"")"),"RT @Antonio3Peru: @reyconbarba @reyreysincorona @JBCPERU 
Outrageous that in Nueva Fuerabamba there is a very modern and well-equipped school made by Las Bambas and that the rioters discriminate against children from another community who live 500m away a"&amp;"nd do not allow them to enroll there.")</f>
        <v>RT @Antonio3Peru: @reyconbarba @reyreysincorona @JBCPERU 
Outrageous that in Nueva Fuerabamba there is a very modern and well-equipped school made by Las Bambas and that the rioters discriminate against children from another community who live 500m away and do not allow them to enroll there.</v>
      </c>
      <c r="C340" s="2" t="s">
        <v>792</v>
      </c>
      <c r="D340" s="1" t="s">
        <v>790</v>
      </c>
    </row>
    <row r="341" spans="1:4" ht="15.75" customHeight="1" x14ac:dyDescent="0.15">
      <c r="A341" s="1" t="s">
        <v>793</v>
      </c>
      <c r="B341" s="3" t="str">
        <f ca="1">IFERROR(__xludf.DUMMYFUNCTION("GOOGLETRANSLATE(B341,""es"",""en"")"),"@RadioNacionalFM @MTC_GobPeru Mr. Edmer Trujillo, I resigned due to your inability to manage and the death of humble Peruvians and dismissals of workers due to the issue of social conflict in Las Bambas")</f>
        <v>@RadioNacionalFM @MTC_GobPeru Mr. Edmer Trujillo, I resigned due to your inability to manage and the death of humble Peruvians and dismissals of workers due to the issue of social conflict in Las Bambas</v>
      </c>
      <c r="C341" s="2" t="s">
        <v>794</v>
      </c>
      <c r="D341" s="1" t="s">
        <v>790</v>
      </c>
    </row>
    <row r="342" spans="1:4" ht="15.75" customHeight="1" x14ac:dyDescent="0.15">
      <c r="A342" s="1" t="s">
        <v>795</v>
      </c>
      <c r="B342" s="3" t="str">
        <f ca="1">IFERROR(__xludf.DUMMYFUNCTION("GOOGLETRANSLATE(B342,""es"",""en"")"),"Will the Peruvian state pay??? 
No gentlemen, ALL PERUVIANS WILL PAY!!! with our taxes 😡👎🏼🇵🇪.   Las Bambas: State willing to pay more than S/ 300 million to communities | https://t.co/CgDD7LI57n https://t.co/UliEk7zcRy")</f>
        <v>Will the Peruvian state pay??? 
No gentlemen, ALL PERUVIANS WILL PAY!!! with our taxes 😡👎🏼🇵🇪.   Las Bambas: State willing to pay more than S/ 300 million to communities | https://t.co/CgDD7LI57n https://t.co/UliEk7zcRy</v>
      </c>
      <c r="C342" s="2" t="s">
        <v>796</v>
      </c>
      <c r="D342" s="1" t="s">
        <v>797</v>
      </c>
    </row>
    <row r="343" spans="1:4" ht="15.75" customHeight="1" x14ac:dyDescent="0.15">
      <c r="A343" s="1" t="s">
        <v>798</v>
      </c>
      <c r="B343" s="3" t="str">
        <f ca="1">IFERROR(__xludf.DUMMYFUNCTION("GOOGLETRANSLATE(B343,""es"",""en"")"),"RT @Politico_pe: #BRIEF: Approval of Vizcarra goes from 56% to 44%, and the alarming thing is that data was collected before the conflict in Las Bambas escalated. Furthermore, only 28% approve of Premier Del Solar, almost like Villanueva when he left offi"&amp;"ce: 27%! https://t.co/fdwOHAKd5w https://t.co/ISYbScnWyu")</f>
        <v>RT @Politico_pe: #BRIEF: Approval of Vizcarra goes from 56% to 44%, and the alarming thing is that data was collected before the conflict in Las Bambas escalated. Furthermore, only 28% approve of Premier Del Solar, almost like Villanueva when he left office: 27%! https://t.co/fdwOHAKd5w https://t.co/ISYbScnWyu</v>
      </c>
      <c r="C343" s="2" t="s">
        <v>799</v>
      </c>
      <c r="D343" s="1" t="s">
        <v>797</v>
      </c>
    </row>
    <row r="344" spans="1:4" ht="15.75" customHeight="1" x14ac:dyDescent="0.15">
      <c r="A344" s="1" t="s">
        <v>800</v>
      </c>
      <c r="B344" s="3" t="str">
        <f ca="1">IFERROR(__xludf.DUMMYFUNCTION("GOOGLETRANSLATE(B344,""es"",""en"")"),"RT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344" s="2" t="s">
        <v>801</v>
      </c>
      <c r="D344" s="1" t="s">
        <v>797</v>
      </c>
    </row>
    <row r="345" spans="1:4" ht="15.75" customHeight="1" x14ac:dyDescent="0.15">
      <c r="A345" s="1" t="s">
        <v>802</v>
      </c>
      <c r="B345" s="3" t="str">
        <f ca="1">IFERROR(__xludf.DUMMYFUNCTION("GOOGLETRANSLATE(B345,""es"",""en"")"),"RT @ExpresoPeru: ""The Las Bambas conflict has several inputs for analysis that should, once and for all with leadership and political decision, channel the problem towards sustainable solutions."" By @josepatino65 https://t.co/gnBK2ZPLwu @presidenciaperu"&amp;" @congresoperu")</f>
        <v>RT @ExpresoPeru: "The Las Bambas conflict has several inputs for analysis that should, once and for all with leadership and political decision, channel the problem towards sustainable solutions." By @josepatino65 https://t.co/gnBK2ZPLwu @presidenciaperu @congresoperu</v>
      </c>
      <c r="C345" s="2" t="s">
        <v>803</v>
      </c>
      <c r="D345" s="1" t="s">
        <v>804</v>
      </c>
    </row>
    <row r="346" spans="1:4" ht="15.75" customHeight="1" x14ac:dyDescent="0.15">
      <c r="A346" s="1" t="s">
        <v>805</v>
      </c>
      <c r="B346" s="3" t="str">
        <f ca="1">IFERROR(__xludf.DUMMYFUNCTION("GOOGLETRANSLATE(B346,""es"",""en"")"),"Anyway, I don't work here, I'm going to hit the elevator and I'm talking to @mohindi!! As pernas tão sneakers ainda")</f>
        <v>Anyway, I don't work here, I'm going to hit the elevator and I'm talking to @mohindi!! As pernas tão sneakers ainda</v>
      </c>
      <c r="C346" s="2" t="s">
        <v>806</v>
      </c>
      <c r="D346" s="1" t="s">
        <v>807</v>
      </c>
    </row>
    <row r="347" spans="1:4" ht="15.75" customHeight="1" x14ac:dyDescent="0.15">
      <c r="A347" s="1" t="s">
        <v>559</v>
      </c>
      <c r="B347" s="3" t="str">
        <f ca="1">IFERROR(__xludf.DUMMYFUNCTION("GOOGLETRANSLATE(B347,""es"",""en"")"),"RT @peruenlanoticia: Las Bambas: Vicente Zeballos clarifies that the Executive had no interference in arrests https://t.co/6RqxqRLNpB https://t.co/fZ5aAUSsJs")</f>
        <v>RT @peruenlanoticia: Las Bambas: Vicente Zeballos clarifies that the Executive had no interference in arrests https://t.co/6RqxqRLNpB https://t.co/fZ5aAUSsJs</v>
      </c>
      <c r="C347" s="2" t="s">
        <v>808</v>
      </c>
      <c r="D347" s="1" t="s">
        <v>809</v>
      </c>
    </row>
    <row r="348" spans="1:4" ht="15.75" customHeight="1" x14ac:dyDescent="0.15">
      <c r="A348" s="1" t="s">
        <v>457</v>
      </c>
      <c r="B348" s="3" t="str">
        <f ca="1">IFERROR(__xludf.DUMMYFUNCTION("GOOGLETRANSLATE(B348,""es"",""en"")"),"The spokesperson for the Perunos por el Kambio (PPK) bench, Jorge Meléndez, highlights Vizcarra's decision to opt for dialogue in Las Bambas https://t.co/RWZlsZb3Bq https://t.co/Qwk3NWbDiM")</f>
        <v>The spokesperson for the Perunos por el Kambio (PPK) bench, Jorge Meléndez, highlights Vizcarra's decision to opt for dialogue in Las Bambas https://t.co/RWZlsZb3Bq https://t.co/Qwk3NWbDiM</v>
      </c>
      <c r="C348" s="2" t="s">
        <v>810</v>
      </c>
      <c r="D348" s="1" t="s">
        <v>811</v>
      </c>
    </row>
    <row r="349" spans="1:4" ht="15.75" customHeight="1" x14ac:dyDescent="0.15">
      <c r="A349" s="1" t="s">
        <v>812</v>
      </c>
      <c r="B349" s="3" t="str">
        <f ca="1">IFERROR(__xludf.DUMMYFUNCTION("GOOGLETRANSLATE(B349,""es"",""en"")"),"RT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349" s="2" t="s">
        <v>813</v>
      </c>
      <c r="D349" s="1" t="s">
        <v>814</v>
      </c>
    </row>
    <row r="350" spans="1:4" ht="15.75" customHeight="1" x14ac:dyDescent="0.15">
      <c r="A350" s="1" t="s">
        <v>815</v>
      </c>
      <c r="B350" s="3" t="str">
        <f ca="1">IFERROR(__xludf.DUMMYFUNCTION("GOOGLETRANSLATE(B350,""es"",""en"")"),"as pernas chega ficam sneakers https://t.co/l5ngT7taHS")</f>
        <v>as pernas chega ficam sneakers https://t.co/l5ngT7taHS</v>
      </c>
      <c r="C350" s="2" t="s">
        <v>816</v>
      </c>
      <c r="D350" s="1" t="s">
        <v>814</v>
      </c>
    </row>
    <row r="351" spans="1:4" ht="15.75" customHeight="1" x14ac:dyDescent="0.15">
      <c r="A351" s="1" t="s">
        <v>817</v>
      </c>
      <c r="B351" s="3" t="str">
        <f ca="1">IFERROR(__xludf.DUMMYFUNCTION("GOOGLETRANSLATE(B351,""es"",""en"")"),"I know someone who is going to love it when he sees these Mickey Mouse sneakers. (I want them for me too 😁) #mickeymouse #sambas https://t.co/2Kpmsqwyxn")</f>
        <v>I know someone who is going to love it when he sees these Mickey Mouse sneakers. (I want them for me too 😁) #mickeymouse #sambas https://t.co/2Kpmsqwyxn</v>
      </c>
      <c r="C351" s="2" t="s">
        <v>818</v>
      </c>
      <c r="D351" s="1" t="s">
        <v>819</v>
      </c>
    </row>
    <row r="352" spans="1:4" ht="15.75" customHeight="1" x14ac:dyDescent="0.15">
      <c r="A352" s="1" t="s">
        <v>820</v>
      </c>
      <c r="B352" s="3" t="str">
        <f ca="1">IFERROR(__xludf.DUMMYFUNCTION("GOOGLETRANSLATE(B352,""es"",""en"")"),"RT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352" s="2" t="s">
        <v>821</v>
      </c>
      <c r="D352" s="1" t="s">
        <v>822</v>
      </c>
    </row>
    <row r="353" spans="1:4" ht="15.75" customHeight="1" x14ac:dyDescent="0.15">
      <c r="A353" s="1" t="s">
        <v>823</v>
      </c>
      <c r="B353" s="3" t="str">
        <f ca="1">IFERROR(__xludf.DUMMYFUNCTION("GOOGLETRANSLATE(B353,""es"",""en"")"),"RT @camcesar: The Del Solar cabinet must receive the investiture vote, regardless of how the Las Bambas case unfolds. I comment on it at https://t.co/6MoxaiwBRn")</f>
        <v>RT @camcesar: The Del Solar cabinet must receive the investiture vote, regardless of how the Las Bambas case unfolds. I comment on it at https://t.co/6MoxaiwBRn</v>
      </c>
      <c r="C353" s="2" t="s">
        <v>824</v>
      </c>
      <c r="D353" s="1" t="s">
        <v>822</v>
      </c>
    </row>
    <row r="354" spans="1:4" ht="15.75" customHeight="1" x14ac:dyDescent="0.15">
      <c r="A354" s="1" t="s">
        <v>758</v>
      </c>
      <c r="B354" s="3" t="str">
        <f ca="1">IFERROR(__xludf.DUMMYFUNCTION("GOOGLETRANSLATE(B354,""es"",""en"")"),"I am worried about the Bambas about how politicians do not solve anything against the people")</f>
        <v>I am worried about the Bambas about how politicians do not solve anything against the people</v>
      </c>
      <c r="C354" s="2" t="s">
        <v>825</v>
      </c>
      <c r="D354" s="1" t="s">
        <v>826</v>
      </c>
    </row>
    <row r="355" spans="1:4" ht="15.75" customHeight="1" x14ac:dyDescent="0.15">
      <c r="A355" s="1" t="s">
        <v>827</v>
      </c>
      <c r="B355" s="3" t="str">
        <f ca="1">IFERROR(__xludf.DUMMYFUNCTION("GOOGLETRANSLATE(B355,""es"",""en"")"),"IN THIS PROBLEM OF THE BAMBAS THE ONLY BENEFIT IS CORRUPTION AND PEOPLE ARE CONCERNED ABOUT THIS IN SHEYLA AND PABLO MORAL ETC. AND THE FREE CORRUPT FOLLOW")</f>
        <v>IN THIS PROBLEM OF THE BAMBAS THE ONLY BENEFIT IS CORRUPTION AND PEOPLE ARE CONCERNED ABOUT THIS IN SHEYLA AND PABLO MORAL ETC. AND THE FREE CORRUPT FOLLOW</v>
      </c>
      <c r="C355" s="2" t="s">
        <v>828</v>
      </c>
      <c r="D355" s="1" t="s">
        <v>826</v>
      </c>
    </row>
    <row r="356" spans="1:4" ht="15.75" customHeight="1" x14ac:dyDescent="0.15">
      <c r="A356" s="1" t="s">
        <v>829</v>
      </c>
      <c r="B356" s="3" t="str">
        <f ca="1">IFERROR(__xludf.DUMMYFUNCTION("GOOGLETRANSLATE(B356,""es"",""en"")"),"RT @jsaldanacuba: Brilliant article by Alfredo Torres about Las Bambas. He summarizes everything in the final sentence: ""The author is executive president of Ipsos Perú. The company has carried out studies for Las Bambas."" 
If I started there, there wa"&amp;"s no need to waste time reading more.
https://t.co/MB24a8kEgQ")</f>
        <v>RT @jsaldanacuba: Brilliant article by Alfredo Torres about Las Bambas. He summarizes everything in the final sentence: "The author is executive president of Ipsos Perú. The company has carried out studies for Las Bambas." 
If I started there, there was no need to waste time reading more.
https://t.co/MB24a8kEgQ</v>
      </c>
      <c r="C356" s="2" t="s">
        <v>830</v>
      </c>
      <c r="D356" s="1" t="s">
        <v>826</v>
      </c>
    </row>
    <row r="357" spans="1:4" ht="15.75" customHeight="1" x14ac:dyDescent="0.15">
      <c r="A357" s="1" t="s">
        <v>831</v>
      </c>
      <c r="B357" s="3" t="str">
        <f ca="1">IFERROR(__xludf.DUMMYFUNCTION("GOOGLETRANSLATE(B357,""es"",""en"")"),"ALDO MARIÁTEGUI:01APR19
""If there is someone responsible from the State for this situation in Las Bambas, it has been the glorious ""nationalist government"" of Humala, which came to us from the local left.""
Tell them “VHC” https://t.co/tSNQeJlBI9 via @"&amp;"peru21noticias")</f>
        <v>ALDO MARIÁTEGUI:01APR19
"If there is someone responsible from the State for this situation in Las Bambas, it has been the glorious "nationalist government" of Humala, which came to us from the local left."
Tell them “VHC” https://t.co/tSNQeJlBI9 via @peru21noticias</v>
      </c>
      <c r="C357" s="2" t="s">
        <v>832</v>
      </c>
      <c r="D357" s="1" t="s">
        <v>833</v>
      </c>
    </row>
    <row r="358" spans="1:4" ht="15.75" customHeight="1" x14ac:dyDescent="0.15">
      <c r="A358" s="1" t="s">
        <v>834</v>
      </c>
      <c r="B358" s="3" t="str">
        <f ca="1">IFERROR(__xludf.DUMMYFUNCTION("GOOGLETRANSLATE(B358,""es"",""en"")"),"RT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358" s="2" t="s">
        <v>835</v>
      </c>
      <c r="D358" s="1" t="s">
        <v>836</v>
      </c>
    </row>
    <row r="359" spans="1:4" ht="15.75" customHeight="1" x14ac:dyDescent="0.15">
      <c r="A359" s="1" t="s">
        <v>837</v>
      </c>
      <c r="B359" s="3" t="str">
        <f ca="1">IFERROR(__xludf.DUMMYFUNCTION("GOOGLETRANSLATE(B359,""es"",""en"")"),"Del Solar and Rojas begin dialogue for Las Bambas - https://t.co/1Tw5weeRU1 https://t.co/NeV89f5Qd8")</f>
        <v>Del Solar and Rojas begin dialogue for Las Bambas - https://t.co/1Tw5weeRU1 https://t.co/NeV89f5Qd8</v>
      </c>
      <c r="C359" s="2" t="s">
        <v>838</v>
      </c>
      <c r="D359" s="1" t="s">
        <v>839</v>
      </c>
    </row>
    <row r="360" spans="1:4" ht="15.75" customHeight="1" x14ac:dyDescent="0.15">
      <c r="A360" s="1" t="s">
        <v>840</v>
      </c>
      <c r="B360" s="3" t="str">
        <f ca="1">IFERROR(__xludf.DUMMYFUNCTION("GOOGLETRANSLATE(B360,""es"",""en"")"),"@Gestionpe The criminal @MartinVizcarraC is responsible for the crimes and everything that happens to our peasant brothers from the BAMBAS.
@caretas, @DiarioUnoPeru, @cnddhh.")</f>
        <v>@Gestionpe The criminal @MartinVizcarraC is responsible for the crimes and everything that happens to our peasant brothers from the BAMBAS.
@caretas, @DiarioUnoPeru, @cnddhh.</v>
      </c>
      <c r="C360" s="2" t="s">
        <v>841</v>
      </c>
      <c r="D360" s="1" t="s">
        <v>839</v>
      </c>
    </row>
    <row r="361" spans="1:4" ht="15.75" customHeight="1" x14ac:dyDescent="0.15">
      <c r="A361" s="1" t="s">
        <v>842</v>
      </c>
      <c r="B361" s="3" t="str">
        <f ca="1">IFERROR(__xludf.DUMMYFUNCTION("GOOGLETRANSLATE(B361,""es"",""en"")"),"RT @amadosandovalb1: When will the second-class lawyer factories stop? The owners of these establishments become millionaires with what they charge in the Bambas admission exams, with the monthly payment and with the sale of cards (worthless titles)")</f>
        <v>RT @amadosandovalb1: When will the second-class lawyer factories stop? The owners of these establishments become millionaires with what they charge in the Bambas admission exams, with the monthly payment and with the sale of cards (worthless titles)</v>
      </c>
      <c r="C361" s="2" t="s">
        <v>843</v>
      </c>
      <c r="D361" s="1" t="s">
        <v>844</v>
      </c>
    </row>
    <row r="362" spans="1:4" ht="15.75" customHeight="1" x14ac:dyDescent="0.15">
      <c r="A362" s="1" t="s">
        <v>845</v>
      </c>
      <c r="B362" s="3" t="str">
        <f ca="1">IFERROR(__xludf.DUMMYFUNCTION("GOOGLETRANSLATE(B362,""es"",""en"")"),"RT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362" s="2" t="s">
        <v>846</v>
      </c>
      <c r="D362" s="1" t="s">
        <v>844</v>
      </c>
    </row>
    <row r="363" spans="1:4" ht="15.75" customHeight="1" x14ac:dyDescent="0.15">
      <c r="A363" s="1" t="s">
        <v>847</v>
      </c>
      <c r="B363" s="3" t="str">
        <f ca="1">IFERROR(__xludf.DUMMYFUNCTION("GOOGLETRANSLATE(B363,""es"",""en"")"),"RT @manifiesto_peru: PROSECUTOR ADMITS THAT THEY RELEASED THE LEADER EVALUATING THE POLITICAL SITUATION
They detained Gregorio Rojas after 6 months of investigation and wiretapping, but only then did they realize that protesters were asking him for dialo"&amp;"gue in Las Bambas ▶️ https://t.co/XtKUcgKWvW https://t.co/Sn1c9rY2Ra")</f>
        <v>RT @manifiesto_peru: PROSECUTOR ADMITS THAT THEY RELEASED THE LEADER EVALUATING THE POLITICAL SITUATION
They detained Gregorio Rojas after 6 months of investigation and wiretapping, but only then did they realize that protesters were asking him for dialogue in Las Bambas ▶️ https://t.co/XtKUcgKWvW https://t.co/Sn1c9rY2Ra</v>
      </c>
      <c r="C363" s="2" t="s">
        <v>848</v>
      </c>
      <c r="D363" s="1" t="s">
        <v>849</v>
      </c>
    </row>
    <row r="364" spans="1:4" ht="15.75" customHeight="1" x14ac:dyDescent="0.15">
      <c r="A364" s="1" t="s">
        <v>850</v>
      </c>
      <c r="B364" s="3" t="str">
        <f ca="1">IFERROR(__xludf.DUMMYFUNCTION("GOOGLETRANSLATE(B364,""es"",""en"")"),"Loves that or sneakers owe me 💙🦅 https://t.co/g70DivmgnC")</f>
        <v>Loves that or sneakers owe me 💙🦅 https://t.co/g70DivmgnC</v>
      </c>
      <c r="C364" s="2" t="s">
        <v>851</v>
      </c>
      <c r="D364" s="1" t="s">
        <v>852</v>
      </c>
    </row>
    <row r="365" spans="1:4" ht="15.75" customHeight="1" x14ac:dyDescent="0.15">
      <c r="A365" s="1" t="s">
        <v>853</v>
      </c>
      <c r="B365" s="3" t="str">
        <f ca="1">IFERROR(__xludf.DUMMYFUNCTION("GOOGLETRANSLATE(B365,""es"",""en"")"),"RT @jsaldanacuba: Brilliant article by Alfredo Torres about Las Bambas. He summarizes everything in the final sentence: ""The author is executive president of Ipsos Perú. The company has carried out studies for Las Bambas."" 
If I started there, there wa"&amp;"s no need to waste time reading more.
https://t.co/MB24a8kEgQ")</f>
        <v>RT @jsaldanacuba: Brilliant article by Alfredo Torres about Las Bambas. He summarizes everything in the final sentence: "The author is executive president of Ipsos Perú. The company has carried out studies for Las Bambas." 
If I started there, there was no need to waste time reading more.
https://t.co/MB24a8kEgQ</v>
      </c>
      <c r="C365" s="2" t="s">
        <v>854</v>
      </c>
      <c r="D365" s="1" t="s">
        <v>852</v>
      </c>
    </row>
    <row r="366" spans="1:4" ht="15.75" customHeight="1" x14ac:dyDescent="0.15">
      <c r="A366" s="1" t="s">
        <v>855</v>
      </c>
      <c r="B366" s="3" t="str">
        <f ca="1">IFERROR(__xludf.DUMMYFUNCTION("GOOGLETRANSLATE(B366,""es"",""en"")"),"RT @AlfredoMTorres: What's new about Las Bambas is that the Police did intelligence work that detected the extortion and the Prosecutor's Office has acted. It must be clear that blocking roads and extortion are crimes with legal consequences. https://t.co"&amp;"/YIdKntz3RG via @elcomercio_peru")</f>
        <v>RT @AlfredoMTorres: What's new about Las Bambas is that the Police did intelligence work that detected the extortion and the Prosecutor's Office has acted. It must be clear that blocking roads and extortion are crimes with legal consequences. https://t.co/YIdKntz3RG via @elcomercio_peru</v>
      </c>
      <c r="C366" s="2" t="s">
        <v>856</v>
      </c>
      <c r="D366" s="1" t="s">
        <v>852</v>
      </c>
    </row>
    <row r="367" spans="1:4" ht="15.75" customHeight="1" x14ac:dyDescent="0.15">
      <c r="A367" s="1" t="s">
        <v>857</v>
      </c>
      <c r="B367" s="3" t="str">
        <f ca="1">IFERROR(__xludf.DUMMYFUNCTION("GOOGLETRANSLATE(B367,""es"",""en"")"),"RT @Ojo_Publico: #LasBambas Fuerabamba, which was registered as a Quechua town until 2015, the year in which it was withdrawn. By not appearing on this list, the government did not carry out the Prior Consultation process for the construction of a highway"&amp;" in its territory. https://t.co/UCH9ljxxuZ")</f>
        <v>RT @Ojo_Publico: #LasBambas Fuerabamba, which was registered as a Quechua town until 2015, the year in which it was withdrawn. By not appearing on this list, the government did not carry out the Prior Consultation process for the construction of a highway in its territory. https://t.co/UCH9ljxxuZ</v>
      </c>
      <c r="C367" s="2" t="s">
        <v>858</v>
      </c>
      <c r="D367" s="1" t="s">
        <v>859</v>
      </c>
    </row>
    <row r="368" spans="1:4" ht="15.75" customHeight="1" x14ac:dyDescent="0.15">
      <c r="A368" s="1" t="s">
        <v>860</v>
      </c>
      <c r="B368" s="3" t="str">
        <f ca="1">IFERROR(__xludf.DUMMYFUNCTION("GOOGLETRANSLATE(B368,""es"",""en"")"),"From page to page ""Chorografia do Maranhão - 54 sneakers do Choro in interviews"", authored by Ricarte Almeida Santos, @rivaniosantos and @zemaribeiro Ribeiro, go on to do part… https://t.co/D7FsgE93Ey")</f>
        <v>From page to page "Chorografia do Maranhão - 54 sneakers do Choro in interviews", authored by Ricarte Almeida Santos, @rivaniosantos and @zemaribeiro Ribeiro, go on to do part… https://t.co/D7FsgE93Ey</v>
      </c>
      <c r="C368" s="2" t="s">
        <v>861</v>
      </c>
      <c r="D368" s="1" t="s">
        <v>862</v>
      </c>
    </row>
    <row r="369" spans="1:4" ht="15.75" customHeight="1" x14ac:dyDescent="0.15">
      <c r="A369" s="1" t="s">
        <v>418</v>
      </c>
      <c r="B369" s="3" t="str">
        <f ca="1">IFERROR(__xludf.DUMMYFUNCTION("GOOGLETRANSLATE(B369,""es"",""en"")"),"RT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369" s="2" t="s">
        <v>863</v>
      </c>
      <c r="D369" s="1" t="s">
        <v>862</v>
      </c>
    </row>
    <row r="370" spans="1:4" ht="15.75" customHeight="1" x14ac:dyDescent="0.15">
      <c r="A370" s="1" t="s">
        <v>864</v>
      </c>
      <c r="B370" s="3" t="str">
        <f ca="1">IFERROR(__xludf.DUMMYFUNCTION("GOOGLETRANSLATE(B370,""es"",""en"")"),"@irazz83 @anna__hard @_0ta_ @sidneykh For me the sneakers are the converse style 🤗")</f>
        <v>@irazz83 @anna__hard @_0ta_ @sidneykh For me the sneakers are the converse style 🤗</v>
      </c>
      <c r="C370" s="2" t="s">
        <v>865</v>
      </c>
      <c r="D370" s="1" t="s">
        <v>866</v>
      </c>
    </row>
    <row r="371" spans="1:4" ht="15.75" customHeight="1" x14ac:dyDescent="0.15">
      <c r="A371" s="1" t="s">
        <v>867</v>
      </c>
      <c r="B371" s="3" t="str">
        <f ca="1">IFERROR(__xludf.DUMMYFUNCTION("GOOGLETRANSLATE(B371,""es"",""en"")"),"@MijaelGLP @recisneros Mijael, kid, where do you get that the Iranian plot has to do with Las Bambas? Take off the pacifier because you're not going to make us suck our thumb. He continues being an ayayero. That's your role.")</f>
        <v>@MijaelGLP @recisneros Mijael, kid, where do you get that the Iranian plot has to do with Las Bambas? Take off the pacifier because you're not going to make us suck our thumb. He continues being an ayayero. That's your role.</v>
      </c>
      <c r="C371" s="2" t="s">
        <v>868</v>
      </c>
      <c r="D371" s="1" t="s">
        <v>869</v>
      </c>
    </row>
    <row r="372" spans="1:4" ht="15.75" customHeight="1" x14ac:dyDescent="0.15">
      <c r="A372" s="1" t="s">
        <v>864</v>
      </c>
      <c r="B372" s="3" t="str">
        <f ca="1">IFERROR(__xludf.DUMMYFUNCTION("GOOGLETRANSLATE(B372,""es"",""en"")"),"@anna__hard @irazz83 @_0ta_ @sidneykh I call sneakers tennis or zapas (sneakers), sneakers for me are converse-style sneakers")</f>
        <v>@anna__hard @irazz83 @_0ta_ @sidneykh I call sneakers tennis or zapas (sneakers), sneakers for me are converse-style sneakers</v>
      </c>
      <c r="C372" s="2" t="s">
        <v>870</v>
      </c>
      <c r="D372" s="1" t="s">
        <v>869</v>
      </c>
    </row>
    <row r="373" spans="1:4" ht="15.75" customHeight="1" x14ac:dyDescent="0.15">
      <c r="A373" s="1" t="s">
        <v>860</v>
      </c>
      <c r="B373" s="3" t="str">
        <f ca="1">IFERROR(__xludf.DUMMYFUNCTION("GOOGLETRANSLATE(B373,""es"",""en"")"),"From leaf to piece ""Chorografia do Maranhão - 54 sneakers do Choro in interviews"", authored by Ricarte Almeida Santos, @rivaniosantos and @zemaribeiro Ribeiro, go on to do part… https://t.co/MwcFBpubHQ")</f>
        <v>From leaf to piece "Chorografia do Maranhão - 54 sneakers do Choro in interviews", authored by Ricarte Almeida Santos, @rivaniosantos and @zemaribeiro Ribeiro, go on to do part… https://t.co/MwcFBpubHQ</v>
      </c>
      <c r="C373" s="2" t="s">
        <v>871</v>
      </c>
      <c r="D373" s="1" t="s">
        <v>872</v>
      </c>
    </row>
    <row r="374" spans="1:4" ht="15.75" customHeight="1" x14ac:dyDescent="0.15">
      <c r="A374" s="1" t="s">
        <v>873</v>
      </c>
      <c r="B374" s="3" t="str">
        <f ca="1">IFERROR(__xludf.DUMMYFUNCTION("GOOGLETRANSLATE(B374,""es"",""en"")"),"RT @tonyventur: @LinceAntiTuco @DeSafio:
Did the red-lobbyist co-government that relaxed ecological control and give away taxes to MMG Las Bambas, change the eco-duct, through the corruption club highway, through the YAVI Community for the profit of PPK, "&amp;"MVC, ZAVALA companies and more? https://t.co/tqaQBP5Wvi https://t.co/9TPBIqcjb8")</f>
        <v>RT @tonyventur: @LinceAntiTuco @DeSafio:
Did the red-lobbyist co-government that relaxed ecological control and give away taxes to MMG Las Bambas, change the eco-duct, through the corruption club highway, through the YAVI Community for the profit of PPK, MVC, ZAVALA companies and more? https://t.co/tqaQBP5Wvi https://t.co/9TPBIqcjb8</v>
      </c>
      <c r="C374" s="2" t="s">
        <v>874</v>
      </c>
      <c r="D374" s="1" t="s">
        <v>875</v>
      </c>
    </row>
    <row r="375" spans="1:4" ht="15.75" customHeight="1" x14ac:dyDescent="0.15">
      <c r="A375" s="1" t="s">
        <v>876</v>
      </c>
      <c r="B375" s="3" t="str">
        <f ca="1">IFERROR(__xludf.DUMMYFUNCTION("GOOGLETRANSLATE(B375,""es"",""en"")"),"RT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375" s="2" t="s">
        <v>877</v>
      </c>
      <c r="D375" s="1" t="s">
        <v>875</v>
      </c>
    </row>
    <row r="376" spans="1:4" ht="15.75" customHeight="1" x14ac:dyDescent="0.15">
      <c r="A376" s="1" t="s">
        <v>878</v>
      </c>
      <c r="B376" s="3" t="str">
        <f ca="1">IFERROR(__xludf.DUMMYFUNCTION("GOOGLETRANSLATE(B376,""es"",""en"")"),"RT @Jorgedelama: José De Echave talked about Las Bambas with Sol Carreño. He is a director of Cooperación, an anti-extractivist NGO that receives funds from the Open Society like its ""allies"". Abel Gilvonio works there, son of terrorists and a communist"&amp;" who attacked Cardinal Cipriani on Twitter Photos👇 https://t.co/l8BHyMqeao")</f>
        <v>RT @Jorgedelama: José De Echave talked about Las Bambas with Sol Carreño. He is a director of Cooperación, an anti-extractivist NGO that receives funds from the Open Society like its "allies". Abel Gilvonio works there, son of terrorists and a communist who attacked Cardinal Cipriani on Twitter Photos👇 https://t.co/l8BHyMqeao</v>
      </c>
      <c r="C376" s="2" t="s">
        <v>879</v>
      </c>
      <c r="D376" s="1" t="s">
        <v>880</v>
      </c>
    </row>
    <row r="377" spans="1:4" ht="15.75" customHeight="1" x14ac:dyDescent="0.15">
      <c r="A377" s="1" t="s">
        <v>873</v>
      </c>
      <c r="B377" s="3" t="str">
        <f ca="1">IFERROR(__xludf.DUMMYFUNCTION("GOOGLETRANSLATE(B377,""es"",""en"")"),"RT @tonyventur: @LinceAntiTuco @Plinio2009:
Everything would have been avoided if Verónika Mendoza (PPK guarantor) had not OPPOSED, along with her pro-PCP-SL comrade Oscar MOLLOHUANCA, the installation of the Mining Pipeline. Why did she do it? Days ago h"&amp;"e encouraged the ""chavelos"" to speak in Congress. https://t.co/c1COaIqOqI")</f>
        <v>RT @tonyventur: @LinceAntiTuco @Plinio2009:
Everything would have been avoided if Verónika Mendoza (PPK guarantor) had not OPPOSED, along with her pro-PCP-SL comrade Oscar MOLLOHUANCA, the installation of the Mining Pipeline. Why did she do it? Days ago he encouraged the "chavelos" to speak in Congress. https://t.co/c1COaIqOqI</v>
      </c>
      <c r="C377" s="2" t="s">
        <v>881</v>
      </c>
      <c r="D377" s="1" t="s">
        <v>880</v>
      </c>
    </row>
    <row r="378" spans="1:4" ht="15.75" customHeight="1" x14ac:dyDescent="0.15">
      <c r="A378" s="1" t="s">
        <v>882</v>
      </c>
      <c r="B378" s="3" t="str">
        <f ca="1">IFERROR(__xludf.DUMMYFUNCTION("GOOGLETRANSLATE(B378,""es"",""en"")"),"RT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378" s="2" t="s">
        <v>883</v>
      </c>
      <c r="D378" s="1" t="s">
        <v>880</v>
      </c>
    </row>
    <row r="379" spans="1:4" ht="15.75" customHeight="1" x14ac:dyDescent="0.15">
      <c r="A379" s="1" t="s">
        <v>884</v>
      </c>
      <c r="B379" s="3" t="str">
        <f ca="1">IFERROR(__xludf.DUMMYFUNCTION("GOOGLETRANSLATE(B379,""es"",""en"")"),"@saldelsol And the water and blood tests on the children of Pumamarca and other villages surrounding Las Bambas.... when?")</f>
        <v>@saldelsol And the water and blood tests on the children of Pumamarca and other villages surrounding Las Bambas.... when?</v>
      </c>
      <c r="C379" s="2" t="s">
        <v>885</v>
      </c>
      <c r="D379" s="1" t="s">
        <v>886</v>
      </c>
    </row>
    <row r="380" spans="1:4" ht="15.75" customHeight="1" x14ac:dyDescent="0.15">
      <c r="A380" s="1" t="s">
        <v>887</v>
      </c>
      <c r="B380" s="3" t="str">
        <f ca="1">IFERROR(__xludf.DUMMYFUNCTION("GOOGLETRANSLATE(B380,""es"",""en"")"),"RT @ricartealmeida: From page to page ""Chorografia do Maranhão - 54 sneakers do Choro in interviews"", authored by Ricarte Almeida Santos, @rivaniosantos and @zemaribeiro Ribeiro, go on to do part… https://t.co/ D7FsgE93Ey")</f>
        <v>RT @ricartealmeida: From page to page "Chorografia do Maranhão - 54 sneakers do Choro in interviews", authored by Ricarte Almeida Santos, @rivaniosantos and @zemaribeiro Ribeiro, go on to do part… https://t.co/ D7FsgE93Ey</v>
      </c>
      <c r="C380" s="2" t="s">
        <v>888</v>
      </c>
      <c r="D380" s="1" t="s">
        <v>886</v>
      </c>
    </row>
    <row r="381" spans="1:4" ht="15.75" customHeight="1" x14ac:dyDescent="0.15">
      <c r="A381" s="1" t="s">
        <v>889</v>
      </c>
      <c r="B381" s="3" t="str">
        <f ca="1">IFERROR(__xludf.DUMMYFUNCTION("GOOGLETRANSLATE(B381,""es"",""en"")"),"RT @osiasrg: Mr. Pdte @MartinVizcarraC, @saldelsol @MindefPeru and @MininterPeru while you have Police in Fuerabamba to solve the Las Bambas problem, in Lima @JorgeDCG intends to file PL 1192 validating larceny in FOVIME. Please instruct @PPKbancada NOT T"&amp;"O SUPPORT ARCHIVING. https://t.co/eflAfqTWke")</f>
        <v>RT @osiasrg: Mr. Pdte @MartinVizcarraC, @saldelsol @MindefPeru and @MininterPeru while you have Police in Fuerabamba to solve the Las Bambas problem, in Lima @JorgeDCG intends to file PL 1192 validating larceny in FOVIME. Please instruct @PPKbancada NOT TO SUPPORT ARCHIVING. https://t.co/eflAfqTWke</v>
      </c>
      <c r="C381" s="2" t="s">
        <v>890</v>
      </c>
      <c r="D381" s="1" t="s">
        <v>891</v>
      </c>
    </row>
    <row r="382" spans="1:4" ht="15.75" customHeight="1" x14ac:dyDescent="0.15">
      <c r="A382" s="1" t="s">
        <v>892</v>
      </c>
      <c r="B382" s="3" t="str">
        <f ca="1">IFERROR(__xludf.DUMMYFUNCTION("GOOGLETRANSLATE(B382,""es"",""en"")"),"RT @tonyventur: @LinceAntiTuco @margamedonzac: 
Mr. Pdte @ MartinVizcarraC confirm if your family business C y M Vizcarra S.A.C has contracts with the copper mining company LAS BAMBAS, we await your response @vozdelatierra @gatoencerrado2 @manifiesto_peru"&amp;" @Politico_pe https://t.co/RR66H8FmzV")</f>
        <v>RT @tonyventur: @LinceAntiTuco @margamedonzac: 
Mr. Pdte @ MartinVizcarraC confirm if your family business C y M Vizcarra S.A.C has contracts with the copper mining company LAS BAMBAS, we await your response @vozdelatierra @gatoencerrado2 @manifiesto_peru @Politico_pe https://t.co/RR66H8FmzV</v>
      </c>
      <c r="C382" s="2" t="s">
        <v>893</v>
      </c>
      <c r="D382" s="1" t="s">
        <v>891</v>
      </c>
    </row>
    <row r="383" spans="1:4" ht="15.75" customHeight="1" x14ac:dyDescent="0.15">
      <c r="A383" s="1" t="s">
        <v>894</v>
      </c>
      <c r="B383" s="3" t="str">
        <f ca="1">IFERROR(__xludf.DUMMYFUNCTION("GOOGLETRANSLATE(B383,""es"",""en"")"),"Kilometers of misunderstandings, a chronicle by Fernando Vivas https://t.co/ePEtXrvFkF https://t.co/Dp5nrMM8e8")</f>
        <v>Kilometers of misunderstandings, a chronicle by Fernando Vivas https://t.co/ePEtXrvFkF https://t.co/Dp5nrMM8e8</v>
      </c>
      <c r="C383" s="2" t="s">
        <v>895</v>
      </c>
      <c r="D383" s="1" t="s">
        <v>891</v>
      </c>
    </row>
    <row r="384" spans="1:4" ht="15.75" customHeight="1" x14ac:dyDescent="0.15">
      <c r="A384" s="1" t="s">
        <v>896</v>
      </c>
      <c r="B384" s="3" t="str">
        <f ca="1">IFERROR(__xludf.DUMMYFUNCTION("GOOGLETRANSLATE(B384,""es"",""en"")"),"@Enneh_4 friend, wear normal sneakers and run")</f>
        <v>@Enneh_4 friend, wear normal sneakers and run</v>
      </c>
      <c r="C384" s="2" t="s">
        <v>897</v>
      </c>
      <c r="D384" s="1" t="s">
        <v>891</v>
      </c>
    </row>
    <row r="385" spans="1:4" ht="15.75" customHeight="1" x14ac:dyDescent="0.15">
      <c r="A385" s="1" t="s">
        <v>628</v>
      </c>
      <c r="B385" s="3" t="str">
        <f ca="1">IFERROR(__xludf.DUMMYFUNCTION("GOOGLETRANSLATE(B385,""es"",""en"")"),"Government estimates paying S/ 350 million to overcome conflict in Las Bambas https://t.co/cmxMyxnT01")</f>
        <v>Government estimates paying S/ 350 million to overcome conflict in Las Bambas https://t.co/cmxMyxnT01</v>
      </c>
      <c r="C385" s="2" t="s">
        <v>898</v>
      </c>
      <c r="D385" s="1" t="s">
        <v>899</v>
      </c>
    </row>
    <row r="386" spans="1:4" ht="15.75" customHeight="1" x14ac:dyDescent="0.15">
      <c r="A386" s="1" t="s">
        <v>900</v>
      </c>
      <c r="B386" s="3" t="str">
        <f ca="1">IFERROR(__xludf.DUMMYFUNCTION("GOOGLETRANSLATE(B386,""es"",""en"")"),"@atvmasnoticias You, sleep in peace while the Bambas cry for their lands expropriated and looted by the mining companies")</f>
        <v>@atvmasnoticias You, sleep in peace while the Bambas cry for their lands expropriated and looted by the mining companies</v>
      </c>
      <c r="C386" s="2" t="s">
        <v>901</v>
      </c>
      <c r="D386" s="1" t="s">
        <v>902</v>
      </c>
    </row>
    <row r="387" spans="1:4" ht="15.75" customHeight="1" x14ac:dyDescent="0.15">
      <c r="A387" s="1" t="s">
        <v>903</v>
      </c>
      <c r="B387" s="3" t="str">
        <f ca="1">IFERROR(__xludf.DUMMYFUNCTION("GOOGLETRANSLATE(B387,""es"",""en"")"),"RT @Agencia_Andina: The spokesperson for the Perunos por el Kambio (PPK) group, Jorge Meléndez, highlights Vizcarra's decision to opt for dialogue in Las Bambas https://t.co/RWZlsZb3Bq https://t.co /Qwk3NWbDiM")</f>
        <v>RT @Agencia_Andina: The spokesperson for the Perunos por el Kambio (PPK) group, Jorge Meléndez, highlights Vizcarra's decision to opt for dialogue in Las Bambas https://t.co/RWZlsZb3Bq https://t.co /Qwk3NWbDiM</v>
      </c>
      <c r="C387" s="2" t="s">
        <v>904</v>
      </c>
      <c r="D387" s="1" t="s">
        <v>902</v>
      </c>
    </row>
    <row r="388" spans="1:4" ht="15.75" customHeight="1" x14ac:dyDescent="0.15">
      <c r="A388" s="1" t="s">
        <v>905</v>
      </c>
      <c r="B388" s="3" t="str">
        <f ca="1">IFERROR(__xludf.DUMMYFUNCTION("GOOGLETRANSLATE(B388,""es"",""en"")"),"RT @Agencia_Andina: The spokesperson for the Perunos por el Kambio (PPK) group, Jorge Meléndez, highlights Vizcarra's decision to opt for dialogue in Las Bambas https://t.co/RWZlsZb3Bq https://t.co /Qwk3NWbDiM")</f>
        <v>RT @Agencia_Andina: The spokesperson for the Perunos por el Kambio (PPK) group, Jorge Meléndez, highlights Vizcarra's decision to opt for dialogue in Las Bambas https://t.co/RWZlsZb3Bq https://t.co /Qwk3NWbDiM</v>
      </c>
      <c r="C388" s="2" t="s">
        <v>906</v>
      </c>
      <c r="D388" s="1" t="s">
        <v>907</v>
      </c>
    </row>
    <row r="389" spans="1:4" ht="15.75" customHeight="1" x14ac:dyDescent="0.15">
      <c r="A389" s="1" t="s">
        <v>908</v>
      </c>
      <c r="B389" s="3" t="str">
        <f ca="1">IFERROR(__xludf.DUMMYFUNCTION("GOOGLETRANSLATE(B389,""es"",""en"")"),"RT @Gestionpe: Las Bambas: State willing to pay more than S/ 300 million to communities https://t.co/HoCbdHF9jp via @Gestionpe https://t.co/TvFzaRUmS6")</f>
        <v>RT @Gestionpe: Las Bambas: State willing to pay more than S/ 300 million to communities https://t.co/HoCbdHF9jp via @Gestionpe https://t.co/TvFzaRUmS6</v>
      </c>
      <c r="C389" s="2" t="s">
        <v>909</v>
      </c>
      <c r="D389" s="1" t="s">
        <v>910</v>
      </c>
    </row>
    <row r="390" spans="1:4" ht="15.75" customHeight="1" x14ac:dyDescent="0.15">
      <c r="A390" s="1" t="s">
        <v>911</v>
      </c>
      <c r="B390" s="3" t="str">
        <f ca="1">IFERROR(__xludf.DUMMYFUNCTION("GOOGLETRANSLATE(B390,""es"",""en"")"),"RT @Agencia_Andina: The spokesperson for the Perunos por el Kambio (PPK) group, Jorge Meléndez, highlights Vizcarra's decision to opt for dialogue in Las Bambas https://t.co/RWZlsZb3Bq https://t.co /Qwk3NWbDiM")</f>
        <v>RT @Agencia_Andina: The spokesperson for the Perunos por el Kambio (PPK) group, Jorge Meléndez, highlights Vizcarra's decision to opt for dialogue in Las Bambas https://t.co/RWZlsZb3Bq https://t.co /Qwk3NWbDiM</v>
      </c>
      <c r="C390" s="2" t="s">
        <v>912</v>
      </c>
      <c r="D390" s="1" t="s">
        <v>913</v>
      </c>
    </row>
    <row r="391" spans="1:4" ht="15.75" customHeight="1" x14ac:dyDescent="0.15">
      <c r="A391" s="1" t="s">
        <v>914</v>
      </c>
      <c r="B391" s="3" t="str">
        <f ca="1">IFERROR(__xludf.DUMMYFUNCTION("GOOGLETRANSLATE(B391,""es"",""en"")"),"RT @Agencia_Andina: The spokesperson for the Perunos por el Kambio (PPK) group, Jorge Meléndez, highlights Vizcarra's decision to opt for dialogue in Las Bambas https://t.co/RWZlsZb3Bq https://t.co /Qwk3NWbDiM")</f>
        <v>RT @Agencia_Andina: The spokesperson for the Perunos por el Kambio (PPK) group, Jorge Meléndez, highlights Vizcarra's decision to opt for dialogue in Las Bambas https://t.co/RWZlsZb3Bq https://t.co /Qwk3NWbDiM</v>
      </c>
      <c r="C391" s="2" t="s">
        <v>915</v>
      </c>
      <c r="D391" s="1" t="s">
        <v>913</v>
      </c>
    </row>
    <row r="392" spans="1:4" ht="15.75" customHeight="1" x14ac:dyDescent="0.15">
      <c r="A392" s="1" t="s">
        <v>916</v>
      </c>
      <c r="B392" s="3" t="str">
        <f ca="1">IFERROR(__xludf.DUMMYFUNCTION("GOOGLETRANSLATE(B392,""es"",""en"")"),"RT @Agencia_Andina: The spokesperson for the Perunos por el Kambio (PPK) group, Jorge Meléndez, highlights Vizcarra's decision to opt for dialogue in Las Bambas https://t.co/RWZlsZb3Bq https://t.co /Qwk3NWbDiM")</f>
        <v>RT @Agencia_Andina: The spokesperson for the Perunos por el Kambio (PPK) group, Jorge Meléndez, highlights Vizcarra's decision to opt for dialogue in Las Bambas https://t.co/RWZlsZb3Bq https://t.co /Qwk3NWbDiM</v>
      </c>
      <c r="C392" s="2" t="s">
        <v>917</v>
      </c>
      <c r="D392" s="1" t="s">
        <v>918</v>
      </c>
    </row>
    <row r="393" spans="1:4" ht="15.75" customHeight="1" x14ac:dyDescent="0.15">
      <c r="A393" s="1" t="s">
        <v>919</v>
      </c>
      <c r="B393" s="3" t="str">
        <f ca="1">IFERROR(__xludf.DUMMYFUNCTION("GOOGLETRANSLATE(B393,""es"",""en"")"),"RT @Agencia_Andina: The spokesperson for the Perunos por el Kambio (PPK) group, Jorge Meléndez, highlights Vizcarra's decision to opt for dialogue in Las Bambas https://t.co/RWZlsZb3Bq https://t.co /Qwk3NWbDiM")</f>
        <v>RT @Agencia_Andina: The spokesperson for the Perunos por el Kambio (PPK) group, Jorge Meléndez, highlights Vizcarra's decision to opt for dialogue in Las Bambas https://t.co/RWZlsZb3Bq https://t.co /Qwk3NWbDiM</v>
      </c>
      <c r="C393" s="2" t="s">
        <v>920</v>
      </c>
      <c r="D393" s="1" t="s">
        <v>921</v>
      </c>
    </row>
    <row r="394" spans="1:4" ht="15.75" customHeight="1" x14ac:dyDescent="0.15">
      <c r="A394" s="1" t="s">
        <v>922</v>
      </c>
      <c r="B394" s="3" t="str">
        <f ca="1">IFERROR(__xludf.DUMMYFUNCTION("GOOGLETRANSLATE(B394,""es"",""en"")"),"New additions of wholesale children's footwear
#babyshoes https://t.co/2tML2y9SeC
#Childrenslonasneakers
https://t.co/yBwi0DOuX8
#Children's Sports https://t.co/HIxn7HFkoc
#Children's sandals #flip flops #crab shoes https://t.co/XwFLTXvNtL
#Men's Footwear"&amp;" and #Women's Footwear https://t.co/bYwbUyKhFY")</f>
        <v>New additions of wholesale children's footwear
#babyshoes https://t.co/2tML2y9SeC
#Childrenslonasneakers
https://t.co/yBwi0DOuX8
#Children's Sports https://t.co/HIxn7HFkoc
#Children's sandals #flip flops #crab shoes https://t.co/XwFLTXvNtL
#Men's Footwear and #Women's Footwear https://t.co/bYwbUyKhFY</v>
      </c>
      <c r="C394" s="2" t="s">
        <v>923</v>
      </c>
      <c r="D394" s="1" t="s">
        <v>921</v>
      </c>
    </row>
    <row r="395" spans="1:4" ht="15.75" customHeight="1" x14ac:dyDescent="0.15">
      <c r="A395" s="1" t="s">
        <v>222</v>
      </c>
      <c r="B395" s="3" t="str">
        <f ca="1">IFERROR(__xludf.DUMMYFUNCTION("GOOGLETRANSLATE(B395,""es"",""en"")"),"RT @agildemeisterrrh: And once again, the Catholic Church saving the Peruvian government's skin, intervening as a mediator this time in Las Bambas! At this rate... better that the Church govern or give it the Ministry of the Presidency! From Ripley!")</f>
        <v>RT @agildemeisterrrh: And once again, the Catholic Church saving the Peruvian government's skin, intervening as a mediator this time in Las Bambas! At this rate... better that the Church govern or give it the Ministry of the Presidency! From Ripley!</v>
      </c>
      <c r="C395" s="2" t="s">
        <v>924</v>
      </c>
      <c r="D395" s="1" t="s">
        <v>925</v>
      </c>
    </row>
    <row r="396" spans="1:4" ht="15.75" customHeight="1" x14ac:dyDescent="0.15">
      <c r="A396" s="1" t="s">
        <v>926</v>
      </c>
      <c r="B396" s="3" t="str">
        <f ca="1">IFERROR(__xludf.DUMMYFUNCTION("GOOGLETRANSLATE(B396,""es"",""en"")"),"The executive points out that if the roads are unblocked, the state of emergency in the area would be lifted. The Episcopal Conference acts as mediator.
Learn more at ► https://t.co/FAi2p8AP90 https://t.co/FAi2p8AP90")</f>
        <v>The executive points out that if the roads are unblocked, the state of emergency in the area would be lifted. The Episcopal Conference acts as mediator.
Learn more at ► https://t.co/FAi2p8AP90 https://t.co/FAi2p8AP90</v>
      </c>
      <c r="C396" s="2" t="s">
        <v>927</v>
      </c>
      <c r="D396" s="1" t="s">
        <v>928</v>
      </c>
    </row>
    <row r="397" spans="1:4" ht="15.75" customHeight="1" x14ac:dyDescent="0.15">
      <c r="A397" s="1" t="s">
        <v>929</v>
      </c>
      <c r="B397" s="3" t="str">
        <f ca="1">IFERROR(__xludf.DUMMYFUNCTION("GOOGLETRANSLATE(B397,""es"",""en"")"),"""LAS BAMBAS"" TWO MONTHS OF CONVULSION! THE PROBLEM IS ECONOMIC! IT IS NOT ENVIRONMENTAL! BUT NOW THEY CHANGE! THEY NO LONGER WANT MONEY! THEY ASK FOR THE MINE TO GO! BE CAREFUL IT COULD BE ""ANOTHER CONGA"" MAYBE ""THE GOVERNMENT'S BAGUAZO!""")</f>
        <v>"LAS BAMBAS" TWO MONTHS OF CONVULSION! THE PROBLEM IS ECONOMIC! IT IS NOT ENVIRONMENTAL! BUT NOW THEY CHANGE! THEY NO LONGER WANT MONEY! THEY ASK FOR THE MINE TO GO! BE CAREFUL IT COULD BE "ANOTHER CONGA" MAYBE "THE GOVERNMENT'S BAGUAZO!"</v>
      </c>
      <c r="C397" s="2" t="s">
        <v>930</v>
      </c>
      <c r="D397" s="1" t="s">
        <v>928</v>
      </c>
    </row>
    <row r="398" spans="1:4" ht="15.75" customHeight="1" x14ac:dyDescent="0.15">
      <c r="A398" s="1" t="s">
        <v>931</v>
      </c>
      <c r="B398" s="3" t="str">
        <f ca="1">IFERROR(__xludf.DUMMYFUNCTION("GOOGLETRANSLATE(B398,""es"",""en"")"),"RT @ucinoticias_pe: 🔴 #LasBambas | Salvador del Solar met with the leader of Fuerabamba, Gregorio Rojas, who was released last Friday. 
https://t.co/TxZ7fgfllJ")</f>
        <v>RT @ucinoticias_pe: 🔴 #LasBambas | Salvador del Solar met with the leader of Fuerabamba, Gregorio Rojas, who was released last Friday. 
https://t.co/TxZ7fgfllJ</v>
      </c>
      <c r="C398" s="2" t="s">
        <v>932</v>
      </c>
      <c r="D398" s="1" t="s">
        <v>933</v>
      </c>
    </row>
    <row r="399" spans="1:4" ht="15.75" customHeight="1" x14ac:dyDescent="0.15">
      <c r="A399" s="1" t="s">
        <v>929</v>
      </c>
      <c r="B399" s="3" t="str">
        <f ca="1">IFERROR(__xludf.DUMMYFUNCTION("GOOGLETRANSLATE(B399,""es"",""en"")"),"DRUNK RUNS OVER POLICE OFFICER AND LEAVES FREE!!! CAUSE OF THIS ""ARMORED""!!! IS VICE-PDTE OF ""LAS BAMBAS""!!! WEAKNESS OF THE GOVERNMENT?..WHY NOT APPLY THE LAW ?...BAD PRECEDENT")</f>
        <v>DRUNK RUNS OVER POLICE OFFICER AND LEAVES FREE!!! CAUSE OF THIS "ARMORED"!!! IS VICE-PDTE OF "LAS BAMBAS"!!! WEAKNESS OF THE GOVERNMENT?..WHY NOT APPLY THE LAW ?...BAD PRECEDENT</v>
      </c>
      <c r="C399" s="2" t="s">
        <v>934</v>
      </c>
      <c r="D399" s="1" t="s">
        <v>935</v>
      </c>
    </row>
    <row r="400" spans="1:4" ht="15.75" customHeight="1" x14ac:dyDescent="0.15">
      <c r="A400" s="1" t="s">
        <v>936</v>
      </c>
      <c r="B400" s="3" t="str">
        <f ca="1">IFERROR(__xludf.DUMMYFUNCTION("GOOGLETRANSLATE(B400,""es"",""en"")"),"RT @leo_valra: Appointment of Zoraida Ávalos, left Vizcarra like a dog with two tails. He freed the leader of the extortion in Las Bambas and the second of the criminal gang, who while driving drunk ran over police officers, who were then stoned by his fo"&amp;"llowers.
@FiscaliaPeru protect criminals?")</f>
        <v>RT @leo_valra: Appointment of Zoraida Ávalos, left Vizcarra like a dog with two tails. He freed the leader of the extortion in Las Bambas and the second of the criminal gang, who while driving drunk ran over police officers, who were then stoned by his followers.
@FiscaliaPeru protect criminals?</v>
      </c>
      <c r="C400" s="2" t="s">
        <v>937</v>
      </c>
      <c r="D400" s="1" t="s">
        <v>935</v>
      </c>
    </row>
    <row r="401" spans="1:4" ht="15.75" customHeight="1" x14ac:dyDescent="0.15">
      <c r="A401" s="1" t="s">
        <v>938</v>
      </c>
      <c r="B401" s="3" t="str">
        <f ca="1">IFERROR(__xludf.DUMMYFUNCTION("GOOGLETRANSLATE(B401,""es"",""en"")"),"@mestoycabreando @Nachonaran @Nike_Spain @Geox @munichsports Well yes, before his sneakers were too small, but since they started playing f***ing football, they don't last... 😩")</f>
        <v>@mestoycabreando @Nachonaran @Nike_Spain @Geox @munichsports Well yes, before his sneakers were too small, but since they started playing f***ing football, they don't last... 😩</v>
      </c>
      <c r="C401" s="2" t="s">
        <v>939</v>
      </c>
      <c r="D401" s="1" t="s">
        <v>935</v>
      </c>
    </row>
    <row r="402" spans="1:4" ht="15.75" customHeight="1" x14ac:dyDescent="0.15">
      <c r="A402" s="1" t="s">
        <v>936</v>
      </c>
      <c r="B402" s="3" t="str">
        <f ca="1">IFERROR(__xludf.DUMMYFUNCTION("GOOGLETRANSLATE(B402,""es"",""en"")"),"RT @luislchihuan: PROSECUTOR ADMITS THAT THEY RELEASED THE LEADER OF THE BAMBAS AFTER EVALUATING THE POLITICAL SITUATION. WHAT THE SHELL, IS THIS HOW THE LAWS ARE HANDLED IN PERU? KEIKO MUST BE RELEASED IMMEDIATELY. LET'S SEE WHAT CONCRESISTS OF F.P. DO.")</f>
        <v>RT @luislchihuan: PROSECUTOR ADMITS THAT THEY RELEASED THE LEADER OF THE BAMBAS AFTER EVALUATING THE POLITICAL SITUATION. WHAT THE SHELL, IS THIS HOW THE LAWS ARE HANDLED IN PERU? KEIKO MUST BE RELEASED IMMEDIATELY. LET'S SEE WHAT CONCRESISTS OF F.P. DO.</v>
      </c>
      <c r="C402" s="2" t="s">
        <v>940</v>
      </c>
      <c r="D402" s="1" t="s">
        <v>941</v>
      </c>
    </row>
    <row r="403" spans="1:4" ht="15.75" customHeight="1" x14ac:dyDescent="0.15">
      <c r="A403" s="1" t="s">
        <v>873</v>
      </c>
      <c r="B403" s="3" t="str">
        <f ca="1">IFERROR(__xludf.DUMMYFUNCTION("GOOGLETRANSLATE(B403,""es"",""en"")"),"WHAT ONE COMES TO KNOW, José De Echave spoke about Las Bambas with Sol Carreño. He is a director of Cooperación, an anti-extractivist NGO that receives funds from the Open Society like its ""allies"". Abel Gilvonio, son of terrorists and communist, works "&amp;"there https://t.co/WWKeqGvIeK")</f>
        <v>WHAT ONE COMES TO KNOW, José De Echave spoke about Las Bambas with Sol Carreño. He is a director of Cooperación, an anti-extractivist NGO that receives funds from the Open Society like its "allies". Abel Gilvonio, son of terrorists and communist, works there https://t.co/WWKeqGvIeK</v>
      </c>
      <c r="C403" s="2" t="s">
        <v>942</v>
      </c>
      <c r="D403" s="1" t="s">
        <v>943</v>
      </c>
    </row>
    <row r="404" spans="1:4" ht="15.75" customHeight="1" x14ac:dyDescent="0.15">
      <c r="A404" s="1" t="s">
        <v>944</v>
      </c>
      <c r="B404" s="3" t="str">
        <f ca="1">IFERROR(__xludf.DUMMYFUNCTION("GOOGLETRANSLATE(B404,""es"",""en"")"),"RT @gonzalesposadal: Government, judges and prosecutors retreat in the face of violence. Yesterday they released the community member responsible for blocking a national highway in Las Bambas; today they do the same with another leader who, drunk, rammed "&amp;"his car into police officers. Where is the authority? https://t.co/D2diWMRS6t")</f>
        <v>RT @gonzalesposadal: Government, judges and prosecutors retreat in the face of violence. Yesterday they released the community member responsible for blocking a national highway in Las Bambas; today they do the same with another leader who, drunk, rammed his car into police officers. Where is the authority? https://t.co/D2diWMRS6t</v>
      </c>
      <c r="C404" s="2" t="s">
        <v>945</v>
      </c>
      <c r="D404" s="1" t="s">
        <v>946</v>
      </c>
    </row>
    <row r="405" spans="1:4" ht="15.75" customHeight="1" x14ac:dyDescent="0.15">
      <c r="A405" s="1" t="s">
        <v>947</v>
      </c>
      <c r="B405" s="3" t="str">
        <f ca="1">IFERROR(__xludf.DUMMYFUNCTION("GOOGLETRANSLATE(B405,""es"",""en"")"),"The editorial of Semana Económica is very good. The evocation of García's simplistic ""dog in the manger"" thesis is good, a clear example of his little knowledge of the country. https://t.co/DoQSCiOqJI")</f>
        <v>The editorial of Semana Económica is very good. The evocation of García's simplistic "dog in the manger" thesis is good, a clear example of his little knowledge of the country. https://t.co/DoQSCiOqJI</v>
      </c>
      <c r="C405" s="2" t="s">
        <v>948</v>
      </c>
      <c r="D405" s="1" t="s">
        <v>949</v>
      </c>
    </row>
    <row r="406" spans="1:4" ht="15.75" customHeight="1" x14ac:dyDescent="0.15">
      <c r="A406" s="1" t="s">
        <v>950</v>
      </c>
      <c r="B406" s="3" t="str">
        <f ca="1">IFERROR(__xludf.DUMMYFUNCTION("GOOGLETRANSLATE(B406,""es"",""en"")"),"Or I will give you a blow to deixar with a pair of sneakers kkk — kkkk eu amu https://t.co/yjAiAr8qJE")</f>
        <v>Or I will give you a blow to deixar with a pair of sneakers kkk — kkkk eu amu https://t.co/yjAiAr8qJE</v>
      </c>
      <c r="C406" s="2" t="s">
        <v>951</v>
      </c>
      <c r="D406" s="1" t="s">
        <v>949</v>
      </c>
    </row>
    <row r="407" spans="1:4" ht="15.75" customHeight="1" x14ac:dyDescent="0.15">
      <c r="A407" s="1" t="s">
        <v>873</v>
      </c>
      <c r="B407" s="3" t="str">
        <f ca="1">IFERROR(__xludf.DUMMYFUNCTION("GOOGLETRANSLATE(B407,""es"",""en"")"),"RT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407" s="2" t="s">
        <v>952</v>
      </c>
      <c r="D407" s="1" t="s">
        <v>953</v>
      </c>
    </row>
    <row r="408" spans="1:4" ht="15.75" customHeight="1" x14ac:dyDescent="0.15">
      <c r="A408" s="1" t="s">
        <v>25</v>
      </c>
      <c r="B408" s="3" t="str">
        <f ca="1">IFERROR(__xludf.DUMMYFUNCTION("GOOGLETRANSLATE(B408,""es"",""en"")"),"#PoliticaEM #ElMontonero
Business and communities should unite in demands
Follow us on:
FB: https://t.co/8BN6IGbDMU
Youtube: https://t.co/x2WH9DgOHF
More Articles: https://t.co/4sbQL4kPSo
#Apurimac #Roads #SouthernMiningCorrester 
https://t.co/o22NPeiPHK")</f>
        <v>#PoliticaEM #ElMontonero
Business and communities should unite in demands
Follow us on:
FB: https://t.co/8BN6IGbDMU
Youtube: https://t.co/x2WH9DgOHF
More Articles: https://t.co/4sbQL4kPSo
#Apurimac #Roads #SouthernMiningCorrester 
https://t.co/o22NPeiPHK</v>
      </c>
      <c r="C408" s="2" t="s">
        <v>954</v>
      </c>
      <c r="D408" s="1" t="s">
        <v>955</v>
      </c>
    </row>
    <row r="409" spans="1:4" ht="15.75" customHeight="1" x14ac:dyDescent="0.15">
      <c r="A409" s="1" t="s">
        <v>956</v>
      </c>
      <c r="B409" s="3" t="str">
        <f ca="1">IFERROR(__xludf.DUMMYFUNCTION("GOOGLETRANSLATE(B409,""es"",""en"")"),"RT @manifiesto_peru: PROSECUTOR ADMITS THAT THEY RELEASED THE LEADER EVALUATING THE POLITICAL SITUATION
They detained Gregorio Rojas after 6 months of investigation and wiretapping, but only then did they realize that protesters were asking him for dialo"&amp;"gue in Las Bambas ▶️ https://t.co/XtKUcgKWvW https://t.co/Sn1c9rY2Ra")</f>
        <v>RT @manifiesto_peru: PROSECUTOR ADMITS THAT THEY RELEASED THE LEADER EVALUATING THE POLITICAL SITUATION
They detained Gregorio Rojas after 6 months of investigation and wiretapping, but only then did they realize that protesters were asking him for dialogue in Las Bambas ▶️ https://t.co/XtKUcgKWvW https://t.co/Sn1c9rY2Ra</v>
      </c>
      <c r="C409" s="2" t="s">
        <v>957</v>
      </c>
      <c r="D409" s="1" t="s">
        <v>955</v>
      </c>
    </row>
    <row r="410" spans="1:4" ht="15.75" customHeight="1" x14ac:dyDescent="0.15">
      <c r="A410" s="1" t="s">
        <v>958</v>
      </c>
      <c r="B410" s="3" t="str">
        <f ca="1">IFERROR(__xludf.DUMMYFUNCTION("GOOGLETRANSLATE(B410,""es"",""en"")"),"Las Bambas: This Tuesday they will evaluate preventive detention against the Chávez Sotelo brothers https://t.co/i5xn3Bl94d https://t.co/pnMAu4f9IV")</f>
        <v>Las Bambas: This Tuesday they will evaluate preventive detention against the Chávez Sotelo brothers https://t.co/i5xn3Bl94d https://t.co/pnMAu4f9IV</v>
      </c>
      <c r="C410" s="2" t="s">
        <v>959</v>
      </c>
      <c r="D410" s="1" t="s">
        <v>960</v>
      </c>
    </row>
    <row r="411" spans="1:4" ht="15.75" customHeight="1" x14ac:dyDescent="0.15">
      <c r="A411" s="1" t="s">
        <v>961</v>
      </c>
      <c r="B411" s="3" t="str">
        <f ca="1">IFERROR(__xludf.DUMMYFUNCTION("GOOGLETRANSLATE(B411,""es"",""en"")"),"@AlcortaLourdes Aunt, why don't you act like this on Thursday? I give you some topics: 1,650 million in consultancies, ministers with anticuchos, Premier who does not show his face in Las Bambas, reconstruction, marches in Piura, etc... help the governmen"&amp;"t by pointing out its errors so that they can correct them, they are on time")</f>
        <v>@AlcortaLourdes Aunt, why don't you act like this on Thursday? I give you some topics: 1,650 million in consultancies, ministers with anticuchos, Premier who does not show his face in Las Bambas, reconstruction, marches in Piura, etc... help the government by pointing out its errors so that they can correct them, they are on time</v>
      </c>
      <c r="C411" s="2" t="s">
        <v>962</v>
      </c>
      <c r="D411" s="1" t="s">
        <v>963</v>
      </c>
    </row>
    <row r="412" spans="1:4" ht="15.75" customHeight="1" x14ac:dyDescent="0.15">
      <c r="A412" s="1" t="s">
        <v>964</v>
      </c>
      <c r="B412" s="3" t="str">
        <f ca="1">IFERROR(__xludf.DUMMYFUNCTION("GOOGLETRANSLATE(B412,""es"",""en"")"),"RT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412" s="2" t="s">
        <v>965</v>
      </c>
      <c r="D412" s="1" t="s">
        <v>966</v>
      </c>
    </row>
    <row r="413" spans="1:4" ht="15.75" customHeight="1" x14ac:dyDescent="0.15">
      <c r="A413" s="1" t="s">
        <v>967</v>
      </c>
      <c r="B413" s="3" t="str">
        <f ca="1">IFERROR(__xludf.DUMMYFUNCTION("GOOGLETRANSLATE(B413,""es"",""en"")"),"How cool!! Now I see ads for Kia cars and pink and beige sneakers so I can go out dancing... I feel calmer without seeing the ads for Roche malages and their ads for colon cancer pills.")</f>
        <v>How cool!! Now I see ads for Kia cars and pink and beige sneakers so I can go out dancing... I feel calmer without seeing the ads for Roche malages and their ads for colon cancer pills.</v>
      </c>
      <c r="C413" s="2" t="s">
        <v>968</v>
      </c>
      <c r="D413" s="1" t="s">
        <v>966</v>
      </c>
    </row>
    <row r="414" spans="1:4" ht="15.75" customHeight="1" x14ac:dyDescent="0.15">
      <c r="A414" s="1" t="s">
        <v>969</v>
      </c>
      <c r="B414" s="3" t="str">
        <f ca="1">IFERROR(__xludf.DUMMYFUNCTION("GOOGLETRANSLATE(B414,""es"",""en"")"),"RT @comitedelectura: Very good article by David Rivera in @larepublica_pe about what the conflict in Las Bambas has revealed, once again, regarding the structural deficiencies of the Peruvian State. https://t.co/V05NN5Kp3s")</f>
        <v>RT @comitedelectura: Very good article by David Rivera in @larepublica_pe about what the conflict in Las Bambas has revealed, once again, regarding the structural deficiencies of the Peruvian State. https://t.co/V05NN5Kp3s</v>
      </c>
      <c r="C414" s="2" t="s">
        <v>970</v>
      </c>
      <c r="D414" s="1" t="s">
        <v>971</v>
      </c>
    </row>
    <row r="415" spans="1:4" ht="15.75" customHeight="1" x14ac:dyDescent="0.15">
      <c r="A415" s="1" t="s">
        <v>972</v>
      </c>
      <c r="B415" s="3" t="str">
        <f ca="1">IFERROR(__xludf.DUMMYFUNCTION("GOOGLETRANSLATE(B415,""es"",""en"")"),"#Peru #Mining #LasBambas 
Interesting interview to understand the conflict in Las Bambas: ""A community is not a criminal organization"" https://t.co/j072K5WSsJ")</f>
        <v>#Peru #Mining #LasBambas 
Interesting interview to understand the conflict in Las Bambas: "A community is not a criminal organization" https://t.co/j072K5WSsJ</v>
      </c>
      <c r="C415" s="2" t="s">
        <v>973</v>
      </c>
      <c r="D415" s="1" t="s">
        <v>974</v>
      </c>
    </row>
    <row r="416" spans="1:4" ht="15.75" customHeight="1" x14ac:dyDescent="0.15">
      <c r="A416" s="1" t="s">
        <v>975</v>
      </c>
      <c r="B416" s="3" t="str">
        <f ca="1">IFERROR(__xludf.DUMMYFUNCTION("GOOGLETRANSLATE(B416,""es"",""en"")"),"The same old story, according to Antonio Raymondi.   Las Bambas (El Perú): he is a beggar sitting on a golden bench... ..things don't change.    #rpp #peru")</f>
        <v>The same old story, according to Antonio Raymondi.   Las Bambas (El Perú): he is a beggar sitting on a golden bench... ..things don't change.    #rpp #peru</v>
      </c>
      <c r="C416" s="2" t="s">
        <v>976</v>
      </c>
      <c r="D416" s="1" t="s">
        <v>974</v>
      </c>
    </row>
    <row r="417" spans="1:4" ht="15.75" customHeight="1" x14ac:dyDescent="0.15">
      <c r="A417" s="1" t="s">
        <v>977</v>
      </c>
      <c r="B417" s="3" t="str">
        <f ca="1">IFERROR(__xludf.DUMMYFUNCTION("GOOGLETRANSLATE(B417,""es"",""en"")"),"Government estimates paying S/ 350 million to overcome conflict in Las Bambas ➤ https://t.co/fWcAD9ciqz https://t.co/w5CwPl8vQY")</f>
        <v>Government estimates paying S/ 350 million to overcome conflict in Las Bambas ➤ https://t.co/fWcAD9ciqz https://t.co/w5CwPl8vQY</v>
      </c>
      <c r="C417" s="2" t="s">
        <v>978</v>
      </c>
      <c r="D417" s="1" t="s">
        <v>979</v>
      </c>
    </row>
    <row r="418" spans="1:4" ht="15.75" customHeight="1" x14ac:dyDescent="0.15">
      <c r="A418" s="1" t="s">
        <v>980</v>
      </c>
      <c r="B418" s="3" t="str">
        <f ca="1">IFERROR(__xludf.DUMMYFUNCTION("GOOGLETRANSLATE(B418,""es"",""en"")"),"RT @jgodoym: Good editorial from @SEMANAeconomica about Las Bambas. We must kill the dog in the manger https://t.co/8TArvrmQMl")</f>
        <v>RT @jgodoym: Good editorial from @SEMANAeconomica about Las Bambas. We must kill the dog in the manger https://t.co/8TArvrmQMl</v>
      </c>
      <c r="C418" s="2" t="s">
        <v>981</v>
      </c>
      <c r="D418" s="1" t="s">
        <v>982</v>
      </c>
    </row>
    <row r="419" spans="1:4" ht="15.75" customHeight="1" x14ac:dyDescent="0.15">
      <c r="A419" s="1" t="s">
        <v>983</v>
      </c>
      <c r="B419" s="3" t="str">
        <f ca="1">IFERROR(__xludf.DUMMYFUNCTION("GOOGLETRANSLATE(B419,""es"",""en"")"),"""Canção launch, mas canções tire me and as
Balançam legs sneakers of body and soul
Ator gives calm
""See here, see the green, see the fauna""")</f>
        <v>"Canção launch, mas canções tire me and as
Balançam legs sneakers of body and soul
Ator gives calm
"See here, see the green, see the fauna"</v>
      </c>
      <c r="C419" s="2" t="s">
        <v>984</v>
      </c>
      <c r="D419" s="1" t="s">
        <v>985</v>
      </c>
    </row>
    <row r="420" spans="1:4" ht="15.75" customHeight="1" x14ac:dyDescent="0.15">
      <c r="A420" s="1" t="s">
        <v>986</v>
      </c>
      <c r="B420" s="3" t="str">
        <f ca="1">IFERROR(__xludf.DUMMYFUNCTION("GOOGLETRANSLATE(B420,""es"",""en"")"),"RT @jgodoym: Good editorial from @SEMANAeconomica about Las Bambas. We must kill the dog in the manger https://t.co/8TArvrmQMl")</f>
        <v>RT @jgodoym: Good editorial from @SEMANAeconomica about Las Bambas. We must kill the dog in the manger https://t.co/8TArvrmQMl</v>
      </c>
      <c r="C420" s="2" t="s">
        <v>987</v>
      </c>
      <c r="D420" s="1" t="s">
        <v>988</v>
      </c>
    </row>
    <row r="421" spans="1:4" ht="15.75" customHeight="1" x14ac:dyDescent="0.15">
      <c r="A421" s="1" t="s">
        <v>989</v>
      </c>
      <c r="B421" s="3" t="str">
        <f ca="1">IFERROR(__xludf.DUMMYFUNCTION("GOOGLETRANSLATE(B421,""es"",""en"")"),"RT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421" s="2" t="s">
        <v>990</v>
      </c>
      <c r="D421" s="1" t="s">
        <v>991</v>
      </c>
    </row>
    <row r="422" spans="1:4" ht="15.75" customHeight="1" x14ac:dyDescent="0.15">
      <c r="A422" s="1" t="s">
        <v>992</v>
      </c>
      <c r="B422" s="3" t="str">
        <f ca="1">IFERROR(__xludf.DUMMYFUNCTION("GOOGLETRANSLATE(B422,""es"",""en"")"),"RT @LinceAntiTuco: WHAT ONE COMES TO KNOW, José De Echave spoke about Las Bambas with Sol Carreño. He is a director of Cooperación, an anti-extractivist NGO that receives funds from the Open Society like its ""allies"". Abel Gilvonio, son of terrorists an"&amp;"d communist, works there https://t.co/WWKeqGvIeK")</f>
        <v>RT @LinceAntiTuco: WHAT ONE COMES TO KNOW, José De Echave spoke about Las Bambas with Sol Carreño. He is a director of Cooperación, an anti-extractivist NGO that receives funds from the Open Society like its "allies". Abel Gilvonio, son of terrorists and communist, works there https://t.co/WWKeqGvIeK</v>
      </c>
      <c r="C422" s="2" t="s">
        <v>993</v>
      </c>
      <c r="D422" s="1" t="s">
        <v>994</v>
      </c>
    </row>
    <row r="423" spans="1:4" ht="15.75" customHeight="1" x14ac:dyDescent="0.15">
      <c r="A423" s="1" t="s">
        <v>995</v>
      </c>
      <c r="B423" s="3" t="str">
        <f ca="1">IFERROR(__xludf.DUMMYFUNCTION("GOOGLETRANSLATE(B423,""es"",""en"")"),"RT @maroonata: хы https://t.co/iiaQfGAb8w")</f>
        <v>RT @maroonata: хы https://t.co/iiaQfGAb8w</v>
      </c>
      <c r="C423" s="2" t="s">
        <v>996</v>
      </c>
      <c r="D423" s="1" t="s">
        <v>994</v>
      </c>
    </row>
    <row r="424" spans="1:4" ht="15.75" customHeight="1" x14ac:dyDescent="0.15">
      <c r="A424" s="1" t="s">
        <v>997</v>
      </c>
      <c r="B424" s="3" t="str">
        <f ca="1">IFERROR(__xludf.DUMMYFUNCTION("GOOGLETRANSLATE(B424,""es"",""en"")"),"@elhigadodmarita The country is the way it is because no one cares about anything, it's like the Las Bambas issue, all governments leave things for the next one to see how to solve it. and there are people who just type, very comfortable without taking ac"&amp;"tion, they just write... good afternoon")</f>
        <v>@elhigadodmarita The country is the way it is because no one cares about anything, it's like the Las Bambas issue, all governments leave things for the next one to see how to solve it. and there are people who just type, very comfortable without taking action, they just write... good afternoon</v>
      </c>
      <c r="C424" s="2" t="s">
        <v>998</v>
      </c>
      <c r="D424" s="1" t="s">
        <v>999</v>
      </c>
    </row>
    <row r="425" spans="1:4" ht="15.75" customHeight="1" x14ac:dyDescent="0.15">
      <c r="A425" s="1" t="s">
        <v>1000</v>
      </c>
      <c r="B425" s="3" t="str">
        <f ca="1">IFERROR(__xludf.DUMMYFUNCTION("GOOGLETRANSLATE(B425,""es"",""en"")"),"Las Bambas: Gregorio Rojas will consult the community about the lifting of the force measure https://t.co/JvOHF6tR4r")</f>
        <v>Las Bambas: Gregorio Rojas will consult the community about the lifting of the force measure https://t.co/JvOHF6tR4r</v>
      </c>
      <c r="C425" s="2" t="s">
        <v>1001</v>
      </c>
      <c r="D425" s="1" t="s">
        <v>999</v>
      </c>
    </row>
    <row r="426" spans="1:4" ht="15.75" customHeight="1" x14ac:dyDescent="0.15">
      <c r="A426" s="1" t="s">
        <v>186</v>
      </c>
      <c r="B426" s="3" t="str">
        <f ca="1">IFERROR(__xludf.DUMMYFUNCTION("GOOGLETRANSLATE(B426,""es"",""en"")"),"Children who walk two or three hours to go to school. Unsheltered, only with their flip flops. And so we say that in Las Bambas you live like in Switzerland? 😞😡 https://t.co/JzlgU905xt")</f>
        <v>Children who walk two or three hours to go to school. Unsheltered, only with their flip flops. And so we say that in Las Bambas you live like in Switzerland? 😞😡 https://t.co/JzlgU905xt</v>
      </c>
      <c r="C426" s="2" t="s">
        <v>1002</v>
      </c>
      <c r="D426" s="1" t="s">
        <v>999</v>
      </c>
    </row>
    <row r="427" spans="1:4" ht="15.75" customHeight="1" x14ac:dyDescent="0.15">
      <c r="A427" s="1" t="s">
        <v>1003</v>
      </c>
      <c r="B427" s="3" t="str">
        <f ca="1">IFERROR(__xludf.DUMMYFUNCTION("GOOGLETRANSLATE(B427,""es"",""en"")"),"PERU: Govt. and community reach prior agreement for blockade in Las Bambas")</f>
        <v>PERU: Govt. and community reach prior agreement for blockade in Las Bambas</v>
      </c>
      <c r="C427" s="2" t="s">
        <v>1004</v>
      </c>
      <c r="D427" s="1" t="s">
        <v>1005</v>
      </c>
    </row>
    <row r="428" spans="1:4" ht="15.75" customHeight="1" x14ac:dyDescent="0.15">
      <c r="A428" s="1" t="s">
        <v>1006</v>
      </c>
      <c r="B428" s="3" t="str">
        <f ca="1">IFERROR(__xludf.DUMMYFUNCTION("GOOGLETRANSLATE(B428,""es"",""en"")"),"RT @lamula: ""Commit to the community to relieve the truck system within a given period... Start the construction of the mineral pipeline, they have only lost 3 of 20 recoverable years..."" | @PepeMoquillaza proposes solutions to the #LasBambas conflict h"&amp;"ttps://t.co/x0YM2i0bIk")</f>
        <v>RT @lamula: "Commit to the community to relieve the truck system within a given period... Start the construction of the mineral pipeline, they have only lost 3 of 20 recoverable years..." | @PepeMoquillaza proposes solutions to the #LasBambas conflict https://t.co/x0YM2i0bIk</v>
      </c>
      <c r="C428" s="2" t="s">
        <v>1007</v>
      </c>
      <c r="D428" s="1" t="s">
        <v>1005</v>
      </c>
    </row>
    <row r="429" spans="1:4" ht="15.75" customHeight="1" x14ac:dyDescent="0.15">
      <c r="A429" s="1" t="s">
        <v>1008</v>
      </c>
      <c r="B429" s="3" t="str">
        <f ca="1">IFERROR(__xludf.DUMMYFUNCTION("GOOGLETRANSLATE(B429,""es"",""en"")"),"RT @MilagrosLeivaG: Children who walk two or three hours to go to school. Unsheltered, only with their flip flops. And so we say that in Las Bambas you live like in Switzerland? 😞😡 https://t.co/JzlgU905xt")</f>
        <v>RT @MilagrosLeivaG: Children who walk two or three hours to go to school. Unsheltered, only with their flip flops. And so we say that in Las Bambas you live like in Switzerland? 😞😡 https://t.co/JzlgU905xt</v>
      </c>
      <c r="C429" s="2" t="s">
        <v>1009</v>
      </c>
      <c r="D429" s="1" t="s">
        <v>1005</v>
      </c>
    </row>
    <row r="430" spans="1:4" ht="15.75" customHeight="1" x14ac:dyDescent="0.15">
      <c r="A430" s="1" t="s">
        <v>1010</v>
      </c>
      <c r="B430" s="3" t="str">
        <f ca="1">IFERROR(__xludf.DUMMYFUNCTION("GOOGLETRANSLATE(B430,""es"",""en"")"),"RT @MilagrosLeivaG: Children who walk two or three hours to go to school. Unsheltered, only with their flip flops. And so we say that in Las Bambas you live like in Switzerland? 😞😡 https://t.co/JzlgU905xt")</f>
        <v>RT @MilagrosLeivaG: Children who walk two or three hours to go to school. Unsheltered, only with their flip flops. And so we say that in Las Bambas you live like in Switzerland? 😞😡 https://t.co/JzlgU905xt</v>
      </c>
      <c r="C430" s="2" t="s">
        <v>1011</v>
      </c>
      <c r="D430" s="1" t="s">
        <v>1005</v>
      </c>
    </row>
    <row r="431" spans="1:4" ht="15.75" customHeight="1" x14ac:dyDescent="0.15">
      <c r="A431" s="1" t="s">
        <v>1012</v>
      </c>
      <c r="B431" s="3" t="str">
        <f ca="1">IFERROR(__xludf.DUMMYFUNCTION("GOOGLETRANSLATE(B431,""es"",""en"")"),"RT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431" s="2" t="s">
        <v>1013</v>
      </c>
      <c r="D431" s="1" t="s">
        <v>1014</v>
      </c>
    </row>
    <row r="432" spans="1:4" ht="15.75" customHeight="1" x14ac:dyDescent="0.15">
      <c r="A432" s="1" t="s">
        <v>1015</v>
      </c>
      <c r="B432" s="3" t="str">
        <f ca="1">IFERROR(__xludf.DUMMYFUNCTION("GOOGLETRANSLATE(B432,""es"",""en"")"),"RT @tema0902: I don't understand how @AlanGarciaPeru CRITICIZES THE GOVERNMENT, with what morals if it has crime, money laundering, delinquency, No reconstruction in Pisco, Narco Pardons, Massacre in the Frontón, El Baguazo, Dólar Muc, bribes from ODB, Pe"&amp;"troaudios. DO YOU LIKE TROLLING?
https://t.co/fWoMHDzIHG")</f>
        <v>RT @tema0902: I don't understand how @AlanGarciaPeru CRITICIZES THE GOVERNMENT, with what morals if it has crime, money laundering, delinquency, No reconstruction in Pisco, Narco Pardons, Massacre in the Frontón, El Baguazo, Dólar Muc, bribes from ODB, Petroaudios. DO YOU LIKE TROLLING?
https://t.co/fWoMHDzIHG</v>
      </c>
      <c r="C432" s="2" t="s">
        <v>1016</v>
      </c>
      <c r="D432" s="1" t="s">
        <v>1017</v>
      </c>
    </row>
    <row r="433" spans="1:4" ht="15.75" customHeight="1" x14ac:dyDescent="0.15">
      <c r="A433" s="1" t="s">
        <v>1018</v>
      </c>
      <c r="B433" s="3" t="str">
        <f ca="1">IFERROR(__xludf.DUMMYFUNCTION("GOOGLETRANSLATE(B433,""es"",""en"")"),"RT @MilagrosLeivaG: Children who walk two or three hours to go to school. Unsheltered, only with their flip flops. And so we say that in Las Bambas you live like in Switzerland? 😞😡 https://t.co/JzlgU905xt")</f>
        <v>RT @MilagrosLeivaG: Children who walk two or three hours to go to school. Unsheltered, only with their flip flops. And so we say that in Las Bambas you live like in Switzerland? 😞😡 https://t.co/JzlgU905xt</v>
      </c>
      <c r="C433" s="2" t="s">
        <v>1019</v>
      </c>
      <c r="D433" s="1" t="s">
        <v>1020</v>
      </c>
    </row>
    <row r="434" spans="1:4" ht="15.75" customHeight="1" x14ac:dyDescent="0.15">
      <c r="A434" s="1" t="s">
        <v>1021</v>
      </c>
      <c r="B434" s="3" t="str">
        <f ca="1">IFERROR(__xludf.DUMMYFUNCTION("GOOGLETRANSLATE(B434,""es"",""en"")"),"RT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434" s="2" t="s">
        <v>1022</v>
      </c>
      <c r="D434" s="1" t="s">
        <v>1020</v>
      </c>
    </row>
    <row r="435" spans="1:4" ht="15.75" customHeight="1" x14ac:dyDescent="0.15">
      <c r="A435" s="1" t="s">
        <v>1023</v>
      </c>
      <c r="B435" s="3" t="str">
        <f ca="1">IFERROR(__xludf.DUMMYFUNCTION("GOOGLETRANSLATE(B435,""es"",""en"")"),"An analysis of the entire conflict that is being experienced in Las Bambas. The State is the most absent. From @SEMANAeconomica https://t.co/w4DEJnMDp6")</f>
        <v>An analysis of the entire conflict that is being experienced in Las Bambas. The State is the most absent. From @SEMANAeconomica https://t.co/w4DEJnMDp6</v>
      </c>
      <c r="C435" s="2" t="s">
        <v>1024</v>
      </c>
      <c r="D435" s="1" t="s">
        <v>1025</v>
      </c>
    </row>
    <row r="436" spans="1:4" ht="15.75" customHeight="1" x14ac:dyDescent="0.15">
      <c r="A436" s="1" t="s">
        <v>1026</v>
      </c>
      <c r="B436" s="3" t="str">
        <f ca="1">IFERROR(__xludf.DUMMYFUNCTION("GOOGLETRANSLATE(B436,""es"",""en"")"),"RT @MilagrosLeivaG: Children who walk two or three hours to go to school. Unsheltered, only with their flip flops. And so we say that in Las Bambas you live like in Switzerland? 😞😡 https://t.co/JzlgU905xt")</f>
        <v>RT @MilagrosLeivaG: Children who walk two or three hours to go to school. Unsheltered, only with their flip flops. And so we say that in Las Bambas you live like in Switzerland? 😞😡 https://t.co/JzlgU905xt</v>
      </c>
      <c r="C436" s="2" t="s">
        <v>1027</v>
      </c>
      <c r="D436" s="1" t="s">
        <v>1028</v>
      </c>
    </row>
    <row r="437" spans="1:4" ht="15.75" customHeight="1" x14ac:dyDescent="0.15">
      <c r="A437" s="1" t="s">
        <v>1029</v>
      </c>
      <c r="B437" s="3" t="str">
        <f ca="1">IFERROR(__xludf.DUMMYFUNCTION("GOOGLETRANSLATE(B437,""es"",""en"")"),"Nike sweatshirt: €50 chiclin
Nike pants: €40 chiclin
Adidas sneakers: €70 chiclin
That my girlfriend is the girl reading this: priceless")</f>
        <v>Nike sweatshirt: €50 chiclin
Nike pants: €40 chiclin
Adidas sneakers: €70 chiclin
That my girlfriend is the girl reading this: priceless</v>
      </c>
      <c r="C437" s="2" t="s">
        <v>1030</v>
      </c>
      <c r="D437" s="1" t="s">
        <v>1031</v>
      </c>
    </row>
    <row r="438" spans="1:4" ht="15.75" customHeight="1" x14ac:dyDescent="0.15">
      <c r="A438" s="1" t="s">
        <v>1032</v>
      </c>
      <c r="B438" s="3" t="str">
        <f ca="1">IFERROR(__xludf.DUMMYFUNCTION("GOOGLETRANSLATE(B438,""es"",""en"")"),"RT @EduarPlasencia: Mulder's ghost worker discovered
.And I worked. ghost of Jorge del Castillo.
They capture daredevils of the Velasquez Quesquén crime.
They capture Venezuelan criminals from Aragua who brought fujiapristas and killed police officers.
Po"&amp;"lice kill 3 farmers from Las Bambas https://t.co/P7virOmxjk")</f>
        <v>RT @EduarPlasencia: Mulder's ghost worker discovered
.And I worked. ghost of Jorge del Castillo.
They capture daredevils of the Velasquez Quesquén crime.
They capture Venezuelan criminals from Aragua who brought fujiapristas and killed police officers.
Police kill 3 farmers from Las Bambas https://t.co/P7virOmxjk</v>
      </c>
      <c r="C438" s="2" t="s">
        <v>1033</v>
      </c>
      <c r="D438" s="1" t="s">
        <v>1034</v>
      </c>
    </row>
    <row r="439" spans="1:4" ht="15.75" customHeight="1" x14ac:dyDescent="0.15">
      <c r="A439" s="1" t="s">
        <v>1035</v>
      </c>
      <c r="B439" s="3" t="str">
        <f ca="1">IFERROR(__xludf.DUMMYFUNCTION("GOOGLETRANSLATE(B439,""es"",""en"")"),"I don't know how my body will deal with not going out in sweats but going out in sneakers is not paid.")</f>
        <v>I don't know how my body will deal with not going out in sweats but going out in sneakers is not paid.</v>
      </c>
      <c r="C439" s="2" t="s">
        <v>1036</v>
      </c>
      <c r="D439" s="1" t="s">
        <v>1037</v>
      </c>
    </row>
    <row r="440" spans="1:4" ht="15.75" customHeight="1" x14ac:dyDescent="0.15">
      <c r="A440" s="1" t="s">
        <v>1038</v>
      </c>
      <c r="B440" s="3" t="str">
        <f ca="1">IFERROR(__xludf.DUMMYFUNCTION("GOOGLETRANSLATE(B440,""es"",""en"")"),"RT @jgodoym: Good editorial from @SEMANAeconomica about Las Bambas. We must kill the dog in the manger https://t.co/8TArvrmQMl")</f>
        <v>RT @jgodoym: Good editorial from @SEMANAeconomica about Las Bambas. We must kill the dog in the manger https://t.co/8TArvrmQMl</v>
      </c>
      <c r="C440" s="2" t="s">
        <v>1039</v>
      </c>
      <c r="D440" s="1" t="s">
        <v>1040</v>
      </c>
    </row>
    <row r="441" spans="1:4" ht="15.75" customHeight="1" x14ac:dyDescent="0.15">
      <c r="A441" s="1" t="s">
        <v>1041</v>
      </c>
      <c r="B441" s="3" t="str">
        <f ca="1">IFERROR(__xludf.DUMMYFUNCTION("GOOGLETRANSLATE(B441,""es"",""en"")"),"RT @canalN_: Both are legal advisors to the community of Fuerabamba, which has blocked the road at the entrance to the Las Bambas mine for more than 50 days https://t.co/EYKEHZWqBQ")</f>
        <v>RT @canalN_: Both are legal advisors to the community of Fuerabamba, which has blocked the road at the entrance to the Las Bambas mine for more than 50 days https://t.co/EYKEHZWqBQ</v>
      </c>
      <c r="C441" s="2" t="s">
        <v>1042</v>
      </c>
      <c r="D441" s="1" t="s">
        <v>1043</v>
      </c>
    </row>
    <row r="442" spans="1:4" ht="15.75" customHeight="1" x14ac:dyDescent="0.15">
      <c r="A442" s="1" t="s">
        <v>1044</v>
      </c>
      <c r="B442" s="3" t="str">
        <f ca="1">IFERROR(__xludf.DUMMYFUNCTION("GOOGLETRANSLATE(B442,""es"",""en"")"),"Happy Sunday:
""We're going to compromise so much that you're going to end up with barely any shoes.""
3min after you have enjoyed")</f>
        <v>Happy Sunday:
"We're going to compromise so much that you're going to end up with barely any shoes."
3min after you have enjoyed</v>
      </c>
      <c r="C442" s="2" t="s">
        <v>1045</v>
      </c>
      <c r="D442" s="1" t="s">
        <v>1043</v>
      </c>
    </row>
    <row r="443" spans="1:4" ht="15.75" customHeight="1" x14ac:dyDescent="0.15">
      <c r="A443" s="1" t="s">
        <v>1046</v>
      </c>
      <c r="B443" s="3" t="str">
        <f ca="1">IFERROR(__xludf.DUMMYFUNCTION("GOOGLETRANSLATE(B443,""es"",""en"")"),"RT @lamula: #LasBambas Did you think that the community members in the mining project area did not have the right to receive a payment? Did you think that the land through which the blocked road passes was not theirs? Here we explain this and more about t"&amp;"his conflict --&amp;gt; https://t.co/x48ljAPQPM
#MiningConflicts https://t.co/yCMZXGVRFT")</f>
        <v>RT @lamula: #LasBambas Did you think that the community members in the mining project area did not have the right to receive a payment? Did you think that the land through which the blocked road passes was not theirs? Here we explain this and more about this conflict --&amp;gt; https://t.co/x48ljAPQPM
#MiningConflicts https://t.co/yCMZXGVRFT</v>
      </c>
      <c r="C443" s="2" t="s">
        <v>1047</v>
      </c>
      <c r="D443" s="1" t="s">
        <v>1048</v>
      </c>
    </row>
    <row r="444" spans="1:4" ht="15.75" customHeight="1" x14ac:dyDescent="0.15">
      <c r="A444" s="1" t="s">
        <v>1049</v>
      </c>
      <c r="B444" s="3" t="str">
        <f ca="1">IFERROR(__xludf.DUMMYFUNCTION("GOOGLETRANSLATE(B444,""es"",""en"")"),"RT @jsaldanacuba: Brilliant article by Alfredo Torres about Las Bambas. He summarizes everything in the final sentence: ""The author is executive president of Ipsos Perú. The company has carried out studies for Las Bambas."" 
If I started there, there wa"&amp;"s no need to waste time reading more.
https://t.co/MB24a8kEgQ")</f>
        <v>RT @jsaldanacuba: Brilliant article by Alfredo Torres about Las Bambas. He summarizes everything in the final sentence: "The author is executive president of Ipsos Perú. The company has carried out studies for Las Bambas." 
If I started there, there was no need to waste time reading more.
https://t.co/MB24a8kEgQ</v>
      </c>
      <c r="C444" s="2" t="s">
        <v>1050</v>
      </c>
      <c r="D444" s="1" t="s">
        <v>1051</v>
      </c>
    </row>
    <row r="445" spans="1:4" ht="15.75" customHeight="1" x14ac:dyDescent="0.15">
      <c r="A445" s="1" t="s">
        <v>1052</v>
      </c>
      <c r="B445" s="3" t="str">
        <f ca="1">IFERROR(__xludf.DUMMYFUNCTION("GOOGLETRANSLATE(B445,""es"",""en"")"),"“Yes, it is undeniable that the Chávez Sotelo are two mercenaries, but focusing everything on them means ignoring the underlying problems.” “#LasBambas: let's kill the dog in the manger” is the editorial of @SEMANAeconomica. https://t.co/QLIILmTH7Y")</f>
        <v>“Yes, it is undeniable that the Chávez Sotelo are two mercenaries, but focusing everything on them means ignoring the underlying problems.” “#LasBambas: let's kill the dog in the manger” is the editorial of @SEMANAeconomica. https://t.co/QLIILmTH7Y</v>
      </c>
      <c r="C445" s="2" t="s">
        <v>1053</v>
      </c>
      <c r="D445" s="1" t="s">
        <v>1054</v>
      </c>
    </row>
    <row r="446" spans="1:4" ht="15.75" customHeight="1" x14ac:dyDescent="0.15">
      <c r="A446" s="1" t="s">
        <v>1055</v>
      </c>
      <c r="B446" s="3" t="str">
        <f ca="1">IFERROR(__xludf.DUMMYFUNCTION("GOOGLETRANSLATE(B446,""es"",""en"")"),"RT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446" s="2" t="s">
        <v>1056</v>
      </c>
      <c r="D446" s="1" t="s">
        <v>1057</v>
      </c>
    </row>
    <row r="447" spans="1:4" ht="15.75" customHeight="1" x14ac:dyDescent="0.15">
      <c r="A447" s="1" t="s">
        <v>1058</v>
      </c>
      <c r="B447" s="3" t="str">
        <f ca="1">IFERROR(__xludf.DUMMYFUNCTION("GOOGLETRANSLATE(B447,""es"",""en"")"),"@rodrigomorbey More: The keyboard/trackpad layer + kickstand set of the Surface Pro/Go is underrated until death. The biggest problem with the Surface Book is no kickstand. Faz ele ser o por device da família. Tinha everything to be or inverse
The Surfac"&amp;"e Studio is especially important to leave the shoes on")</f>
        <v>@rodrigomorbey More: The keyboard/trackpad layer + kickstand set of the Surface Pro/Go is underrated until death. The biggest problem with the Surface Book is no kickstand. Faz ele ser o por device da família. Tinha everything to be or inverse
The Surface Studio is especially important to leave the shoes on</v>
      </c>
      <c r="C447" s="2" t="s">
        <v>1059</v>
      </c>
      <c r="D447" s="1" t="s">
        <v>1060</v>
      </c>
    </row>
    <row r="448" spans="1:4" ht="15.75" customHeight="1" x14ac:dyDescent="0.15">
      <c r="A448" s="1" t="s">
        <v>1061</v>
      </c>
      <c r="B448" s="3" t="str">
        <f ca="1">IFERROR(__xludf.DUMMYFUNCTION("GOOGLETRANSLATE(B448,""es"",""en"")"),"RT @MilagrosLeivaG: Children who walk two or three hours to go to school. Unsheltered, only with their flip flops. And so we say that in Las Bambas you live like in Switzerland? 😞😡 https://t.co/JzlgU905xt")</f>
        <v>RT @MilagrosLeivaG: Children who walk two or three hours to go to school. Unsheltered, only with their flip flops. And so we say that in Las Bambas you live like in Switzerland? 😞😡 https://t.co/JzlgU905xt</v>
      </c>
      <c r="C448" s="2" t="s">
        <v>1062</v>
      </c>
      <c r="D448" s="1" t="s">
        <v>1060</v>
      </c>
    </row>
    <row r="449" spans="1:4" ht="15.75" customHeight="1" x14ac:dyDescent="0.15">
      <c r="A449" s="1" t="s">
        <v>200</v>
      </c>
      <c r="B449" s="3" t="str">
        <f ca="1">IFERROR(__xludf.DUMMYFUNCTION("GOOGLETRANSLATE(B449,""es"",""en"")"),"RT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449" s="2" t="s">
        <v>1063</v>
      </c>
      <c r="D449" s="1" t="s">
        <v>1064</v>
      </c>
    </row>
    <row r="450" spans="1:4" ht="15.75" customHeight="1" x14ac:dyDescent="0.15">
      <c r="A450" s="1" t="s">
        <v>1065</v>
      </c>
      <c r="B450" s="3" t="str">
        <f ca="1">IFERROR(__xludf.DUMMYFUNCTION("GOOGLETRANSLATE(B450,""es"",""en"")"),"With how inept they are, in the end they are going to give in to everything and then point less for Peru that paid millions per family to community members.
Now they want the Bambas to disappear. Extreme foolishness of deceitful lawyers who confront other"&amp;"s for money. https://t.co/vv0yajy4bV")</f>
        <v>With how inept they are, in the end they are going to give in to everything and then point less for Peru that paid millions per family to community members.
Now they want the Bambas to disappear. Extreme foolishness of deceitful lawyers who confront others for money. https://t.co/vv0yajy4bV</v>
      </c>
      <c r="C450" s="2" t="s">
        <v>1066</v>
      </c>
      <c r="D450" s="1" t="s">
        <v>1067</v>
      </c>
    </row>
    <row r="451" spans="1:4" ht="15.75" customHeight="1" x14ac:dyDescent="0.15">
      <c r="A451" s="1" t="s">
        <v>1068</v>
      </c>
      <c r="B451" s="3" t="str">
        <f ca="1">IFERROR(__xludf.DUMMYFUNCTION("GOOGLETRANSLATE(B451,""es"",""en"")"),"Las Bambas: Glencore ruled out construction of a mineral pipeline, according to MMG https://t.co/xxBzw3CwMy https://t.co/f9gI7z1cF0")</f>
        <v>Las Bambas: Glencore ruled out construction of a mineral pipeline, according to MMG https://t.co/xxBzw3CwMy https://t.co/f9gI7z1cF0</v>
      </c>
      <c r="C451" s="2" t="s">
        <v>1069</v>
      </c>
      <c r="D451" s="1" t="s">
        <v>1067</v>
      </c>
    </row>
    <row r="452" spans="1:4" ht="15.75" customHeight="1" x14ac:dyDescent="0.15">
      <c r="A452" s="1" t="s">
        <v>1070</v>
      </c>
      <c r="B452" s="3" t="str">
        <f ca="1">IFERROR(__xludf.DUMMYFUNCTION("GOOGLETRANSLATE(B452,""es"",""en"")"),"RT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452" s="2" t="s">
        <v>1071</v>
      </c>
      <c r="D452" s="1" t="s">
        <v>1067</v>
      </c>
    </row>
    <row r="453" spans="1:4" ht="15.75" customHeight="1" x14ac:dyDescent="0.15">
      <c r="A453" s="1" t="s">
        <v>1072</v>
      </c>
      <c r="B453" s="3" t="str">
        <f ca="1">IFERROR(__xludf.DUMMYFUNCTION("GOOGLETRANSLATE(B453,""es"",""en"")"),"RT @Politica_LR: Las Bambas: they suspend hearing against the Chávez Sotelo brothers #VIDEO
 ► https://t.co/DvEtZs8Oqe https://t.co/CICt09pftm")</f>
        <v>RT @Politica_LR: Las Bambas: they suspend hearing against the Chávez Sotelo brothers #VIDEO
 ► https://t.co/DvEtZs8Oqe https://t.co/CICt09pftm</v>
      </c>
      <c r="C453" s="2" t="s">
        <v>1073</v>
      </c>
      <c r="D453" s="1" t="s">
        <v>1074</v>
      </c>
    </row>
    <row r="454" spans="1:4" ht="15.75" customHeight="1" x14ac:dyDescent="0.15">
      <c r="A454" s="1" t="s">
        <v>1075</v>
      </c>
      <c r="B454" s="3" t="str">
        <f ca="1">IFERROR(__xludf.DUMMYFUNCTION("GOOGLETRANSLATE(B454,""es"",""en"")"),"RT @matuk: @rmapalacios 1) Road that crosses Yavi-Yavi did not exist before the purchase of Las Bambas 
2) Easement did not exist when Las Bambas bought Yavi-Yavi
3) Easement is registered when Las Bambas is the owner of Yavi-Yavi
4) Las Bambas delivers Y"&amp;"avi-Yavi with bondage
5) Yavi-Yavi = Trojan Horse")</f>
        <v>RT @matuk: @rmapalacios 1) Road that crosses Yavi-Yavi did not exist before the purchase of Las Bambas 
2) Easement did not exist when Las Bambas bought Yavi-Yavi
3) Easement is registered when Las Bambas is the owner of Yavi-Yavi
4) Las Bambas delivers Yavi-Yavi with bondage
5) Yavi-Yavi = Trojan Horse</v>
      </c>
      <c r="C454" s="2" t="s">
        <v>1076</v>
      </c>
      <c r="D454" s="1" t="s">
        <v>1077</v>
      </c>
    </row>
    <row r="455" spans="1:4" ht="15.75" customHeight="1" x14ac:dyDescent="0.15">
      <c r="A455" s="1" t="s">
        <v>1078</v>
      </c>
      <c r="B455" s="3" t="str">
        <f ca="1">IFERROR(__xludf.DUMMYFUNCTION("GOOGLETRANSLATE(B455,""es"",""en"")"),"@DalasDiosa @Alessandro__Lol I love your body, your sneakers and everything 😍 WHY DID THEY TELL YOU FAT????? THEY DON'T LOOK GOOD FROM WHAT I SEE. SEND THEM TO FUCK THEM ASS 🤬🤬🤬🤬")</f>
        <v>@DalasDiosa @Alessandro__Lol I love your body, your sneakers and everything 😍 WHY DID THEY TELL YOU FAT????? THEY DON'T LOOK GOOD FROM WHAT I SEE. SEND THEM TO FUCK THEM ASS 🤬🤬🤬🤬</v>
      </c>
      <c r="C455" s="2" t="s">
        <v>1079</v>
      </c>
      <c r="D455" s="1" t="s">
        <v>1077</v>
      </c>
    </row>
    <row r="456" spans="1:4" ht="15.75" customHeight="1" x14ac:dyDescent="0.15">
      <c r="A456" s="1" t="s">
        <v>1080</v>
      </c>
      <c r="B456" s="3" t="str">
        <f ca="1">IFERROR(__xludf.DUMMYFUNCTION("GOOGLETRANSLATE(B456,""es"",""en"")"),"@MARTINANTONIO @HiromiHiga @MilagrosLeivaG @atvpe review ignobestia https://t.co/PzVjYFru5M")</f>
        <v>@MARTINANTONIO @HiromiHiga @MilagrosLeivaG @atvpe review ignobestia https://t.co/PzVjYFru5M</v>
      </c>
      <c r="C456" s="2" t="s">
        <v>1081</v>
      </c>
      <c r="D456" s="1" t="s">
        <v>1082</v>
      </c>
    </row>
    <row r="457" spans="1:4" ht="15.75" customHeight="1" x14ac:dyDescent="0.15">
      <c r="A457" s="1" t="s">
        <v>1083</v>
      </c>
      <c r="B457" s="3" t="str">
        <f ca="1">IFERROR(__xludf.DUMMYFUNCTION("GOOGLETRANSLATE(B457,""es"",""en"")"),"RT @pruperu: How many of us would be freed if we drunks ran over police officers?
That “we are all equal before the law” is a simple saying that has nothing to do with reality https://t.co/1r2itujVVi")</f>
        <v>RT @pruperu: How many of us would be freed if we drunks ran over police officers?
That “we are all equal before the law” is a simple saying that has nothing to do with reality https://t.co/1r2itujVVi</v>
      </c>
      <c r="C457" s="2" t="s">
        <v>1084</v>
      </c>
      <c r="D457" s="1" t="s">
        <v>1082</v>
      </c>
    </row>
    <row r="458" spans="1:4" ht="15.75" customHeight="1" x14ac:dyDescent="0.15">
      <c r="A458" s="1" t="s">
        <v>1085</v>
      </c>
      <c r="B458" s="3" t="str">
        <f ca="1">IFERROR(__xludf.DUMMYFUNCTION("GOOGLETRANSLATE(B458,""es"",""en"")"),"RT @JaimeteleSUR: #Perú With the intermediation of the church and the Ombudsman's Office. State, MMG Las Bambas mining company and Fuerabamba community will resume dialogue after releasing their leader Gregorio Rojas 
@ConexiontlSUR https://t.co/6T70TUk4T"&amp;"o")</f>
        <v>RT @JaimeteleSUR: #Perú With the intermediation of the church and the Ombudsman's Office. State, MMG Las Bambas mining company and Fuerabamba community will resume dialogue after releasing their leader Gregorio Rojas 
@ConexiontlSUR https://t.co/6T70TUk4To</v>
      </c>
      <c r="C458" s="2" t="s">
        <v>1086</v>
      </c>
      <c r="D458" s="1" t="s">
        <v>1082</v>
      </c>
    </row>
    <row r="459" spans="1:4" ht="15.75" customHeight="1" x14ac:dyDescent="0.15">
      <c r="A459" s="1" t="s">
        <v>115</v>
      </c>
      <c r="B459" s="3" t="str">
        <f ca="1">IFERROR(__xludf.DUMMYFUNCTION("GOOGLETRANSLATE(B459,""es"",""en"")"),"RT @pruperu: How many of us would be freed if we drunks ran over police officers?
That “we are all equal before the law” is a simple saying that has nothing to do with reality https://t.co/1r2itujVVi")</f>
        <v>RT @pruperu: How many of us would be freed if we drunks ran over police officers?
That “we are all equal before the law” is a simple saying that has nothing to do with reality https://t.co/1r2itujVVi</v>
      </c>
      <c r="C459" s="2" t="s">
        <v>1087</v>
      </c>
      <c r="D459" s="1" t="s">
        <v>1088</v>
      </c>
    </row>
    <row r="460" spans="1:4" ht="15.75" customHeight="1" x14ac:dyDescent="0.15">
      <c r="A460" s="1" t="s">
        <v>1089</v>
      </c>
      <c r="B460" s="3" t="str">
        <f ca="1">IFERROR(__xludf.DUMMYFUNCTION("GOOGLETRANSLATE(B460,""es"",""en"")"),"@MilagrosLeivaG Who said that in sneakers you live like you do in Switzerland? 
Nueva Fuerabamba has been compared to Switzerland due to the similarity of its houses, which is true.
Are you a journalist or a troll?")</f>
        <v>@MilagrosLeivaG Who said that in sneakers you live like you do in Switzerland? 
Nueva Fuerabamba has been compared to Switzerland due to the similarity of its houses, which is true.
Are you a journalist or a troll?</v>
      </c>
      <c r="C460" s="2" t="s">
        <v>1090</v>
      </c>
      <c r="D460" s="1" t="s">
        <v>1091</v>
      </c>
    </row>
    <row r="461" spans="1:4" ht="15.75" customHeight="1" x14ac:dyDescent="0.15">
      <c r="A461" s="1" t="s">
        <v>135</v>
      </c>
      <c r="B461" s="3" t="str">
        <f ca="1">IFERROR(__xludf.DUMMYFUNCTION("GOOGLETRANSLATE(B461,""es"",""en"")"),"RT @cnddhh: 🔴[#ATTENTION] We share the statement issued today on @larepublica_pe 
🔼ABOUT THE LAS BAMBAS CONFLICT:
ELEMENTS FOR A DIALOGUE, PEACEFUL AND DURABLE EXIT. https://t.co/SaN1D026DH")</f>
        <v>RT @cnddhh: 🔴[#ATTENTION] We share the statement issued today on @larepublica_pe 
🔼ABOUT THE LAS BAMBAS CONFLICT:
ELEMENTS FOR A DIALOGUE, PEACEFUL AND DURABLE EXIT. https://t.co/SaN1D026DH</v>
      </c>
      <c r="C461" s="2" t="s">
        <v>1092</v>
      </c>
      <c r="D461" s="1" t="s">
        <v>1093</v>
      </c>
    </row>
    <row r="462" spans="1:4" ht="15.75" customHeight="1" x14ac:dyDescent="0.15">
      <c r="A462" s="1" t="s">
        <v>1094</v>
      </c>
      <c r="B462" s="3" t="str">
        <f ca="1">IFERROR(__xludf.DUMMYFUNCTION("GOOGLETRANSLATE(B462,""es"",""en"")"),"RT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462" s="2" t="s">
        <v>1095</v>
      </c>
      <c r="D462" s="1" t="s">
        <v>1093</v>
      </c>
    </row>
    <row r="463" spans="1:4" ht="15.75" customHeight="1" x14ac:dyDescent="0.15">
      <c r="A463" s="1" t="s">
        <v>1096</v>
      </c>
      <c r="B463" s="3" t="str">
        <f ca="1">IFERROR(__xludf.DUMMYFUNCTION("GOOGLETRANSLATE(B463,""es"",""en"")"),"RT @godtaehx: de acordo com o seu mês de aniversário, pra quem você daria até até nas pernas ficarem sneakers?
jan-taehyung 
fev-jimin
mar- jungkook
abr- namjoon
mai-hoseok
jun-jin
jul- bts inteiro 
ago-yoongi 
set- hoseok
out-taehyung 
Nov - Jungkook 
d"&amp;"ez-jimin")</f>
        <v>RT @godtaehx: de acordo com o seu mês de aniversário, pra quem você daria até até nas pernas ficarem sneakers?
jan-taehyung 
fev-jimin
mar- jungkook
abr- namjoon
mai-hoseok
jun-jin
jul- bts inteiro 
ago-yoongi 
set- hoseok
out-taehyung 
Nov - Jungkook 
dez-jimin</v>
      </c>
      <c r="C463" s="2" t="s">
        <v>1097</v>
      </c>
      <c r="D463" s="1" t="s">
        <v>1098</v>
      </c>
    </row>
    <row r="464" spans="1:4" ht="15.75" customHeight="1" x14ac:dyDescent="0.15">
      <c r="A464" s="1" t="s">
        <v>1099</v>
      </c>
      <c r="B464" s="3" t="str">
        <f ca="1">IFERROR(__xludf.DUMMYFUNCTION("GOOGLETRANSLATE(B464,""es"",""en"")"),"@MilagrosLeivaG Until now I haven't heard anything about the Sneakers from any Congressman, they are quiet... xk it will be ‼️")</f>
        <v>@MilagrosLeivaG Until now I haven't heard anything about the Sneakers from any Congressman, they are quiet... xk it will be ‼️</v>
      </c>
      <c r="C464" s="2" t="s">
        <v>1100</v>
      </c>
      <c r="D464" s="1" t="s">
        <v>1101</v>
      </c>
    </row>
    <row r="465" spans="1:4" ht="15.75" customHeight="1" x14ac:dyDescent="0.15">
      <c r="A465" s="1" t="s">
        <v>1102</v>
      </c>
      <c r="B465" s="3" t="str">
        <f ca="1">IFERROR(__xludf.DUMMYFUNCTION("GOOGLETRANSLATE(B465,""es"",""en"")"),"RT @pruperu: How many of us would be freed if we drunks ran over police officers?
That “we are all equal before the law” is a simple saying that has nothing to do with reality https://t.co/1r2itujVVi")</f>
        <v>RT @pruperu: How many of us would be freed if we drunks ran over police officers?
That “we are all equal before the law” is a simple saying that has nothing to do with reality https://t.co/1r2itujVVi</v>
      </c>
      <c r="C465" s="2" t="s">
        <v>1103</v>
      </c>
      <c r="D465" s="1" t="s">
        <v>1101</v>
      </c>
    </row>
    <row r="466" spans="1:4" ht="15.75" customHeight="1" x14ac:dyDescent="0.15">
      <c r="A466" s="1" t="s">
        <v>1104</v>
      </c>
      <c r="B466" s="3" t="str">
        <f ca="1">IFERROR(__xludf.DUMMYFUNCTION("GOOGLETRANSLATE(B466,""es"",""en"")"),"RT @Jessica48396615: True @MazaBera errors by @MartinVizcarraC and fall in polls: Las Bambas; hire Fujiapristas; Tuesta Commission: Bicamerality and eliminate Prohibition; Put or ratify questioned MINSA, MINAG, MININTER, Produce, MEM, Environment Housing,"&amp;" AFP, Cuellos Blancos regroup https://t.co/WjOPLU1s9E")</f>
        <v>RT @Jessica48396615: True @MazaBera errors by @MartinVizcarraC and fall in polls: Las Bambas; hire Fujiapristas; Tuesta Commission: Bicamerality and eliminate Prohibition; Put or ratify questioned MINSA, MINAG, MININTER, Produce, MEM, Environment Housing, AFP, Cuellos Blancos regroup https://t.co/WjOPLU1s9E</v>
      </c>
      <c r="C466" s="2" t="s">
        <v>1105</v>
      </c>
      <c r="D466" s="1" t="s">
        <v>1106</v>
      </c>
    </row>
    <row r="467" spans="1:4" ht="15.75" customHeight="1" x14ac:dyDescent="0.15">
      <c r="A467" s="1" t="s">
        <v>569</v>
      </c>
      <c r="B467" s="3" t="str">
        <f ca="1">IFERROR(__xludf.DUMMYFUNCTION("GOOGLETRANSLATE(B467,""es"",""en"")"),"RT @davidreyesz: “Yes, it is undeniable that the Chávez Sotelos are two mercenaries, but focusing everything on them means ignoring the underlying problems.” “#LasBambas: let's kill the dog in the manger” is the editorial of @SEMANAeconomica. https://t.co"&amp;"/QLIILmTH7Y")</f>
        <v>RT @davidreyesz: “Yes, it is undeniable that the Chávez Sotelos are two mercenaries, but focusing everything on them means ignoring the underlying problems.” “#LasBambas: let's kill the dog in the manger” is the editorial of @SEMANAeconomica. https://t.co/QLIILmTH7Y</v>
      </c>
      <c r="C467" s="2" t="s">
        <v>1107</v>
      </c>
      <c r="D467" s="1" t="s">
        <v>1108</v>
      </c>
    </row>
    <row r="468" spans="1:4" ht="15.75" customHeight="1" x14ac:dyDescent="0.15">
      <c r="A468" s="1" t="s">
        <v>1109</v>
      </c>
      <c r="B468" s="3" t="str">
        <f ca="1">IFERROR(__xludf.DUMMYFUNCTION("GOOGLETRANSLATE(B468,""es"",""en"")"),"Government estimates paying S/ 350 million to overcome conflict in Las Bambas https://t.co/pgd25U4HuN")</f>
        <v>Government estimates paying S/ 350 million to overcome conflict in Las Bambas https://t.co/pgd25U4HuN</v>
      </c>
      <c r="C468" s="2" t="s">
        <v>1110</v>
      </c>
      <c r="D468" s="1" t="s">
        <v>1108</v>
      </c>
    </row>
    <row r="469" spans="1:4" ht="15.75" customHeight="1" x14ac:dyDescent="0.15">
      <c r="A469" s="1" t="s">
        <v>1111</v>
      </c>
      <c r="B469" s="3" t="str">
        <f ca="1">IFERROR(__xludf.DUMMYFUNCTION("GOOGLETRANSLATE(B469,""es"",""en"")"),"I need the green and black sneakers from Peter's video 😍
#GotTalentLive1")</f>
        <v>I need the green and black sneakers from Peter's video 😍
#GotTalentLive1</v>
      </c>
      <c r="C469" s="2" t="s">
        <v>1112</v>
      </c>
      <c r="D469" s="1" t="s">
        <v>1108</v>
      </c>
    </row>
    <row r="470" spans="1:4" ht="15.75" customHeight="1" x14ac:dyDescent="0.15">
      <c r="A470" s="1" t="s">
        <v>1113</v>
      </c>
      <c r="B470" s="3" t="str">
        <f ca="1">IFERROR(__xludf.DUMMYFUNCTION("GOOGLETRANSLATE(B470,""es"",""en"")"),"RT @MilagrosLeivaG: Children who walk two or three hours to go to school. Unsheltered, only with their flip flops. And so we say that in Las Bambas you live like in Switzerland? 😞😡 https://t.co/JzlgU905xt")</f>
        <v>RT @MilagrosLeivaG: Children who walk two or three hours to go to school. Unsheltered, only with their flip flops. And so we say that in Las Bambas you live like in Switzerland? 😞😡 https://t.co/JzlgU905xt</v>
      </c>
      <c r="C470" s="2" t="s">
        <v>1114</v>
      </c>
      <c r="D470" s="1" t="s">
        <v>1108</v>
      </c>
    </row>
    <row r="471" spans="1:4" ht="15.75" customHeight="1" x14ac:dyDescent="0.15">
      <c r="A471" s="1" t="s">
        <v>1115</v>
      </c>
      <c r="B471" s="3" t="str">
        <f ca="1">IFERROR(__xludf.DUMMYFUNCTION("GOOGLETRANSLATE(B471,""es"",""en"")"),"This is an excellent text to better understand the conflict in Las Bambas.
""In the agonizing idea of ​​saving investment in the project, the mining company incubated a social conflict and the sector authorities, lacking sense of smell or not having lear"&amp;"ned lessons, allowed it."" https://t.co/EolqjOhjCa")</f>
        <v>This is an excellent text to better understand the conflict in Las Bambas.
"In the agonizing idea of ​​saving investment in the project, the mining company incubated a social conflict and the sector authorities, lacking sense of smell or not having learned lessons, allowed it." https://t.co/EolqjOhjCa</v>
      </c>
      <c r="C471" s="2" t="s">
        <v>1116</v>
      </c>
      <c r="D471" s="1" t="s">
        <v>1108</v>
      </c>
    </row>
    <row r="472" spans="1:4" ht="15.75" customHeight="1" x14ac:dyDescent="0.15">
      <c r="A472" s="1" t="s">
        <v>1117</v>
      </c>
      <c r="B472" s="3" t="str">
        <f ca="1">IFERROR(__xludf.DUMMYFUNCTION("GOOGLETRANSLATE(B472,""es"",""en"")"),"RT @luuucarmons: It makes me so angry that in a store there are a thousand models of soccer shoes and that there are 3 for basketball and for boys")</f>
        <v>RT @luuucarmons: It makes me so angry that in a store there are a thousand models of soccer shoes and that there are 3 for basketball and for boys</v>
      </c>
      <c r="C472" s="2" t="s">
        <v>1118</v>
      </c>
      <c r="D472" s="1" t="s">
        <v>1119</v>
      </c>
    </row>
    <row r="473" spans="1:4" ht="15.75" customHeight="1" x14ac:dyDescent="0.15">
      <c r="A473" s="1" t="s">
        <v>1120</v>
      </c>
      <c r="B473" s="3" t="str">
        <f ca="1">IFERROR(__xludf.DUMMYFUNCTION("GOOGLETRANSLATE(B473,""es"",""en"")"),"RT @davidreyesz: “Yes, it is undeniable that the Chávez Sotelos are two mercenaries, but focusing everything on them means ignoring the underlying problems.” “#LasBambas: let's kill the dog in the manger” is the editorial of @SEMANAeconomica. https://t.co"&amp;"/QLIILmTH7Y")</f>
        <v>RT @davidreyesz: “Yes, it is undeniable that the Chávez Sotelos are two mercenaries, but focusing everything on them means ignoring the underlying problems.” “#LasBambas: let's kill the dog in the manger” is the editorial of @SEMANAeconomica. https://t.co/QLIILmTH7Y</v>
      </c>
      <c r="C473" s="2" t="s">
        <v>1121</v>
      </c>
      <c r="D473" s="1" t="s">
        <v>1122</v>
      </c>
    </row>
    <row r="474" spans="1:4" ht="15.75" customHeight="1" x14ac:dyDescent="0.15">
      <c r="A474" s="1" t="s">
        <v>1123</v>
      </c>
      <c r="B474" s="3" t="str">
        <f ca="1">IFERROR(__xludf.DUMMYFUNCTION("GOOGLETRANSLATE(B474,""es"",""en"")"),"RT @tema0902: I don't understand how @AlanGarciaPeru CRITICIZES THE GOVERNMENT, with what morals if it has crime, money laundering, delinquency, No reconstruction in Pisco, Narco Pardons, Massacre in the Frontón, El Baguazo, Dólar Muc, bribes from ODB, Pe"&amp;"troaudios. DO YOU LIKE TROLLING?
https://t.co/fWoMHDzIHG")</f>
        <v>RT @tema0902: I don't understand how @AlanGarciaPeru CRITICIZES THE GOVERNMENT, with what morals if it has crime, money laundering, delinquency, No reconstruction in Pisco, Narco Pardons, Massacre in the Frontón, El Baguazo, Dólar Muc, bribes from ODB, Petroaudios. DO YOU LIKE TROLLING?
https://t.co/fWoMHDzIHG</v>
      </c>
      <c r="C474" s="2" t="s">
        <v>1124</v>
      </c>
      <c r="D474" s="1" t="s">
        <v>1125</v>
      </c>
    </row>
    <row r="475" spans="1:4" ht="15.75" customHeight="1" x14ac:dyDescent="0.15">
      <c r="A475" s="1" t="s">
        <v>1126</v>
      </c>
      <c r="B475" s="3" t="str">
        <f ca="1">IFERROR(__xludf.DUMMYFUNCTION("GOOGLETRANSLATE(B475,""es"",""en"")"),"@romina_mella @IDL_R Mindless trolls by the PROSTITUTED press, by the degenerates and cowards of the IDL. Now, say something about the Bambas, about the faggots of Humalita and Vizcarriti.")</f>
        <v>@romina_mella @IDL_R Mindless trolls by the PROSTITUTED press, by the degenerates and cowards of the IDL. Now, say something about the Bambas, about the faggots of Humalita and Vizcarriti.</v>
      </c>
      <c r="C475" s="2" t="s">
        <v>1127</v>
      </c>
      <c r="D475" s="1" t="s">
        <v>1125</v>
      </c>
    </row>
    <row r="476" spans="1:4" ht="15.75" customHeight="1" x14ac:dyDescent="0.15">
      <c r="A476" s="1" t="s">
        <v>1128</v>
      </c>
      <c r="B476" s="3" t="str">
        <f ca="1">IFERROR(__xludf.DUMMYFUNCTION("GOOGLETRANSLATE(B476,""es"",""en"")"),"RT @_CarlitaRocha: Destructive journalism from @elcomercio_peru, for @gvillasis it is more “serious” that @YeniVilcatoma2 is carrying out inspection work, than the crisis in Las Bambas, than the anemia, than the growing crime. With this irresponsible jour"&amp;"nalism that misinforms we make no progress!! https://t.co/75hFOecMUP")</f>
        <v>RT @_CarlitaRocha: Destructive journalism from @elcomercio_peru, for @gvillasis it is more “serious” that @YeniVilcatoma2 is carrying out inspection work, than the crisis in Las Bambas, than the anemia, than the growing crime. With this irresponsible journalism that misinforms we make no progress!! https://t.co/75hFOecMUP</v>
      </c>
      <c r="C476" s="2" t="s">
        <v>1129</v>
      </c>
      <c r="D476" s="1" t="s">
        <v>1130</v>
      </c>
    </row>
    <row r="477" spans="1:4" ht="15.75" customHeight="1" x14ac:dyDescent="0.15">
      <c r="A477" s="1" t="s">
        <v>1131</v>
      </c>
      <c r="B477" s="3" t="str">
        <f ca="1">IFERROR(__xludf.DUMMYFUNCTION("GOOGLETRANSLATE(B477,""es"",""en"")"),"RT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477" s="2" t="s">
        <v>1132</v>
      </c>
      <c r="D477" s="1" t="s">
        <v>1133</v>
      </c>
    </row>
    <row r="478" spans="1:4" ht="15.75" customHeight="1" x14ac:dyDescent="0.15">
      <c r="A478" s="1" t="s">
        <v>1134</v>
      </c>
      <c r="B478" s="3" t="str">
        <f ca="1">IFERROR(__xludf.DUMMYFUNCTION("GOOGLETRANSLATE(B478,""es"",""en"")"),"Dr. Eduardo Dargent, professor at the Faculty of Social Sciences at PUCP and member of our research center, shares his impressions about the conflict in Fuerabamba.
https://t.co/ZENeskJxHb")</f>
        <v>Dr. Eduardo Dargent, professor at the Faculty of Social Sciences at PUCP and member of our research center, shares his impressions about the conflict in Fuerabamba.
https://t.co/ZENeskJxHb</v>
      </c>
      <c r="C478" s="2" t="s">
        <v>1135</v>
      </c>
      <c r="D478" s="1" t="s">
        <v>1136</v>
      </c>
    </row>
    <row r="479" spans="1:4" ht="15.75" customHeight="1" x14ac:dyDescent="0.15">
      <c r="A479" s="1" t="s">
        <v>1137</v>
      </c>
      <c r="B479" s="3" t="str">
        <f ca="1">IFERROR(__xludf.DUMMYFUNCTION("GOOGLETRANSLATE(B479,""es"",""en"")"),"#LasBambas The disagreements between the leaders of Fuerabamba and the authorities of Apurímac, the absence of dialogue and distrust towards the government are the main characteristics of the protest in Challhuahuacho against the Chinese mining company MM"&amp;"G. https://t.co/UCH9ljxxuZ")</f>
        <v>#LasBambas The disagreements between the leaders of Fuerabamba and the authorities of Apurímac, the absence of dialogue and distrust towards the government are the main characteristics of the protest in Challhuahuacho against the Chinese mining company MMG. https://t.co/UCH9ljxxuZ</v>
      </c>
      <c r="C479" s="2" t="s">
        <v>1138</v>
      </c>
      <c r="D479" s="1" t="s">
        <v>1136</v>
      </c>
    </row>
    <row r="480" spans="1:4" ht="15.75" customHeight="1" x14ac:dyDescent="0.15">
      <c r="A480" s="1" t="s">
        <v>1139</v>
      </c>
      <c r="B480" s="3" t="str">
        <f ca="1">IFERROR(__xludf.DUMMYFUNCTION("GOOGLETRANSLATE(B480,""es"",""en"")"),"@MilagrosLeivaG Tell your boss Alan to take care of them, he is worried about anemia now he should take care of the shoes there there must also be anemia")</f>
        <v>@MilagrosLeivaG Tell your boss Alan to take care of them, he is worried about anemia now he should take care of the shoes there there must also be anemia</v>
      </c>
      <c r="C480" s="2" t="s">
        <v>1140</v>
      </c>
      <c r="D480" s="1" t="s">
        <v>1141</v>
      </c>
    </row>
    <row r="481" spans="1:4" ht="15.75" customHeight="1" x14ac:dyDescent="0.15">
      <c r="A481" s="1" t="s">
        <v>1142</v>
      </c>
      <c r="B481" s="3" t="str">
        <f ca="1">IFERROR(__xludf.DUMMYFUNCTION("GOOGLETRANSLATE(B481,""es"",""en"")"),"RT @Ojo_Publico: #LasBambas The disagreements between the leaders of Fuerabamba and the authorities of Apurímac, the absence of dialogue and distrust of the government are the main characteristics of the protest in Challhuahuacho against the Chinese minin"&amp;"g company MMG. https://t.co/UCH9ljxxuZ")</f>
        <v>RT @Ojo_Publico: #LasBambas The disagreements between the leaders of Fuerabamba and the authorities of Apurímac, the absence of dialogue and distrust of the government are the main characteristics of the protest in Challhuahuacho against the Chinese mining company MMG. https://t.co/UCH9ljxxuZ</v>
      </c>
      <c r="C481" s="2" t="s">
        <v>1143</v>
      </c>
      <c r="D481" s="1" t="s">
        <v>1141</v>
      </c>
    </row>
    <row r="482" spans="1:4" ht="15.75" customHeight="1" x14ac:dyDescent="0.15">
      <c r="A482" s="1" t="s">
        <v>1144</v>
      </c>
      <c r="B482" s="3" t="str">
        <f ca="1">IFERROR(__xludf.DUMMYFUNCTION("GOOGLETRANSLATE(B482,""es"",""en"")"),"Between the scooter club that I just saw on my website, the advertising for the most beautiful sneakers in the world (which I can't buy) and my cold, I don't live today.  Really.")</f>
        <v>Between the scooter club that I just saw on my website, the advertising for the most beautiful sneakers in the world (which I can't buy) and my cold, I don't live today.  Really.</v>
      </c>
      <c r="C482" s="2" t="s">
        <v>1145</v>
      </c>
      <c r="D482" s="1" t="s">
        <v>1146</v>
      </c>
    </row>
    <row r="483" spans="1:4" ht="15.75" customHeight="1" x14ac:dyDescent="0.15">
      <c r="A483" s="1" t="s">
        <v>1147</v>
      </c>
      <c r="B483" s="3" t="str">
        <f ca="1">IFERROR(__xludf.DUMMYFUNCTION("GOOGLETRANSLATE(B483,""es"",""en"")"),"RT @_CarlitaRocha: Destructive journalism from @elcomercio_peru, for @gvillasis it is more “serious” that @YeniVilcatoma2 is carrying out inspection work, than the crisis in Las Bambas, than the anemia, than the growing crime. With this irresponsible jour"&amp;"nalism that misinforms we make no progress!! https://t.co/75hFOecMUP")</f>
        <v>RT @_CarlitaRocha: Destructive journalism from @elcomercio_peru, for @gvillasis it is more “serious” that @YeniVilcatoma2 is carrying out inspection work, than the crisis in Las Bambas, than the anemia, than the growing crime. With this irresponsible journalism that misinforms we make no progress!! https://t.co/75hFOecMUP</v>
      </c>
      <c r="C483" s="2" t="s">
        <v>1148</v>
      </c>
      <c r="D483" s="1" t="s">
        <v>1146</v>
      </c>
    </row>
    <row r="484" spans="1:4" ht="15.75" customHeight="1" x14ac:dyDescent="0.15">
      <c r="A484" s="1" t="s">
        <v>1149</v>
      </c>
      <c r="B484" s="3" t="str">
        <f ca="1">IFERROR(__xludf.DUMMYFUNCTION("GOOGLETRANSLATE(B484,""es"",""en"")"),"RT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484" s="2" t="s">
        <v>1150</v>
      </c>
      <c r="D484" s="1" t="s">
        <v>1151</v>
      </c>
    </row>
    <row r="485" spans="1:4" ht="15.75" customHeight="1" x14ac:dyDescent="0.15">
      <c r="A485" s="1" t="s">
        <v>1152</v>
      </c>
      <c r="B485" s="3" t="str">
        <f ca="1">IFERROR(__xludf.DUMMYFUNCTION("GOOGLETRANSLATE(B485,""es"",""en"")"),"RT @Ojo_Publico: #LasBambas The disagreements between the leaders of Fuerabamba and the authorities of Apurímac, the absence of dialogue and distrust of the government are the main characteristics of the protest in Challhuahuacho against the Chinese minin"&amp;"g company MMG. https://t.co/UCH9ljxxuZ")</f>
        <v>RT @Ojo_Publico: #LasBambas The disagreements between the leaders of Fuerabamba and the authorities of Apurímac, the absence of dialogue and distrust of the government are the main characteristics of the protest in Challhuahuacho against the Chinese mining company MMG. https://t.co/UCH9ljxxuZ</v>
      </c>
      <c r="C485" s="2" t="s">
        <v>1153</v>
      </c>
      <c r="D485" s="1" t="s">
        <v>1151</v>
      </c>
    </row>
    <row r="486" spans="1:4" ht="15.75" customHeight="1" x14ac:dyDescent="0.15">
      <c r="A486" s="1" t="s">
        <v>1154</v>
      </c>
      <c r="B486" s="3" t="str">
        <f ca="1">IFERROR(__xludf.DUMMYFUNCTION("GOOGLETRANSLATE(B486,""es"",""en"")"),"Why do you have legs like these sneakers? Kkkkk🤣")</f>
        <v>Why do you have legs like these sneakers? Kkkkk🤣</v>
      </c>
      <c r="C486" s="2" t="s">
        <v>1155</v>
      </c>
      <c r="D486" s="1" t="s">
        <v>1156</v>
      </c>
    </row>
    <row r="487" spans="1:4" ht="15.75" customHeight="1" x14ac:dyDescent="0.15">
      <c r="A487" s="1" t="s">
        <v>1157</v>
      </c>
      <c r="B487" s="3" t="str">
        <f ca="1">IFERROR(__xludf.DUMMYFUNCTION("GOOGLETRANSLATE(B487,""es"",""en"")"),"RT @agildemeisterrrh: And once again, the Catholic Church saving the Peruvian government's skin, intervening as a mediator this time in Las Bambas! At this rate... better that the Church govern or give it the Ministry of the Presidency! From Ripley!")</f>
        <v>RT @agildemeisterrrh: And once again, the Catholic Church saving the Peruvian government's skin, intervening as a mediator this time in Las Bambas! At this rate... better that the Church govern or give it the Ministry of the Presidency! From Ripley!</v>
      </c>
      <c r="C487" s="2" t="s">
        <v>1158</v>
      </c>
      <c r="D487" s="1" t="s">
        <v>1159</v>
      </c>
    </row>
    <row r="488" spans="1:4" ht="15.75" customHeight="1" x14ac:dyDescent="0.15">
      <c r="A488" s="1" t="s">
        <v>882</v>
      </c>
      <c r="B488" s="3" t="str">
        <f ca="1">IFERROR(__xludf.DUMMYFUNCTION("GOOGLETRANSLATE(B488,""es"",""en"")"),"RT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488" s="2" t="s">
        <v>1160</v>
      </c>
      <c r="D488" s="1" t="s">
        <v>1161</v>
      </c>
    </row>
    <row r="489" spans="1:4" ht="15.75" customHeight="1" x14ac:dyDescent="0.15">
      <c r="A489" s="1" t="s">
        <v>1162</v>
      </c>
      <c r="B489" s="3" t="str">
        <f ca="1">IFERROR(__xludf.DUMMYFUNCTION("GOOGLETRANSLATE(B489,""es"",""en"")"),"@congresoperu @sutranperu @Monterola11 The same thing all my life, looking for those responsible knowing who is responsible, never an initiative to put an end to these things. For years it was evident that it was a time bomb, it's a shame that it took 20 "&amp;"lives, but like the Bambas, no one puts order and a group gets rich.")</f>
        <v>@congresoperu @sutranperu @Monterola11 The same thing all my life, looking for those responsible knowing who is responsible, never an initiative to put an end to these things. For years it was evident that it was a time bomb, it's a shame that it took 20 lives, but like the Bambas, no one puts order and a group gets rich.</v>
      </c>
      <c r="C489" s="2" t="s">
        <v>1163</v>
      </c>
      <c r="D489" s="1" t="s">
        <v>1164</v>
      </c>
    </row>
    <row r="490" spans="1:4" ht="15.75" customHeight="1" x14ac:dyDescent="0.15">
      <c r="A490" s="1" t="s">
        <v>1165</v>
      </c>
      <c r="B490" s="3" t="str">
        <f ca="1">IFERROR(__xludf.DUMMYFUNCTION("GOOGLETRANSLATE(B490,""es"",""en"")"),"RT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490" s="2" t="s">
        <v>1166</v>
      </c>
      <c r="D490" s="1" t="s">
        <v>1164</v>
      </c>
    </row>
    <row r="491" spans="1:4" ht="15.75" customHeight="1" x14ac:dyDescent="0.15">
      <c r="A491" s="1" t="s">
        <v>1065</v>
      </c>
      <c r="B491" s="3" t="str">
        <f ca="1">IFERROR(__xludf.DUMMYFUNCTION("GOOGLETRANSLATE(B491,""es"",""en"")"),"RT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491" s="2" t="s">
        <v>1167</v>
      </c>
      <c r="D491" s="1" t="s">
        <v>1164</v>
      </c>
    </row>
    <row r="492" spans="1:4" ht="15.75" customHeight="1" x14ac:dyDescent="0.15">
      <c r="A492" s="1" t="s">
        <v>1168</v>
      </c>
      <c r="B492" s="3" t="str">
        <f ca="1">IFERROR(__xludf.DUMMYFUNCTION("GOOGLETRANSLATE(B492,""es"",""en"")"),"RT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492" s="2" t="s">
        <v>1169</v>
      </c>
      <c r="D492" s="1" t="s">
        <v>1170</v>
      </c>
    </row>
    <row r="493" spans="1:4" ht="15.75" customHeight="1" x14ac:dyDescent="0.15">
      <c r="A493" s="1" t="s">
        <v>1165</v>
      </c>
      <c r="B493" s="3" t="str">
        <f ca="1">IFERROR(__xludf.DUMMYFUNCTION("GOOGLETRANSLATE(B493,""es"",""en"")"),"RT @pruperu: How many of us would be freed if we drunks ran over police officers?
That “we are all equal before the law” is a simple saying that has nothing to do with reality https://t.co/1r2itujVVi")</f>
        <v>RT @pruperu: How many of us would be freed if we drunks ran over police officers?
That “we are all equal before the law” is a simple saying that has nothing to do with reality https://t.co/1r2itujVVi</v>
      </c>
      <c r="C493" s="2" t="s">
        <v>1171</v>
      </c>
      <c r="D493" s="1" t="s">
        <v>1170</v>
      </c>
    </row>
    <row r="494" spans="1:4" ht="15.75" customHeight="1" x14ac:dyDescent="0.15">
      <c r="A494" s="1" t="s">
        <v>1172</v>
      </c>
      <c r="B494" s="3" t="str">
        <f ca="1">IFERROR(__xludf.DUMMYFUNCTION("GOOGLETRANSLATE(B494,""es"",""en"")"),"RT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494" s="2" t="s">
        <v>1173</v>
      </c>
      <c r="D494" s="1" t="s">
        <v>1170</v>
      </c>
    </row>
    <row r="495" spans="1:4" ht="15.75" customHeight="1" x14ac:dyDescent="0.15">
      <c r="A495" s="1" t="s">
        <v>1174</v>
      </c>
      <c r="B495" s="3" t="str">
        <f ca="1">IFERROR(__xludf.DUMMYFUNCTION("GOOGLETRANSLATE(B495,""es"",""en"")"),"RT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495" s="2" t="s">
        <v>1175</v>
      </c>
      <c r="D495" s="1" t="s">
        <v>1176</v>
      </c>
    </row>
    <row r="496" spans="1:4" ht="15.75" customHeight="1" x14ac:dyDescent="0.15">
      <c r="A496" s="1" t="s">
        <v>1177</v>
      </c>
      <c r="B496" s="3" t="str">
        <f ca="1">IFERROR(__xludf.DUMMYFUNCTION("GOOGLETRANSLATE(B496,""es"",""en"")"),"#POLITICS|| The premier mentioned that he will lift the state of emergency if the community members unblock the road.
https://t.co/1wSij8bpoj")</f>
        <v>#POLITICS|| The premier mentioned that he will lift the state of emergency if the community members unblock the road.
https://t.co/1wSij8bpoj</v>
      </c>
      <c r="C496" s="2" t="s">
        <v>1178</v>
      </c>
      <c r="D496" s="1" t="s">
        <v>1176</v>
      </c>
    </row>
    <row r="497" spans="1:4" ht="15.75" customHeight="1" x14ac:dyDescent="0.15">
      <c r="A497" s="1" t="s">
        <v>1179</v>
      </c>
      <c r="B497" s="3" t="str">
        <f ca="1">IFERROR(__xludf.DUMMYFUNCTION("GOOGLETRANSLATE(B497,""es"",""en"")"),"#POLITICS|| The premier mentioned that he will lift the state of emergency if the community members unblock the road.
https://t.co/N1PLV8EPQX")</f>
        <v>#POLITICS|| The premier mentioned that he will lift the state of emergency if the community members unblock the road.
https://t.co/N1PLV8EPQX</v>
      </c>
      <c r="C497" s="2" t="s">
        <v>1180</v>
      </c>
      <c r="D497" s="1" t="s">
        <v>1176</v>
      </c>
    </row>
    <row r="498" spans="1:4" ht="15.75" customHeight="1" x14ac:dyDescent="0.15">
      <c r="A498" s="1" t="s">
        <v>1075</v>
      </c>
      <c r="B498" s="3" t="str">
        <f ca="1">IFERROR(__xludf.DUMMYFUNCTION("GOOGLETRANSLATE(B498,""es"",""en"")"),"RT @radio_santarosa: #POLITICS|| The premier mentioned that he will lift the state of emergency if the community members unblock the road.
https://t.co/1wSij8bpoj")</f>
        <v>RT @radio_santarosa: #POLITICS|| The premier mentioned that he will lift the state of emergency if the community members unblock the road.
https://t.co/1wSij8bpoj</v>
      </c>
      <c r="C498" s="2" t="s">
        <v>1181</v>
      </c>
      <c r="D498" s="1" t="s">
        <v>1176</v>
      </c>
    </row>
    <row r="499" spans="1:4" ht="15.75" customHeight="1" x14ac:dyDescent="0.15">
      <c r="A499" s="1" t="s">
        <v>710</v>
      </c>
      <c r="B499" s="3" t="str">
        <f ca="1">IFERROR(__xludf.DUMMYFUNCTION("GOOGLETRANSLATE(B499,""es"",""en"")"),"José de Echave: “A community is not a criminal organization” | https://t.co/s0W5oSBLxA via @elcomercio_peru")</f>
        <v>José de Echave: “A community is not a criminal organization” | https://t.co/s0W5oSBLxA via @elcomercio_peru</v>
      </c>
      <c r="C499" s="2" t="s">
        <v>1182</v>
      </c>
      <c r="D499" s="1" t="s">
        <v>1183</v>
      </c>
    </row>
    <row r="500" spans="1:4" ht="15.75" customHeight="1" x14ac:dyDescent="0.15">
      <c r="A500" s="1" t="s">
        <v>1184</v>
      </c>
      <c r="B500" s="3" t="str">
        <f ca="1">IFERROR(__xludf.DUMMYFUNCTION("GOOGLETRANSLATE(B500,""es"",""en"")"),"I'm addicted to sneakers. they have all my money")</f>
        <v>I'm addicted to sneakers. they have all my money</v>
      </c>
      <c r="C500" s="2" t="s">
        <v>1185</v>
      </c>
      <c r="D500" s="1" t="s">
        <v>1183</v>
      </c>
    </row>
  </sheetData>
  <hyperlinks>
    <hyperlink ref="C1" r:id="rId1" xr:uid="{00000000-0004-0000-0000-000000000000}"/>
    <hyperlink ref="C2" r:id="rId2" xr:uid="{00000000-0004-0000-0000-000001000000}"/>
    <hyperlink ref="C3" r:id="rId3" xr:uid="{00000000-0004-0000-0000-000002000000}"/>
    <hyperlink ref="C4" r:id="rId4" xr:uid="{00000000-0004-0000-0000-000003000000}"/>
    <hyperlink ref="C5" r:id="rId5" xr:uid="{00000000-0004-0000-0000-000004000000}"/>
    <hyperlink ref="C6" r:id="rId6" xr:uid="{00000000-0004-0000-0000-000005000000}"/>
    <hyperlink ref="C7" r:id="rId7" xr:uid="{00000000-0004-0000-0000-000006000000}"/>
    <hyperlink ref="C8" r:id="rId8" xr:uid="{00000000-0004-0000-0000-000007000000}"/>
    <hyperlink ref="C9" r:id="rId9" xr:uid="{00000000-0004-0000-0000-000008000000}"/>
    <hyperlink ref="C10" r:id="rId10" xr:uid="{00000000-0004-0000-0000-000009000000}"/>
    <hyperlink ref="C11" r:id="rId11" xr:uid="{00000000-0004-0000-0000-00000A000000}"/>
    <hyperlink ref="C12" r:id="rId12" xr:uid="{00000000-0004-0000-0000-00000B000000}"/>
    <hyperlink ref="C13" r:id="rId13" xr:uid="{00000000-0004-0000-0000-00000C000000}"/>
    <hyperlink ref="C14" r:id="rId14" xr:uid="{00000000-0004-0000-0000-00000D000000}"/>
    <hyperlink ref="C15" r:id="rId15" xr:uid="{00000000-0004-0000-0000-00000E000000}"/>
    <hyperlink ref="C16" r:id="rId16" xr:uid="{00000000-0004-0000-0000-00000F000000}"/>
    <hyperlink ref="C17" r:id="rId17" xr:uid="{00000000-0004-0000-0000-000010000000}"/>
    <hyperlink ref="C18" r:id="rId18" xr:uid="{00000000-0004-0000-0000-000011000000}"/>
    <hyperlink ref="C19" r:id="rId19" xr:uid="{00000000-0004-0000-0000-000012000000}"/>
    <hyperlink ref="C20" r:id="rId20" xr:uid="{00000000-0004-0000-0000-000013000000}"/>
    <hyperlink ref="C21" r:id="rId21" xr:uid="{00000000-0004-0000-0000-000014000000}"/>
    <hyperlink ref="C22" r:id="rId22" xr:uid="{00000000-0004-0000-0000-000015000000}"/>
    <hyperlink ref="C23" r:id="rId23" xr:uid="{00000000-0004-0000-0000-000016000000}"/>
    <hyperlink ref="C24" r:id="rId24" xr:uid="{00000000-0004-0000-0000-000017000000}"/>
    <hyperlink ref="C25" r:id="rId25" xr:uid="{00000000-0004-0000-0000-000018000000}"/>
    <hyperlink ref="C26" r:id="rId26" xr:uid="{00000000-0004-0000-0000-000019000000}"/>
    <hyperlink ref="C27" r:id="rId27" xr:uid="{00000000-0004-0000-0000-00001A000000}"/>
    <hyperlink ref="C28" r:id="rId28" xr:uid="{00000000-0004-0000-0000-00001B000000}"/>
    <hyperlink ref="C29" r:id="rId29" xr:uid="{00000000-0004-0000-0000-00001C000000}"/>
    <hyperlink ref="C30" r:id="rId30" xr:uid="{00000000-0004-0000-0000-00001D000000}"/>
    <hyperlink ref="C31" r:id="rId31" xr:uid="{00000000-0004-0000-0000-00001E000000}"/>
    <hyperlink ref="C32" r:id="rId32" xr:uid="{00000000-0004-0000-0000-00001F000000}"/>
    <hyperlink ref="C33" r:id="rId33" xr:uid="{00000000-0004-0000-0000-000020000000}"/>
    <hyperlink ref="C34" r:id="rId34" xr:uid="{00000000-0004-0000-0000-000021000000}"/>
    <hyperlink ref="C35" r:id="rId35" xr:uid="{00000000-0004-0000-0000-000022000000}"/>
    <hyperlink ref="C36" r:id="rId36" xr:uid="{00000000-0004-0000-0000-000023000000}"/>
    <hyperlink ref="C37" r:id="rId37" xr:uid="{00000000-0004-0000-0000-000024000000}"/>
    <hyperlink ref="C38" r:id="rId38" xr:uid="{00000000-0004-0000-0000-000025000000}"/>
    <hyperlink ref="C39" r:id="rId39" xr:uid="{00000000-0004-0000-0000-000026000000}"/>
    <hyperlink ref="C40" r:id="rId40" xr:uid="{00000000-0004-0000-0000-000027000000}"/>
    <hyperlink ref="C41" r:id="rId41" xr:uid="{00000000-0004-0000-0000-000028000000}"/>
    <hyperlink ref="C42" r:id="rId42" xr:uid="{00000000-0004-0000-0000-000029000000}"/>
    <hyperlink ref="C43" r:id="rId43" xr:uid="{00000000-0004-0000-0000-00002A000000}"/>
    <hyperlink ref="C44" r:id="rId44" xr:uid="{00000000-0004-0000-0000-00002B000000}"/>
    <hyperlink ref="C45" r:id="rId45" xr:uid="{00000000-0004-0000-0000-00002C000000}"/>
    <hyperlink ref="C46" r:id="rId46" xr:uid="{00000000-0004-0000-0000-00002D000000}"/>
    <hyperlink ref="C47" r:id="rId47" xr:uid="{00000000-0004-0000-0000-00002E000000}"/>
    <hyperlink ref="C48" r:id="rId48" xr:uid="{00000000-0004-0000-0000-00002F000000}"/>
    <hyperlink ref="C49" r:id="rId49" xr:uid="{00000000-0004-0000-0000-000030000000}"/>
    <hyperlink ref="C50" r:id="rId50" xr:uid="{00000000-0004-0000-0000-000031000000}"/>
    <hyperlink ref="C51" r:id="rId51" xr:uid="{00000000-0004-0000-0000-000032000000}"/>
    <hyperlink ref="C52" r:id="rId52" xr:uid="{00000000-0004-0000-0000-000033000000}"/>
    <hyperlink ref="C53" r:id="rId53" xr:uid="{00000000-0004-0000-0000-000034000000}"/>
    <hyperlink ref="C54" r:id="rId54" xr:uid="{00000000-0004-0000-0000-000035000000}"/>
    <hyperlink ref="C55" r:id="rId55" xr:uid="{00000000-0004-0000-0000-000036000000}"/>
    <hyperlink ref="C56" r:id="rId56" xr:uid="{00000000-0004-0000-0000-000037000000}"/>
    <hyperlink ref="C57" r:id="rId57" xr:uid="{00000000-0004-0000-0000-000038000000}"/>
    <hyperlink ref="C58" r:id="rId58" xr:uid="{00000000-0004-0000-0000-000039000000}"/>
    <hyperlink ref="C59" r:id="rId59" xr:uid="{00000000-0004-0000-0000-00003A000000}"/>
    <hyperlink ref="C60" r:id="rId60" xr:uid="{00000000-0004-0000-0000-00003B000000}"/>
    <hyperlink ref="C61" r:id="rId61" xr:uid="{00000000-0004-0000-0000-00003C000000}"/>
    <hyperlink ref="C62" r:id="rId62" xr:uid="{00000000-0004-0000-0000-00003D000000}"/>
    <hyperlink ref="C63" r:id="rId63" xr:uid="{00000000-0004-0000-0000-00003E000000}"/>
    <hyperlink ref="C64" r:id="rId64" xr:uid="{00000000-0004-0000-0000-00003F000000}"/>
    <hyperlink ref="C65" r:id="rId65" xr:uid="{00000000-0004-0000-0000-000040000000}"/>
    <hyperlink ref="C66" r:id="rId66" xr:uid="{00000000-0004-0000-0000-000041000000}"/>
    <hyperlink ref="C67" r:id="rId67" xr:uid="{00000000-0004-0000-0000-000042000000}"/>
    <hyperlink ref="C68" r:id="rId68" xr:uid="{00000000-0004-0000-0000-000043000000}"/>
    <hyperlink ref="C69" r:id="rId69" xr:uid="{00000000-0004-0000-0000-000044000000}"/>
    <hyperlink ref="C70" r:id="rId70" xr:uid="{00000000-0004-0000-0000-000045000000}"/>
    <hyperlink ref="C71" r:id="rId71" xr:uid="{00000000-0004-0000-0000-000046000000}"/>
    <hyperlink ref="C72" r:id="rId72" xr:uid="{00000000-0004-0000-0000-000047000000}"/>
    <hyperlink ref="C73" r:id="rId73" xr:uid="{00000000-0004-0000-0000-000048000000}"/>
    <hyperlink ref="C74" r:id="rId74" xr:uid="{00000000-0004-0000-0000-000049000000}"/>
    <hyperlink ref="C75" r:id="rId75" xr:uid="{00000000-0004-0000-0000-00004A000000}"/>
    <hyperlink ref="C76" r:id="rId76" xr:uid="{00000000-0004-0000-0000-00004B000000}"/>
    <hyperlink ref="C77" r:id="rId77" xr:uid="{00000000-0004-0000-0000-00004C000000}"/>
    <hyperlink ref="C78" r:id="rId78" xr:uid="{00000000-0004-0000-0000-00004D000000}"/>
    <hyperlink ref="C79" r:id="rId79" xr:uid="{00000000-0004-0000-0000-00004E000000}"/>
    <hyperlink ref="C80" r:id="rId80" xr:uid="{00000000-0004-0000-0000-00004F000000}"/>
    <hyperlink ref="C81" r:id="rId81" xr:uid="{00000000-0004-0000-0000-000050000000}"/>
    <hyperlink ref="C82" r:id="rId82" xr:uid="{00000000-0004-0000-0000-000051000000}"/>
    <hyperlink ref="C83" r:id="rId83" xr:uid="{00000000-0004-0000-0000-000052000000}"/>
    <hyperlink ref="C84" r:id="rId84" xr:uid="{00000000-0004-0000-0000-000053000000}"/>
    <hyperlink ref="C85" r:id="rId85" xr:uid="{00000000-0004-0000-0000-000054000000}"/>
    <hyperlink ref="C86" r:id="rId86" xr:uid="{00000000-0004-0000-0000-000055000000}"/>
    <hyperlink ref="C87" r:id="rId87" xr:uid="{00000000-0004-0000-0000-000056000000}"/>
    <hyperlink ref="C88" r:id="rId88" xr:uid="{00000000-0004-0000-0000-000057000000}"/>
    <hyperlink ref="C89" r:id="rId89" xr:uid="{00000000-0004-0000-0000-000058000000}"/>
    <hyperlink ref="C90" r:id="rId90" xr:uid="{00000000-0004-0000-0000-000059000000}"/>
    <hyperlink ref="C91" r:id="rId91" xr:uid="{00000000-0004-0000-0000-00005A000000}"/>
    <hyperlink ref="C92" r:id="rId92" xr:uid="{00000000-0004-0000-0000-00005B000000}"/>
    <hyperlink ref="C93" r:id="rId93" xr:uid="{00000000-0004-0000-0000-00005C000000}"/>
    <hyperlink ref="C94" r:id="rId94" xr:uid="{00000000-0004-0000-0000-00005D000000}"/>
    <hyperlink ref="C95" r:id="rId95" xr:uid="{00000000-0004-0000-0000-00005E000000}"/>
    <hyperlink ref="C96" r:id="rId96" xr:uid="{00000000-0004-0000-0000-00005F000000}"/>
    <hyperlink ref="C97" r:id="rId97" xr:uid="{00000000-0004-0000-0000-000060000000}"/>
    <hyperlink ref="C98" r:id="rId98" xr:uid="{00000000-0004-0000-0000-000061000000}"/>
    <hyperlink ref="C99" r:id="rId99" xr:uid="{00000000-0004-0000-0000-000062000000}"/>
    <hyperlink ref="C100" r:id="rId100" xr:uid="{00000000-0004-0000-0000-000063000000}"/>
    <hyperlink ref="C101" r:id="rId101" xr:uid="{00000000-0004-0000-0000-000064000000}"/>
    <hyperlink ref="C102" r:id="rId102" xr:uid="{00000000-0004-0000-0000-000065000000}"/>
    <hyperlink ref="C103" r:id="rId103" xr:uid="{00000000-0004-0000-0000-000066000000}"/>
    <hyperlink ref="C104" r:id="rId104" xr:uid="{00000000-0004-0000-0000-000067000000}"/>
    <hyperlink ref="C105" r:id="rId105" xr:uid="{00000000-0004-0000-0000-000068000000}"/>
    <hyperlink ref="C106" r:id="rId106" xr:uid="{00000000-0004-0000-0000-000069000000}"/>
    <hyperlink ref="C107" r:id="rId107" xr:uid="{00000000-0004-0000-0000-00006A000000}"/>
    <hyperlink ref="C108" r:id="rId108" xr:uid="{00000000-0004-0000-0000-00006B000000}"/>
    <hyperlink ref="C109" r:id="rId109" xr:uid="{00000000-0004-0000-0000-00006C000000}"/>
    <hyperlink ref="C110" r:id="rId110" xr:uid="{00000000-0004-0000-0000-00006D000000}"/>
    <hyperlink ref="C111" r:id="rId111" xr:uid="{00000000-0004-0000-0000-00006E000000}"/>
    <hyperlink ref="C112" r:id="rId112" xr:uid="{00000000-0004-0000-0000-00006F000000}"/>
    <hyperlink ref="C113" r:id="rId113" xr:uid="{00000000-0004-0000-0000-000070000000}"/>
    <hyperlink ref="C114" r:id="rId114" xr:uid="{00000000-0004-0000-0000-000071000000}"/>
    <hyperlink ref="C115" r:id="rId115" xr:uid="{00000000-0004-0000-0000-000072000000}"/>
    <hyperlink ref="C116" r:id="rId116" xr:uid="{00000000-0004-0000-0000-000073000000}"/>
    <hyperlink ref="C117" r:id="rId117" xr:uid="{00000000-0004-0000-0000-000074000000}"/>
    <hyperlink ref="C118" r:id="rId118" xr:uid="{00000000-0004-0000-0000-000075000000}"/>
    <hyperlink ref="C119" r:id="rId119" xr:uid="{00000000-0004-0000-0000-000076000000}"/>
    <hyperlink ref="C120" r:id="rId120" xr:uid="{00000000-0004-0000-0000-000077000000}"/>
    <hyperlink ref="C121" r:id="rId121" xr:uid="{00000000-0004-0000-0000-000078000000}"/>
    <hyperlink ref="C122" r:id="rId122" xr:uid="{00000000-0004-0000-0000-000079000000}"/>
    <hyperlink ref="C123" r:id="rId123" xr:uid="{00000000-0004-0000-0000-00007A000000}"/>
    <hyperlink ref="C124" r:id="rId124" xr:uid="{00000000-0004-0000-0000-00007B000000}"/>
    <hyperlink ref="C125" r:id="rId125" xr:uid="{00000000-0004-0000-0000-00007C000000}"/>
    <hyperlink ref="C126" r:id="rId126" xr:uid="{00000000-0004-0000-0000-00007D000000}"/>
    <hyperlink ref="C127" r:id="rId127" xr:uid="{00000000-0004-0000-0000-00007E000000}"/>
    <hyperlink ref="C128" r:id="rId128" xr:uid="{00000000-0004-0000-0000-00007F000000}"/>
    <hyperlink ref="C129" r:id="rId129" xr:uid="{00000000-0004-0000-0000-000080000000}"/>
    <hyperlink ref="C130" r:id="rId130" xr:uid="{00000000-0004-0000-0000-000081000000}"/>
    <hyperlink ref="C131" r:id="rId131" xr:uid="{00000000-0004-0000-0000-000082000000}"/>
    <hyperlink ref="C132" r:id="rId132" xr:uid="{00000000-0004-0000-0000-000083000000}"/>
    <hyperlink ref="C133" r:id="rId133" xr:uid="{00000000-0004-0000-0000-000084000000}"/>
    <hyperlink ref="C134" r:id="rId134" xr:uid="{00000000-0004-0000-0000-000085000000}"/>
    <hyperlink ref="C135" r:id="rId135" xr:uid="{00000000-0004-0000-0000-000086000000}"/>
    <hyperlink ref="C136" r:id="rId136" xr:uid="{00000000-0004-0000-0000-000087000000}"/>
    <hyperlink ref="C137" r:id="rId137" xr:uid="{00000000-0004-0000-0000-000088000000}"/>
    <hyperlink ref="C138" r:id="rId138" xr:uid="{00000000-0004-0000-0000-000089000000}"/>
    <hyperlink ref="C139" r:id="rId139" xr:uid="{00000000-0004-0000-0000-00008A000000}"/>
    <hyperlink ref="C140" r:id="rId140" xr:uid="{00000000-0004-0000-0000-00008B000000}"/>
    <hyperlink ref="C141" r:id="rId141" xr:uid="{00000000-0004-0000-0000-00008C000000}"/>
    <hyperlink ref="C142" r:id="rId142" xr:uid="{00000000-0004-0000-0000-00008D000000}"/>
    <hyperlink ref="C143" r:id="rId143" xr:uid="{00000000-0004-0000-0000-00008E000000}"/>
    <hyperlink ref="C144" r:id="rId144" xr:uid="{00000000-0004-0000-0000-00008F000000}"/>
    <hyperlink ref="C145" r:id="rId145" xr:uid="{00000000-0004-0000-0000-000090000000}"/>
    <hyperlink ref="C146" r:id="rId146" xr:uid="{00000000-0004-0000-0000-000091000000}"/>
    <hyperlink ref="C147" r:id="rId147" xr:uid="{00000000-0004-0000-0000-000092000000}"/>
    <hyperlink ref="C148" r:id="rId148" xr:uid="{00000000-0004-0000-0000-000093000000}"/>
    <hyperlink ref="C149" r:id="rId149" xr:uid="{00000000-0004-0000-0000-000094000000}"/>
    <hyperlink ref="C150" r:id="rId150" xr:uid="{00000000-0004-0000-0000-000095000000}"/>
    <hyperlink ref="C151" r:id="rId151" xr:uid="{00000000-0004-0000-0000-000096000000}"/>
    <hyperlink ref="C152" r:id="rId152" xr:uid="{00000000-0004-0000-0000-000097000000}"/>
    <hyperlink ref="C153" r:id="rId153" xr:uid="{00000000-0004-0000-0000-000098000000}"/>
    <hyperlink ref="C154" r:id="rId154" xr:uid="{00000000-0004-0000-0000-000099000000}"/>
    <hyperlink ref="C155" r:id="rId155" xr:uid="{00000000-0004-0000-0000-00009A000000}"/>
    <hyperlink ref="C156" r:id="rId156" xr:uid="{00000000-0004-0000-0000-00009B000000}"/>
    <hyperlink ref="C157" r:id="rId157" xr:uid="{00000000-0004-0000-0000-00009C000000}"/>
    <hyperlink ref="C158" r:id="rId158" xr:uid="{00000000-0004-0000-0000-00009D000000}"/>
    <hyperlink ref="C159" r:id="rId159" xr:uid="{00000000-0004-0000-0000-00009E000000}"/>
    <hyperlink ref="C160" r:id="rId160" xr:uid="{00000000-0004-0000-0000-00009F000000}"/>
    <hyperlink ref="C161" r:id="rId161" xr:uid="{00000000-0004-0000-0000-0000A0000000}"/>
    <hyperlink ref="C162" r:id="rId162" xr:uid="{00000000-0004-0000-0000-0000A1000000}"/>
    <hyperlink ref="C163" r:id="rId163" xr:uid="{00000000-0004-0000-0000-0000A2000000}"/>
    <hyperlink ref="C164" r:id="rId164" xr:uid="{00000000-0004-0000-0000-0000A3000000}"/>
    <hyperlink ref="C165" r:id="rId165" xr:uid="{00000000-0004-0000-0000-0000A4000000}"/>
    <hyperlink ref="C166" r:id="rId166" xr:uid="{00000000-0004-0000-0000-0000A5000000}"/>
    <hyperlink ref="C167" r:id="rId167" xr:uid="{00000000-0004-0000-0000-0000A6000000}"/>
    <hyperlink ref="C168" r:id="rId168" xr:uid="{00000000-0004-0000-0000-0000A7000000}"/>
    <hyperlink ref="C169" r:id="rId169" xr:uid="{00000000-0004-0000-0000-0000A8000000}"/>
    <hyperlink ref="C170" r:id="rId170" xr:uid="{00000000-0004-0000-0000-0000A9000000}"/>
    <hyperlink ref="C171" r:id="rId171" xr:uid="{00000000-0004-0000-0000-0000AA000000}"/>
    <hyperlink ref="C172" r:id="rId172" xr:uid="{00000000-0004-0000-0000-0000AB000000}"/>
    <hyperlink ref="C173" r:id="rId173" xr:uid="{00000000-0004-0000-0000-0000AC000000}"/>
    <hyperlink ref="C174" r:id="rId174" xr:uid="{00000000-0004-0000-0000-0000AD000000}"/>
    <hyperlink ref="C175" r:id="rId175" xr:uid="{00000000-0004-0000-0000-0000AE000000}"/>
    <hyperlink ref="C176" r:id="rId176" xr:uid="{00000000-0004-0000-0000-0000AF000000}"/>
    <hyperlink ref="C177" r:id="rId177" xr:uid="{00000000-0004-0000-0000-0000B0000000}"/>
    <hyperlink ref="C178" r:id="rId178" xr:uid="{00000000-0004-0000-0000-0000B1000000}"/>
    <hyperlink ref="C179" r:id="rId179" xr:uid="{00000000-0004-0000-0000-0000B2000000}"/>
    <hyperlink ref="C180" r:id="rId180" xr:uid="{00000000-0004-0000-0000-0000B3000000}"/>
    <hyperlink ref="C181" r:id="rId181" xr:uid="{00000000-0004-0000-0000-0000B4000000}"/>
    <hyperlink ref="C182" r:id="rId182" xr:uid="{00000000-0004-0000-0000-0000B5000000}"/>
    <hyperlink ref="C183" r:id="rId183" xr:uid="{00000000-0004-0000-0000-0000B6000000}"/>
    <hyperlink ref="C184" r:id="rId184" xr:uid="{00000000-0004-0000-0000-0000B7000000}"/>
    <hyperlink ref="C185" r:id="rId185" xr:uid="{00000000-0004-0000-0000-0000B8000000}"/>
    <hyperlink ref="C186" r:id="rId186" xr:uid="{00000000-0004-0000-0000-0000B9000000}"/>
    <hyperlink ref="C187" r:id="rId187" xr:uid="{00000000-0004-0000-0000-0000BA000000}"/>
    <hyperlink ref="C188" r:id="rId188" xr:uid="{00000000-0004-0000-0000-0000BB000000}"/>
    <hyperlink ref="C189" r:id="rId189" xr:uid="{00000000-0004-0000-0000-0000BC000000}"/>
    <hyperlink ref="C190" r:id="rId190" xr:uid="{00000000-0004-0000-0000-0000BD000000}"/>
    <hyperlink ref="C191" r:id="rId191" xr:uid="{00000000-0004-0000-0000-0000BE000000}"/>
    <hyperlink ref="C192" r:id="rId192" xr:uid="{00000000-0004-0000-0000-0000BF000000}"/>
    <hyperlink ref="C193" r:id="rId193" xr:uid="{00000000-0004-0000-0000-0000C0000000}"/>
    <hyperlink ref="C194" r:id="rId194" xr:uid="{00000000-0004-0000-0000-0000C1000000}"/>
    <hyperlink ref="C195" r:id="rId195" xr:uid="{00000000-0004-0000-0000-0000C2000000}"/>
    <hyperlink ref="C196" r:id="rId196" xr:uid="{00000000-0004-0000-0000-0000C3000000}"/>
    <hyperlink ref="C197" r:id="rId197" xr:uid="{00000000-0004-0000-0000-0000C4000000}"/>
    <hyperlink ref="C198" r:id="rId198" xr:uid="{00000000-0004-0000-0000-0000C5000000}"/>
    <hyperlink ref="C199" r:id="rId199" xr:uid="{00000000-0004-0000-0000-0000C6000000}"/>
    <hyperlink ref="C200" r:id="rId200" xr:uid="{00000000-0004-0000-0000-0000C7000000}"/>
    <hyperlink ref="C201" r:id="rId201" xr:uid="{00000000-0004-0000-0000-0000C8000000}"/>
    <hyperlink ref="C202" r:id="rId202" xr:uid="{00000000-0004-0000-0000-0000C9000000}"/>
    <hyperlink ref="C203" r:id="rId203" xr:uid="{00000000-0004-0000-0000-0000CA000000}"/>
    <hyperlink ref="C204" r:id="rId204" xr:uid="{00000000-0004-0000-0000-0000CB000000}"/>
    <hyperlink ref="C205" r:id="rId205" xr:uid="{00000000-0004-0000-0000-0000CC000000}"/>
    <hyperlink ref="C206" r:id="rId206" xr:uid="{00000000-0004-0000-0000-0000CD000000}"/>
    <hyperlink ref="C207" r:id="rId207" xr:uid="{00000000-0004-0000-0000-0000CE000000}"/>
    <hyperlink ref="C208" r:id="rId208" xr:uid="{00000000-0004-0000-0000-0000CF000000}"/>
    <hyperlink ref="C209" r:id="rId209" xr:uid="{00000000-0004-0000-0000-0000D0000000}"/>
    <hyperlink ref="C210" r:id="rId210" xr:uid="{00000000-0004-0000-0000-0000D1000000}"/>
    <hyperlink ref="C211" r:id="rId211" xr:uid="{00000000-0004-0000-0000-0000D2000000}"/>
    <hyperlink ref="C212" r:id="rId212" xr:uid="{00000000-0004-0000-0000-0000D3000000}"/>
    <hyperlink ref="C213" r:id="rId213" xr:uid="{00000000-0004-0000-0000-0000D4000000}"/>
    <hyperlink ref="C214" r:id="rId214" xr:uid="{00000000-0004-0000-0000-0000D5000000}"/>
    <hyperlink ref="C215" r:id="rId215" xr:uid="{00000000-0004-0000-0000-0000D6000000}"/>
    <hyperlink ref="C216" r:id="rId216" xr:uid="{00000000-0004-0000-0000-0000D7000000}"/>
    <hyperlink ref="C217" r:id="rId217" xr:uid="{00000000-0004-0000-0000-0000D8000000}"/>
    <hyperlink ref="C218" r:id="rId218" xr:uid="{00000000-0004-0000-0000-0000D9000000}"/>
    <hyperlink ref="C219" r:id="rId219" xr:uid="{00000000-0004-0000-0000-0000DA000000}"/>
    <hyperlink ref="C220" r:id="rId220" xr:uid="{00000000-0004-0000-0000-0000DB000000}"/>
    <hyperlink ref="C221" r:id="rId221" xr:uid="{00000000-0004-0000-0000-0000DC000000}"/>
    <hyperlink ref="C222" r:id="rId222" xr:uid="{00000000-0004-0000-0000-0000DD000000}"/>
    <hyperlink ref="C223" r:id="rId223" xr:uid="{00000000-0004-0000-0000-0000DE000000}"/>
    <hyperlink ref="C224" r:id="rId224" xr:uid="{00000000-0004-0000-0000-0000DF000000}"/>
    <hyperlink ref="C225" r:id="rId225" xr:uid="{00000000-0004-0000-0000-0000E0000000}"/>
    <hyperlink ref="C226" r:id="rId226" xr:uid="{00000000-0004-0000-0000-0000E1000000}"/>
    <hyperlink ref="C227" r:id="rId227" xr:uid="{00000000-0004-0000-0000-0000E2000000}"/>
    <hyperlink ref="C228" r:id="rId228" xr:uid="{00000000-0004-0000-0000-0000E3000000}"/>
    <hyperlink ref="C229" r:id="rId229" xr:uid="{00000000-0004-0000-0000-0000E4000000}"/>
    <hyperlink ref="C230" r:id="rId230" xr:uid="{00000000-0004-0000-0000-0000E5000000}"/>
    <hyperlink ref="C231" r:id="rId231" xr:uid="{00000000-0004-0000-0000-0000E6000000}"/>
    <hyperlink ref="C232" r:id="rId232" xr:uid="{00000000-0004-0000-0000-0000E7000000}"/>
    <hyperlink ref="C233" r:id="rId233" xr:uid="{00000000-0004-0000-0000-0000E8000000}"/>
    <hyperlink ref="C234" r:id="rId234" xr:uid="{00000000-0004-0000-0000-0000E9000000}"/>
    <hyperlink ref="C235" r:id="rId235" xr:uid="{00000000-0004-0000-0000-0000EA000000}"/>
    <hyperlink ref="C236" r:id="rId236" xr:uid="{00000000-0004-0000-0000-0000EB000000}"/>
    <hyperlink ref="C237" r:id="rId237" xr:uid="{00000000-0004-0000-0000-0000EC000000}"/>
    <hyperlink ref="C238" r:id="rId238" xr:uid="{00000000-0004-0000-0000-0000ED000000}"/>
    <hyperlink ref="C239" r:id="rId239" xr:uid="{00000000-0004-0000-0000-0000EE000000}"/>
    <hyperlink ref="C240" r:id="rId240" xr:uid="{00000000-0004-0000-0000-0000EF000000}"/>
    <hyperlink ref="C241" r:id="rId241" xr:uid="{00000000-0004-0000-0000-0000F0000000}"/>
    <hyperlink ref="C242" r:id="rId242" xr:uid="{00000000-0004-0000-0000-0000F1000000}"/>
    <hyperlink ref="C243" r:id="rId243" xr:uid="{00000000-0004-0000-0000-0000F2000000}"/>
    <hyperlink ref="C244" r:id="rId244" xr:uid="{00000000-0004-0000-0000-0000F3000000}"/>
    <hyperlink ref="C245" r:id="rId245" xr:uid="{00000000-0004-0000-0000-0000F4000000}"/>
    <hyperlink ref="C246" r:id="rId246" xr:uid="{00000000-0004-0000-0000-0000F5000000}"/>
    <hyperlink ref="C247" r:id="rId247" xr:uid="{00000000-0004-0000-0000-0000F6000000}"/>
    <hyperlink ref="C248" r:id="rId248" xr:uid="{00000000-0004-0000-0000-0000F7000000}"/>
    <hyperlink ref="C249" r:id="rId249" xr:uid="{00000000-0004-0000-0000-0000F8000000}"/>
    <hyperlink ref="C250" r:id="rId250" xr:uid="{00000000-0004-0000-0000-0000F9000000}"/>
    <hyperlink ref="C251" r:id="rId251" xr:uid="{00000000-0004-0000-0000-0000FA000000}"/>
    <hyperlink ref="C252" r:id="rId252" xr:uid="{00000000-0004-0000-0000-0000FB000000}"/>
    <hyperlink ref="C253" r:id="rId253" xr:uid="{00000000-0004-0000-0000-0000FC000000}"/>
    <hyperlink ref="C254" r:id="rId254" xr:uid="{00000000-0004-0000-0000-0000FD000000}"/>
    <hyperlink ref="C255" r:id="rId255" xr:uid="{00000000-0004-0000-0000-0000FE000000}"/>
    <hyperlink ref="C256" r:id="rId256" xr:uid="{00000000-0004-0000-0000-0000FF000000}"/>
    <hyperlink ref="C257" r:id="rId257" xr:uid="{00000000-0004-0000-0000-000000010000}"/>
    <hyperlink ref="C258" r:id="rId258" xr:uid="{00000000-0004-0000-0000-000001010000}"/>
    <hyperlink ref="C259" r:id="rId259" xr:uid="{00000000-0004-0000-0000-000002010000}"/>
    <hyperlink ref="C260" r:id="rId260" xr:uid="{00000000-0004-0000-0000-000003010000}"/>
    <hyperlink ref="C261" r:id="rId261" xr:uid="{00000000-0004-0000-0000-000004010000}"/>
    <hyperlink ref="C262" r:id="rId262" xr:uid="{00000000-0004-0000-0000-000005010000}"/>
    <hyperlink ref="C263" r:id="rId263" xr:uid="{00000000-0004-0000-0000-000006010000}"/>
    <hyperlink ref="C264" r:id="rId264" xr:uid="{00000000-0004-0000-0000-000007010000}"/>
    <hyperlink ref="C265" r:id="rId265" xr:uid="{00000000-0004-0000-0000-000008010000}"/>
    <hyperlink ref="C266" r:id="rId266" xr:uid="{00000000-0004-0000-0000-000009010000}"/>
    <hyperlink ref="C267" r:id="rId267" xr:uid="{00000000-0004-0000-0000-00000A010000}"/>
    <hyperlink ref="C268" r:id="rId268" xr:uid="{00000000-0004-0000-0000-00000B010000}"/>
    <hyperlink ref="C269" r:id="rId269" xr:uid="{00000000-0004-0000-0000-00000C010000}"/>
    <hyperlink ref="C270" r:id="rId270" xr:uid="{00000000-0004-0000-0000-00000D010000}"/>
    <hyperlink ref="C271" r:id="rId271" xr:uid="{00000000-0004-0000-0000-00000E010000}"/>
    <hyperlink ref="C272" r:id="rId272" xr:uid="{00000000-0004-0000-0000-00000F010000}"/>
    <hyperlink ref="C273" r:id="rId273" xr:uid="{00000000-0004-0000-0000-000010010000}"/>
    <hyperlink ref="C274" r:id="rId274" xr:uid="{00000000-0004-0000-0000-000011010000}"/>
    <hyperlink ref="C275" r:id="rId275" xr:uid="{00000000-0004-0000-0000-000012010000}"/>
    <hyperlink ref="C276" r:id="rId276" xr:uid="{00000000-0004-0000-0000-000013010000}"/>
    <hyperlink ref="C277" r:id="rId277" xr:uid="{00000000-0004-0000-0000-000014010000}"/>
    <hyperlink ref="C278" r:id="rId278" xr:uid="{00000000-0004-0000-0000-000015010000}"/>
    <hyperlink ref="C279" r:id="rId279" xr:uid="{00000000-0004-0000-0000-000016010000}"/>
    <hyperlink ref="C280" r:id="rId280" xr:uid="{00000000-0004-0000-0000-000017010000}"/>
    <hyperlink ref="C281" r:id="rId281" xr:uid="{00000000-0004-0000-0000-000018010000}"/>
    <hyperlink ref="C282" r:id="rId282" xr:uid="{00000000-0004-0000-0000-000019010000}"/>
    <hyperlink ref="C283" r:id="rId283" xr:uid="{00000000-0004-0000-0000-00001A010000}"/>
    <hyperlink ref="C284" r:id="rId284" xr:uid="{00000000-0004-0000-0000-00001B010000}"/>
    <hyperlink ref="C285" r:id="rId285" xr:uid="{00000000-0004-0000-0000-00001C010000}"/>
    <hyperlink ref="C286" r:id="rId286" xr:uid="{00000000-0004-0000-0000-00001D010000}"/>
    <hyperlink ref="C287" r:id="rId287" xr:uid="{00000000-0004-0000-0000-00001E010000}"/>
    <hyperlink ref="C288" r:id="rId288" xr:uid="{00000000-0004-0000-0000-00001F010000}"/>
    <hyperlink ref="C289" r:id="rId289" xr:uid="{00000000-0004-0000-0000-000020010000}"/>
    <hyperlink ref="C290" r:id="rId290" xr:uid="{00000000-0004-0000-0000-000021010000}"/>
    <hyperlink ref="C291" r:id="rId291" xr:uid="{00000000-0004-0000-0000-000022010000}"/>
    <hyperlink ref="C292" r:id="rId292" xr:uid="{00000000-0004-0000-0000-000023010000}"/>
    <hyperlink ref="C293" r:id="rId293" xr:uid="{00000000-0004-0000-0000-000024010000}"/>
    <hyperlink ref="C294" r:id="rId294" xr:uid="{00000000-0004-0000-0000-000025010000}"/>
    <hyperlink ref="C295" r:id="rId295" xr:uid="{00000000-0004-0000-0000-000026010000}"/>
    <hyperlink ref="C296" r:id="rId296" xr:uid="{00000000-0004-0000-0000-000027010000}"/>
    <hyperlink ref="C297" r:id="rId297" xr:uid="{00000000-0004-0000-0000-000028010000}"/>
    <hyperlink ref="C298" r:id="rId298" xr:uid="{00000000-0004-0000-0000-000029010000}"/>
    <hyperlink ref="C299" r:id="rId299" xr:uid="{00000000-0004-0000-0000-00002A010000}"/>
    <hyperlink ref="C300" r:id="rId300" xr:uid="{00000000-0004-0000-0000-00002B010000}"/>
    <hyperlink ref="C301" r:id="rId301" xr:uid="{00000000-0004-0000-0000-00002C010000}"/>
    <hyperlink ref="C302" r:id="rId302" xr:uid="{00000000-0004-0000-0000-00002D010000}"/>
    <hyperlink ref="C303" r:id="rId303" xr:uid="{00000000-0004-0000-0000-00002E010000}"/>
    <hyperlink ref="C304" r:id="rId304" xr:uid="{00000000-0004-0000-0000-00002F010000}"/>
    <hyperlink ref="C305" r:id="rId305" xr:uid="{00000000-0004-0000-0000-000030010000}"/>
    <hyperlink ref="C306" r:id="rId306" xr:uid="{00000000-0004-0000-0000-000031010000}"/>
    <hyperlink ref="C307" r:id="rId307" xr:uid="{00000000-0004-0000-0000-000032010000}"/>
    <hyperlink ref="C308" r:id="rId308" xr:uid="{00000000-0004-0000-0000-000033010000}"/>
    <hyperlink ref="C309" r:id="rId309" xr:uid="{00000000-0004-0000-0000-000034010000}"/>
    <hyperlink ref="C310" r:id="rId310" xr:uid="{00000000-0004-0000-0000-000035010000}"/>
    <hyperlink ref="C311" r:id="rId311" xr:uid="{00000000-0004-0000-0000-000036010000}"/>
    <hyperlink ref="C312" r:id="rId312" xr:uid="{00000000-0004-0000-0000-000037010000}"/>
    <hyperlink ref="C313" r:id="rId313" xr:uid="{00000000-0004-0000-0000-000038010000}"/>
    <hyperlink ref="C314" r:id="rId314" xr:uid="{00000000-0004-0000-0000-000039010000}"/>
    <hyperlink ref="C315" r:id="rId315" xr:uid="{00000000-0004-0000-0000-00003A010000}"/>
    <hyperlink ref="C316" r:id="rId316" xr:uid="{00000000-0004-0000-0000-00003B010000}"/>
    <hyperlink ref="C317" r:id="rId317" xr:uid="{00000000-0004-0000-0000-00003C010000}"/>
    <hyperlink ref="C318" r:id="rId318" xr:uid="{00000000-0004-0000-0000-00003D010000}"/>
    <hyperlink ref="C319" r:id="rId319" xr:uid="{00000000-0004-0000-0000-00003E010000}"/>
    <hyperlink ref="C320" r:id="rId320" xr:uid="{00000000-0004-0000-0000-00003F010000}"/>
    <hyperlink ref="C321" r:id="rId321" xr:uid="{00000000-0004-0000-0000-000040010000}"/>
    <hyperlink ref="C322" r:id="rId322" xr:uid="{00000000-0004-0000-0000-000041010000}"/>
    <hyperlink ref="C323" r:id="rId323" xr:uid="{00000000-0004-0000-0000-000042010000}"/>
    <hyperlink ref="C324" r:id="rId324" xr:uid="{00000000-0004-0000-0000-000043010000}"/>
    <hyperlink ref="C325" r:id="rId325" xr:uid="{00000000-0004-0000-0000-000044010000}"/>
    <hyperlink ref="C326" r:id="rId326" xr:uid="{00000000-0004-0000-0000-000045010000}"/>
    <hyperlink ref="C327" r:id="rId327" xr:uid="{00000000-0004-0000-0000-000046010000}"/>
    <hyperlink ref="C328" r:id="rId328" xr:uid="{00000000-0004-0000-0000-000047010000}"/>
    <hyperlink ref="C329" r:id="rId329" xr:uid="{00000000-0004-0000-0000-000048010000}"/>
    <hyperlink ref="C330" r:id="rId330" xr:uid="{00000000-0004-0000-0000-000049010000}"/>
    <hyperlink ref="C331" r:id="rId331" xr:uid="{00000000-0004-0000-0000-00004A010000}"/>
    <hyperlink ref="C332" r:id="rId332" xr:uid="{00000000-0004-0000-0000-00004B010000}"/>
    <hyperlink ref="C333" r:id="rId333" xr:uid="{00000000-0004-0000-0000-00004C010000}"/>
    <hyperlink ref="C334" r:id="rId334" xr:uid="{00000000-0004-0000-0000-00004D010000}"/>
    <hyperlink ref="C335" r:id="rId335" xr:uid="{00000000-0004-0000-0000-00004E010000}"/>
    <hyperlink ref="C336" r:id="rId336" xr:uid="{00000000-0004-0000-0000-00004F010000}"/>
    <hyperlink ref="C337" r:id="rId337" xr:uid="{00000000-0004-0000-0000-000050010000}"/>
    <hyperlink ref="C338" r:id="rId338" xr:uid="{00000000-0004-0000-0000-000051010000}"/>
    <hyperlink ref="C339" r:id="rId339" xr:uid="{00000000-0004-0000-0000-000052010000}"/>
    <hyperlink ref="C340" r:id="rId340" xr:uid="{00000000-0004-0000-0000-000053010000}"/>
    <hyperlink ref="C341" r:id="rId341" xr:uid="{00000000-0004-0000-0000-000054010000}"/>
    <hyperlink ref="C342" r:id="rId342" xr:uid="{00000000-0004-0000-0000-000055010000}"/>
    <hyperlink ref="C343" r:id="rId343" xr:uid="{00000000-0004-0000-0000-000056010000}"/>
    <hyperlink ref="C344" r:id="rId344" xr:uid="{00000000-0004-0000-0000-000057010000}"/>
    <hyperlink ref="C345" r:id="rId345" xr:uid="{00000000-0004-0000-0000-000058010000}"/>
    <hyperlink ref="C346" r:id="rId346" xr:uid="{00000000-0004-0000-0000-000059010000}"/>
    <hyperlink ref="C347" r:id="rId347" xr:uid="{00000000-0004-0000-0000-00005A010000}"/>
    <hyperlink ref="C348" r:id="rId348" xr:uid="{00000000-0004-0000-0000-00005B010000}"/>
    <hyperlink ref="C349" r:id="rId349" xr:uid="{00000000-0004-0000-0000-00005C010000}"/>
    <hyperlink ref="C350" r:id="rId350" xr:uid="{00000000-0004-0000-0000-00005D010000}"/>
    <hyperlink ref="C351" r:id="rId351" xr:uid="{00000000-0004-0000-0000-00005E010000}"/>
    <hyperlink ref="C352" r:id="rId352" xr:uid="{00000000-0004-0000-0000-00005F010000}"/>
    <hyperlink ref="C353" r:id="rId353" xr:uid="{00000000-0004-0000-0000-000060010000}"/>
    <hyperlink ref="C354" r:id="rId354" xr:uid="{00000000-0004-0000-0000-000061010000}"/>
    <hyperlink ref="C355" r:id="rId355" xr:uid="{00000000-0004-0000-0000-000062010000}"/>
    <hyperlink ref="C356" r:id="rId356" xr:uid="{00000000-0004-0000-0000-000063010000}"/>
    <hyperlink ref="C357" r:id="rId357" xr:uid="{00000000-0004-0000-0000-000064010000}"/>
    <hyperlink ref="C358" r:id="rId358" xr:uid="{00000000-0004-0000-0000-000065010000}"/>
    <hyperlink ref="C359" r:id="rId359" xr:uid="{00000000-0004-0000-0000-000066010000}"/>
    <hyperlink ref="C360" r:id="rId360" xr:uid="{00000000-0004-0000-0000-000067010000}"/>
    <hyperlink ref="C361" r:id="rId361" xr:uid="{00000000-0004-0000-0000-000068010000}"/>
    <hyperlink ref="C362" r:id="rId362" xr:uid="{00000000-0004-0000-0000-000069010000}"/>
    <hyperlink ref="C363" r:id="rId363" xr:uid="{00000000-0004-0000-0000-00006A010000}"/>
    <hyperlink ref="C364" r:id="rId364" xr:uid="{00000000-0004-0000-0000-00006B010000}"/>
    <hyperlink ref="C365" r:id="rId365" xr:uid="{00000000-0004-0000-0000-00006C010000}"/>
    <hyperlink ref="C366" r:id="rId366" xr:uid="{00000000-0004-0000-0000-00006D010000}"/>
    <hyperlink ref="C367" r:id="rId367" xr:uid="{00000000-0004-0000-0000-00006E010000}"/>
    <hyperlink ref="C368" r:id="rId368" xr:uid="{00000000-0004-0000-0000-00006F010000}"/>
    <hyperlink ref="C369" r:id="rId369" xr:uid="{00000000-0004-0000-0000-000070010000}"/>
    <hyperlink ref="C370" r:id="rId370" xr:uid="{00000000-0004-0000-0000-000071010000}"/>
    <hyperlink ref="C371" r:id="rId371" xr:uid="{00000000-0004-0000-0000-000072010000}"/>
    <hyperlink ref="C372" r:id="rId372" xr:uid="{00000000-0004-0000-0000-000073010000}"/>
    <hyperlink ref="C373" r:id="rId373" xr:uid="{00000000-0004-0000-0000-000074010000}"/>
    <hyperlink ref="C374" r:id="rId374" xr:uid="{00000000-0004-0000-0000-000075010000}"/>
    <hyperlink ref="C375" r:id="rId375" xr:uid="{00000000-0004-0000-0000-000076010000}"/>
    <hyperlink ref="C376" r:id="rId376" xr:uid="{00000000-0004-0000-0000-000077010000}"/>
    <hyperlink ref="C377" r:id="rId377" xr:uid="{00000000-0004-0000-0000-000078010000}"/>
    <hyperlink ref="C378" r:id="rId378" xr:uid="{00000000-0004-0000-0000-000079010000}"/>
    <hyperlink ref="C379" r:id="rId379" xr:uid="{00000000-0004-0000-0000-00007A010000}"/>
    <hyperlink ref="C380" r:id="rId380" xr:uid="{00000000-0004-0000-0000-00007B010000}"/>
    <hyperlink ref="C381" r:id="rId381" xr:uid="{00000000-0004-0000-0000-00007C010000}"/>
    <hyperlink ref="C382" r:id="rId382" xr:uid="{00000000-0004-0000-0000-00007D010000}"/>
    <hyperlink ref="C383" r:id="rId383" xr:uid="{00000000-0004-0000-0000-00007E010000}"/>
    <hyperlink ref="C384" r:id="rId384" xr:uid="{00000000-0004-0000-0000-00007F010000}"/>
    <hyperlink ref="C385" r:id="rId385" xr:uid="{00000000-0004-0000-0000-000080010000}"/>
    <hyperlink ref="C386" r:id="rId386" xr:uid="{00000000-0004-0000-0000-000081010000}"/>
    <hyperlink ref="C387" r:id="rId387" xr:uid="{00000000-0004-0000-0000-000082010000}"/>
    <hyperlink ref="C388" r:id="rId388" xr:uid="{00000000-0004-0000-0000-000083010000}"/>
    <hyperlink ref="C389" r:id="rId389" xr:uid="{00000000-0004-0000-0000-000084010000}"/>
    <hyperlink ref="C390" r:id="rId390" xr:uid="{00000000-0004-0000-0000-000085010000}"/>
    <hyperlink ref="C391" r:id="rId391" xr:uid="{00000000-0004-0000-0000-000086010000}"/>
    <hyperlink ref="C392" r:id="rId392" xr:uid="{00000000-0004-0000-0000-000087010000}"/>
    <hyperlink ref="C393" r:id="rId393" xr:uid="{00000000-0004-0000-0000-000088010000}"/>
    <hyperlink ref="C394" r:id="rId394" xr:uid="{00000000-0004-0000-0000-000089010000}"/>
    <hyperlink ref="C395" r:id="rId395" xr:uid="{00000000-0004-0000-0000-00008A010000}"/>
    <hyperlink ref="C396" r:id="rId396" xr:uid="{00000000-0004-0000-0000-00008B010000}"/>
    <hyperlink ref="C397" r:id="rId397" xr:uid="{00000000-0004-0000-0000-00008C010000}"/>
    <hyperlink ref="C398" r:id="rId398" xr:uid="{00000000-0004-0000-0000-00008D010000}"/>
    <hyperlink ref="C399" r:id="rId399" xr:uid="{00000000-0004-0000-0000-00008E010000}"/>
    <hyperlink ref="C400" r:id="rId400" xr:uid="{00000000-0004-0000-0000-00008F010000}"/>
    <hyperlink ref="C401" r:id="rId401" xr:uid="{00000000-0004-0000-0000-000090010000}"/>
    <hyperlink ref="C402" r:id="rId402" xr:uid="{00000000-0004-0000-0000-000091010000}"/>
    <hyperlink ref="C403" r:id="rId403" xr:uid="{00000000-0004-0000-0000-000092010000}"/>
    <hyperlink ref="C404" r:id="rId404" xr:uid="{00000000-0004-0000-0000-000093010000}"/>
    <hyperlink ref="C405" r:id="rId405" xr:uid="{00000000-0004-0000-0000-000094010000}"/>
    <hyperlink ref="C406" r:id="rId406" xr:uid="{00000000-0004-0000-0000-000095010000}"/>
    <hyperlink ref="C407" r:id="rId407" xr:uid="{00000000-0004-0000-0000-000096010000}"/>
    <hyperlink ref="C408" r:id="rId408" xr:uid="{00000000-0004-0000-0000-000097010000}"/>
    <hyperlink ref="C409" r:id="rId409" xr:uid="{00000000-0004-0000-0000-000098010000}"/>
    <hyperlink ref="C410" r:id="rId410" xr:uid="{00000000-0004-0000-0000-000099010000}"/>
    <hyperlink ref="C411" r:id="rId411" xr:uid="{00000000-0004-0000-0000-00009A010000}"/>
    <hyperlink ref="C412" r:id="rId412" xr:uid="{00000000-0004-0000-0000-00009B010000}"/>
    <hyperlink ref="C413" r:id="rId413" xr:uid="{00000000-0004-0000-0000-00009C010000}"/>
    <hyperlink ref="C414" r:id="rId414" xr:uid="{00000000-0004-0000-0000-00009D010000}"/>
    <hyperlink ref="C415" r:id="rId415" xr:uid="{00000000-0004-0000-0000-00009E010000}"/>
    <hyperlink ref="C416" r:id="rId416" xr:uid="{00000000-0004-0000-0000-00009F010000}"/>
    <hyperlink ref="C417" r:id="rId417" xr:uid="{00000000-0004-0000-0000-0000A0010000}"/>
    <hyperlink ref="C418" r:id="rId418" xr:uid="{00000000-0004-0000-0000-0000A1010000}"/>
    <hyperlink ref="C419" r:id="rId419" xr:uid="{00000000-0004-0000-0000-0000A2010000}"/>
    <hyperlink ref="C420" r:id="rId420" xr:uid="{00000000-0004-0000-0000-0000A3010000}"/>
    <hyperlink ref="C421" r:id="rId421" xr:uid="{00000000-0004-0000-0000-0000A4010000}"/>
    <hyperlink ref="C422" r:id="rId422" xr:uid="{00000000-0004-0000-0000-0000A5010000}"/>
    <hyperlink ref="C423" r:id="rId423" xr:uid="{00000000-0004-0000-0000-0000A6010000}"/>
    <hyperlink ref="C424" r:id="rId424" xr:uid="{00000000-0004-0000-0000-0000A7010000}"/>
    <hyperlink ref="C425" r:id="rId425" xr:uid="{00000000-0004-0000-0000-0000A8010000}"/>
    <hyperlink ref="C426" r:id="rId426" xr:uid="{00000000-0004-0000-0000-0000A9010000}"/>
    <hyperlink ref="C427" r:id="rId427" xr:uid="{00000000-0004-0000-0000-0000AA010000}"/>
    <hyperlink ref="C428" r:id="rId428" xr:uid="{00000000-0004-0000-0000-0000AB010000}"/>
    <hyperlink ref="C429" r:id="rId429" xr:uid="{00000000-0004-0000-0000-0000AC010000}"/>
    <hyperlink ref="C430" r:id="rId430" xr:uid="{00000000-0004-0000-0000-0000AD010000}"/>
    <hyperlink ref="C431" r:id="rId431" xr:uid="{00000000-0004-0000-0000-0000AE010000}"/>
    <hyperlink ref="C432" r:id="rId432" xr:uid="{00000000-0004-0000-0000-0000AF010000}"/>
    <hyperlink ref="C433" r:id="rId433" xr:uid="{00000000-0004-0000-0000-0000B0010000}"/>
    <hyperlink ref="C434" r:id="rId434" xr:uid="{00000000-0004-0000-0000-0000B1010000}"/>
    <hyperlink ref="C435" r:id="rId435" xr:uid="{00000000-0004-0000-0000-0000B2010000}"/>
    <hyperlink ref="C436" r:id="rId436" xr:uid="{00000000-0004-0000-0000-0000B3010000}"/>
    <hyperlink ref="C437" r:id="rId437" xr:uid="{00000000-0004-0000-0000-0000B4010000}"/>
    <hyperlink ref="C438" r:id="rId438" xr:uid="{00000000-0004-0000-0000-0000B5010000}"/>
    <hyperlink ref="C439" r:id="rId439" xr:uid="{00000000-0004-0000-0000-0000B6010000}"/>
    <hyperlink ref="C440" r:id="rId440" xr:uid="{00000000-0004-0000-0000-0000B7010000}"/>
    <hyperlink ref="C441" r:id="rId441" xr:uid="{00000000-0004-0000-0000-0000B8010000}"/>
    <hyperlink ref="C442" r:id="rId442" xr:uid="{00000000-0004-0000-0000-0000B9010000}"/>
    <hyperlink ref="C443" r:id="rId443" xr:uid="{00000000-0004-0000-0000-0000BA010000}"/>
    <hyperlink ref="C444" r:id="rId444" xr:uid="{00000000-0004-0000-0000-0000BB010000}"/>
    <hyperlink ref="C445" r:id="rId445" xr:uid="{00000000-0004-0000-0000-0000BC010000}"/>
    <hyperlink ref="C446" r:id="rId446" xr:uid="{00000000-0004-0000-0000-0000BD010000}"/>
    <hyperlink ref="C447" r:id="rId447" xr:uid="{00000000-0004-0000-0000-0000BE010000}"/>
    <hyperlink ref="C448" r:id="rId448" xr:uid="{00000000-0004-0000-0000-0000BF010000}"/>
    <hyperlink ref="C449" r:id="rId449" xr:uid="{00000000-0004-0000-0000-0000C0010000}"/>
    <hyperlink ref="C450" r:id="rId450" xr:uid="{00000000-0004-0000-0000-0000C1010000}"/>
    <hyperlink ref="C451" r:id="rId451" xr:uid="{00000000-0004-0000-0000-0000C2010000}"/>
    <hyperlink ref="C452" r:id="rId452" xr:uid="{00000000-0004-0000-0000-0000C3010000}"/>
    <hyperlink ref="C453" r:id="rId453" xr:uid="{00000000-0004-0000-0000-0000C4010000}"/>
    <hyperlink ref="C454" r:id="rId454" xr:uid="{00000000-0004-0000-0000-0000C5010000}"/>
    <hyperlink ref="C455" r:id="rId455" xr:uid="{00000000-0004-0000-0000-0000C6010000}"/>
    <hyperlink ref="C456" r:id="rId456" xr:uid="{00000000-0004-0000-0000-0000C7010000}"/>
    <hyperlink ref="C457" r:id="rId457" xr:uid="{00000000-0004-0000-0000-0000C8010000}"/>
    <hyperlink ref="C458" r:id="rId458" xr:uid="{00000000-0004-0000-0000-0000C9010000}"/>
    <hyperlink ref="C459" r:id="rId459" xr:uid="{00000000-0004-0000-0000-0000CA010000}"/>
    <hyperlink ref="C460" r:id="rId460" xr:uid="{00000000-0004-0000-0000-0000CB010000}"/>
    <hyperlink ref="C461" r:id="rId461" xr:uid="{00000000-0004-0000-0000-0000CC010000}"/>
    <hyperlink ref="C462" r:id="rId462" xr:uid="{00000000-0004-0000-0000-0000CD010000}"/>
    <hyperlink ref="C463" r:id="rId463" xr:uid="{00000000-0004-0000-0000-0000CE010000}"/>
    <hyperlink ref="C464" r:id="rId464" xr:uid="{00000000-0004-0000-0000-0000CF010000}"/>
    <hyperlink ref="C465" r:id="rId465" xr:uid="{00000000-0004-0000-0000-0000D0010000}"/>
    <hyperlink ref="C466" r:id="rId466" xr:uid="{00000000-0004-0000-0000-0000D1010000}"/>
    <hyperlink ref="C467" r:id="rId467" xr:uid="{00000000-0004-0000-0000-0000D2010000}"/>
    <hyperlink ref="C468" r:id="rId468" xr:uid="{00000000-0004-0000-0000-0000D3010000}"/>
    <hyperlink ref="C469" r:id="rId469" xr:uid="{00000000-0004-0000-0000-0000D4010000}"/>
    <hyperlink ref="C470" r:id="rId470" xr:uid="{00000000-0004-0000-0000-0000D5010000}"/>
    <hyperlink ref="C471" r:id="rId471" xr:uid="{00000000-0004-0000-0000-0000D6010000}"/>
    <hyperlink ref="C472" r:id="rId472" xr:uid="{00000000-0004-0000-0000-0000D7010000}"/>
    <hyperlink ref="C473" r:id="rId473" xr:uid="{00000000-0004-0000-0000-0000D8010000}"/>
    <hyperlink ref="C474" r:id="rId474" xr:uid="{00000000-0004-0000-0000-0000D9010000}"/>
    <hyperlink ref="C475" r:id="rId475" xr:uid="{00000000-0004-0000-0000-0000DA010000}"/>
    <hyperlink ref="C476" r:id="rId476" xr:uid="{00000000-0004-0000-0000-0000DB010000}"/>
    <hyperlink ref="C477" r:id="rId477" xr:uid="{00000000-0004-0000-0000-0000DC010000}"/>
    <hyperlink ref="C478" r:id="rId478" xr:uid="{00000000-0004-0000-0000-0000DD010000}"/>
    <hyperlink ref="C479" r:id="rId479" xr:uid="{00000000-0004-0000-0000-0000DE010000}"/>
    <hyperlink ref="C480" r:id="rId480" xr:uid="{00000000-0004-0000-0000-0000DF010000}"/>
    <hyperlink ref="C481" r:id="rId481" xr:uid="{00000000-0004-0000-0000-0000E0010000}"/>
    <hyperlink ref="C482" r:id="rId482" xr:uid="{00000000-0004-0000-0000-0000E1010000}"/>
    <hyperlink ref="C483" r:id="rId483" xr:uid="{00000000-0004-0000-0000-0000E2010000}"/>
    <hyperlink ref="C484" r:id="rId484" xr:uid="{00000000-0004-0000-0000-0000E3010000}"/>
    <hyperlink ref="C485" r:id="rId485" xr:uid="{00000000-0004-0000-0000-0000E4010000}"/>
    <hyperlink ref="C486" r:id="rId486" xr:uid="{00000000-0004-0000-0000-0000E5010000}"/>
    <hyperlink ref="C487" r:id="rId487" xr:uid="{00000000-0004-0000-0000-0000E6010000}"/>
    <hyperlink ref="C488" r:id="rId488" xr:uid="{00000000-0004-0000-0000-0000E7010000}"/>
    <hyperlink ref="C489" r:id="rId489" xr:uid="{00000000-0004-0000-0000-0000E8010000}"/>
    <hyperlink ref="C490" r:id="rId490" xr:uid="{00000000-0004-0000-0000-0000E9010000}"/>
    <hyperlink ref="C491" r:id="rId491" xr:uid="{00000000-0004-0000-0000-0000EA010000}"/>
    <hyperlink ref="C492" r:id="rId492" xr:uid="{00000000-0004-0000-0000-0000EB010000}"/>
    <hyperlink ref="C493" r:id="rId493" xr:uid="{00000000-0004-0000-0000-0000EC010000}"/>
    <hyperlink ref="C494" r:id="rId494" xr:uid="{00000000-0004-0000-0000-0000ED010000}"/>
    <hyperlink ref="C495" r:id="rId495" xr:uid="{00000000-0004-0000-0000-0000EE010000}"/>
    <hyperlink ref="C496" r:id="rId496" xr:uid="{00000000-0004-0000-0000-0000EF010000}"/>
    <hyperlink ref="C497" r:id="rId497" xr:uid="{00000000-0004-0000-0000-0000F0010000}"/>
    <hyperlink ref="C498" r:id="rId498" xr:uid="{00000000-0004-0000-0000-0000F1010000}"/>
    <hyperlink ref="C499" r:id="rId499" xr:uid="{00000000-0004-0000-0000-0000F2010000}"/>
    <hyperlink ref="C500" r:id="rId500" xr:uid="{00000000-0004-0000-0000-0000F301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00"/>
  <sheetViews>
    <sheetView tabSelected="1" zoomScale="180" zoomScaleNormal="180" workbookViewId="0">
      <selection activeCell="D3" sqref="D3"/>
    </sheetView>
  </sheetViews>
  <sheetFormatPr baseColWidth="10" defaultRowHeight="13" x14ac:dyDescent="0.15"/>
  <cols>
    <col min="1" max="4" width="28.83203125" customWidth="1"/>
  </cols>
  <sheetData>
    <row r="1" spans="1:4" x14ac:dyDescent="0.15">
      <c r="A1" s="1" t="s">
        <v>0</v>
      </c>
      <c r="B1" s="3" t="str">
        <f ca="1">IFERROR(__xludf.DUMMYFUNCTION("GOOGLETRANSLATE(B1,""es"",""en"")"),"Las Bambas Case: Peruvian farmers against a foreign mining project... https://t.co/itWYan1NeC")</f>
        <v>Las Bambas Case: Peruvian farmers against a foreign mining project... https://t.co/itWYan1NeC</v>
      </c>
      <c r="C1" s="2" t="s">
        <v>1</v>
      </c>
      <c r="D1" s="1" t="s">
        <v>2</v>
      </c>
    </row>
    <row r="2" spans="1:4" x14ac:dyDescent="0.15">
      <c r="A2" s="1" t="s">
        <v>0</v>
      </c>
      <c r="B2" s="3" t="str">
        <f ca="1">IFERROR(__xludf.DUMMYFUNCTION("GOOGLETRANSLATE(B2,""es"",""en"")"),"Las Bambas Case: Peruvian farmers against a foreign mining project... https://t.co/OrMkhlr7d5")</f>
        <v>Las Bambas Case: Peruvian farmers against a foreign mining project... https://t.co/OrMkhlr7d5</v>
      </c>
      <c r="C2" s="2" t="s">
        <v>3</v>
      </c>
      <c r="D2" s="1" t="s">
        <v>4</v>
      </c>
    </row>
    <row r="3" spans="1:4" x14ac:dyDescent="0.15">
      <c r="A3" s="1" t="s">
        <v>5</v>
      </c>
      <c r="B3" s="3" t="str">
        <f ca="1">IFERROR(__xludf.DUMMYFUNCTION("GOOGLETRANSLATE(B3,""es"",""en"")"),"@javicomendador @Vdot_Spain @houssameB @JomaSport There are those who believe that you wear certain sneakers, and a guaranteed brand. Less marketing and more training")</f>
        <v>@javicomendador @Vdot_Spain @houssameB @JomaSport There are those who believe that you wear certain sneakers, and a guaranteed brand. Less marketing and more training</v>
      </c>
      <c r="C3" s="2" t="s">
        <v>6</v>
      </c>
      <c r="D3" s="1" t="s">
        <v>4</v>
      </c>
    </row>
    <row r="4" spans="1:4" x14ac:dyDescent="0.15">
      <c r="A4" s="1" t="s">
        <v>7</v>
      </c>
      <c r="B4" s="3" t="str">
        <f ca="1">IFERROR(__xludf.DUMMYFUNCTION("GOOGLETRANSLATE(B4,""es"",""en"")"),"José De Echave talked about Las Bambas with Sol Carreño. He is a director of Cooperación, an anti-extractivist NGO that receives funds from the Open Society like its ""allies"". Abel Gilvonio works there, son of terrorists and a communist who attacked the"&amp;"... https://t.co/viQMIGeRrZ")</f>
        <v>José De Echave talked about Las Bambas with Sol Carreño. He is a director of Cooperación, an anti-extractivist NGO that receives funds from the Open Society like its "allies". Abel Gilvonio works there, son of terrorists and a communist who attacked the... https://t.co/viQMIGeRrZ</v>
      </c>
      <c r="C4" s="2" t="s">
        <v>8</v>
      </c>
      <c r="D4" s="1" t="s">
        <v>4</v>
      </c>
    </row>
    <row r="5" spans="1:4" x14ac:dyDescent="0.15">
      <c r="A5" s="1" t="s">
        <v>9</v>
      </c>
      <c r="B5" s="3" t="str">
        <f ca="1">IFERROR(__xludf.DUMMYFUNCTION("GOOGLETRANSLATE(B5,""es"",""en"")"),"Las Bambas Case: Peruvian farmers against a foreign mining project https://t.co/kA0fkYAjPc")</f>
        <v>Las Bambas Case: Peruvian farmers against a foreign mining project https://t.co/kA0fkYAjPc</v>
      </c>
      <c r="C5" s="2" t="s">
        <v>10</v>
      </c>
      <c r="D5" s="1" t="s">
        <v>11</v>
      </c>
    </row>
    <row r="6" spans="1:4" x14ac:dyDescent="0.15">
      <c r="A6" s="1" t="s">
        <v>12</v>
      </c>
      <c r="B6" s="3" t="str">
        <f ca="1">IFERROR(__xludf.DUMMYFUNCTION("GOOGLETRANSLATE(B6,""es"",""en"")"),"@_CarlitaRocha @gvillasis @elcomercio_peru @YeniVilcatoma2 @alvarosarco @ugluis @TRICICLODELPERU @eudmed @jorgevillenal @manifiesto_peru @Vponce64 @PasquinDeM @alfonsobaella @DN_Mariano The ""specialists"" say that the decline is due to the problem of the"&amp;" Sneakers... When without being a specialist I know that the downturn is due to the #inept BAMBA government")</f>
        <v>@_CarlitaRocha @gvillasis @elcomercio_peru @YeniVilcatoma2 @alvarosarco @ugluis @TRICICLODELPERU @eudmed @jorgevillenal @manifiesto_peru @Vponce64 @PasquinDeM @alfonsobaella @DN_Mariano The "specialists" say that the decline is due to the problem of the Sneakers... When without being a specialist I know that the downturn is due to the #inept BAMBA government</v>
      </c>
      <c r="C6" s="2" t="s">
        <v>13</v>
      </c>
      <c r="D6" s="1" t="s">
        <v>11</v>
      </c>
    </row>
    <row r="7" spans="1:4" x14ac:dyDescent="0.15">
      <c r="A7" s="1" t="s">
        <v>14</v>
      </c>
      <c r="B7" s="3" t="str">
        <f ca="1">IFERROR(__xludf.DUMMYFUNCTION("GOOGLETRANSLATE(B7,""es"",""en"")"),"RT @socioperiodismo: Today in Cuarto Poder, a complete analysis of what is happening in Las Bambas and all the lessons that we have not yet learned as a society or as a state.")</f>
        <v>RT @socioperiodismo: Today in Cuarto Poder, a complete analysis of what is happening in Las Bambas and all the lessons that we have not yet learned as a society or as a state.</v>
      </c>
      <c r="C7" s="2" t="s">
        <v>15</v>
      </c>
      <c r="D7" s="1" t="s">
        <v>11</v>
      </c>
    </row>
    <row r="8" spans="1:4" x14ac:dyDescent="0.15">
      <c r="A8" s="1" t="s">
        <v>16</v>
      </c>
      <c r="B8" s="3" t="str">
        <f ca="1">IFERROR(__xludf.DUMMYFUNCTION("GOOGLETRANSLATE(B8,""es"",""en"")"),"RT @aleskrause: If you are looking to understand the origin of the conflict in Las Bambas, I suggest you read this article by Madeleine Osterling. Very clear.  https://t.co/SBywlaZCe8")</f>
        <v>RT @aleskrause: If you are looking to understand the origin of the conflict in Las Bambas, I suggest you read this article by Madeleine Osterling. Very clear.  https://t.co/SBywlaZCe8</v>
      </c>
      <c r="C8" s="2" t="s">
        <v>17</v>
      </c>
      <c r="D8" s="1" t="s">
        <v>18</v>
      </c>
    </row>
    <row r="9" spans="1:4" x14ac:dyDescent="0.15">
      <c r="A9" s="1" t="s">
        <v>19</v>
      </c>
      <c r="B9" s="3" t="str">
        <f ca="1">IFERROR(__xludf.DUMMYFUNCTION("GOOGLETRANSLATE(B9,""es"",""en"")"),"RT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9" s="2" t="s">
        <v>20</v>
      </c>
      <c r="D9" s="1" t="s">
        <v>21</v>
      </c>
    </row>
    <row r="10" spans="1:4" x14ac:dyDescent="0.15">
      <c r="A10" s="1" t="s">
        <v>22</v>
      </c>
      <c r="B10" s="3" t="str">
        <f ca="1">IFERROR(__xludf.DUMMYFUNCTION("GOOGLETRANSLATE(B10,""es"",""en"")"),"RT @AlfredoMTorres: What's new about Las Bambas is that the Police did intelligence work that detected the extortion and the Prosecutor's Office has acted. It must be clear that blocking roads and extortion are crimes with legal consequences. https://t.co"&amp;"/YIdKntz3RG via @elcomercio_peru")</f>
        <v>RT @AlfredoMTorres: What's new about Las Bambas is that the Police did intelligence work that detected the extortion and the Prosecutor's Office has acted. It must be clear that blocking roads and extortion are crimes with legal consequences. https://t.co/YIdKntz3RG via @elcomercio_peru</v>
      </c>
      <c r="C10" s="2" t="s">
        <v>23</v>
      </c>
      <c r="D10" s="1" t="s">
        <v>24</v>
      </c>
    </row>
    <row r="11" spans="1:4" x14ac:dyDescent="0.15">
      <c r="A11" s="1" t="s">
        <v>25</v>
      </c>
      <c r="B11" s="3" t="str">
        <f ca="1">IFERROR(__xludf.DUMMYFUNCTION("GOOGLETRANSLATE(B11,""es"",""en"")"),"#PoliticaEM #ElMontonero
Business and communities should unite in demands
Follow us on:
FB: https://t.co/8BN6IGtfbu
Youtube: https://t.co/x2WH9Dyq6f
More Articles: https://t.co/4sbQL43f0Q
#Mining #SocialConflicts #LasBambas 
https://t.co/o22NPeAr6k")</f>
        <v>#PoliticaEM #ElMontonero
Business and communities should unite in demands
Follow us on:
FB: https://t.co/8BN6IGtfbu
Youtube: https://t.co/x2WH9Dyq6f
More Articles: https://t.co/4sbQL43f0Q
#Mining #SocialConflicts #LasBambas 
https://t.co/o22NPeAr6k</v>
      </c>
      <c r="C11" s="2" t="s">
        <v>26</v>
      </c>
      <c r="D11" s="1" t="s">
        <v>27</v>
      </c>
    </row>
    <row r="12" spans="1:4" x14ac:dyDescent="0.15">
      <c r="A12" s="1" t="s">
        <v>28</v>
      </c>
      <c r="B12" s="3" t="str">
        <f ca="1">IFERROR(__xludf.DUMMYFUNCTION("GOOGLETRANSLATE(B12,""es"",""en"")"),"RT @vozdelatierra: It's not just Las Bambas. In Huamachuco, La Libertad, yesterday, EIGHT informal mining workers died due to alleged air pollution. Who answers? Just wash your hands in GoRe de La Libertad? @MemPeru @congresoperu https://t.co/lIDRthwD2Y")</f>
        <v>RT @vozdelatierra: It's not just Las Bambas. In Huamachuco, La Libertad, yesterday, EIGHT informal mining workers died due to alleged air pollution. Who answers? Just wash your hands in GoRe de La Libertad? @MemPeru @congresoperu https://t.co/lIDRthwD2Y</v>
      </c>
      <c r="C12" s="2" t="s">
        <v>29</v>
      </c>
      <c r="D12" s="1" t="s">
        <v>27</v>
      </c>
    </row>
    <row r="13" spans="1:4" x14ac:dyDescent="0.15">
      <c r="A13" s="1" t="s">
        <v>30</v>
      </c>
      <c r="B13" s="3" t="str">
        <f ca="1">IFERROR(__xludf.DUMMYFUNCTION("GOOGLETRANSLATE(B13,""es"",""en"")"),"RT @jsaldanacuba: Brilliant article by Alfredo Torres about Las Bambas. He summarizes everything in the final sentence: ""The author is executive president of Ipsos Perú. The company has carried out studies for Las Bambas."" 
If I started there, there wa"&amp;"s no need to waste time reading more.
https://t.co/MB24a8kEgQ")</f>
        <v>RT @jsaldanacuba: Brilliant article by Alfredo Torres about Las Bambas. He summarizes everything in the final sentence: "The author is executive president of Ipsos Perú. The company has carried out studies for Las Bambas." 
If I started there, there was no need to waste time reading more.
https://t.co/MB24a8kEgQ</v>
      </c>
      <c r="C13" s="2" t="s">
        <v>31</v>
      </c>
      <c r="D13" s="1" t="s">
        <v>27</v>
      </c>
    </row>
    <row r="14" spans="1:4" x14ac:dyDescent="0.15">
      <c r="A14" s="1" t="s">
        <v>32</v>
      </c>
      <c r="B14" s="3" t="str">
        <f ca="1">IFERROR(__xludf.DUMMYFUNCTION("GOOGLETRANSLATE(B14,""es"",""en"")"),"THE BAMBAS
CORRUPTION AT THE HIGHEST LEVEL 
HUMALA-PPK-VIZCARRA")</f>
        <v>THE BAMBAS
CORRUPTION AT THE HIGHEST LEVEL 
HUMALA-PPK-VIZCARRA</v>
      </c>
      <c r="C14" s="2" t="s">
        <v>33</v>
      </c>
      <c r="D14" s="1" t="s">
        <v>27</v>
      </c>
    </row>
    <row r="15" spans="1:4" x14ac:dyDescent="0.15">
      <c r="A15" s="1" t="s">
        <v>34</v>
      </c>
      <c r="B15" s="3" t="str">
        <f ca="1">IFERROR(__xludf.DUMMYFUNCTION("GOOGLETRANSLATE(B15,""es"",""en"")"),"RT @totalclaridad: @ugluis @pelusa054 Instead of using those 1650 MM on the paving of the Las Bambas highway, this INEPTO @MartinVizcarraC prefers to allocate them for consultancies.
Meanwhile we have a promise to build 3 schools per day.
But everything "&amp;"has a solution for that casual president: A referendum,")</f>
        <v>RT @totalclaridad: @ugluis @pelusa054 Instead of using those 1650 MM on the paving of the Las Bambas highway, this INEPTO @MartinVizcarraC prefers to allocate them for consultancies.
Meanwhile we have a promise to build 3 schools per day.
But everything has a solution for that casual president: A referendum,</v>
      </c>
      <c r="C15" s="2" t="s">
        <v>35</v>
      </c>
      <c r="D15" s="1" t="s">
        <v>36</v>
      </c>
    </row>
    <row r="16" spans="1:4" x14ac:dyDescent="0.15">
      <c r="A16" s="1" t="s">
        <v>37</v>
      </c>
      <c r="B16" s="3" t="str">
        <f ca="1">IFERROR(__xludf.DUMMYFUNCTION("GOOGLETRANSLATE(B16,""es"",""en"")"),"@exitosape AFP, Las Bambas, Justice Reform, High Salaries of Public Officials that should not exceed S/15,000")</f>
        <v>@exitosape AFP, Las Bambas, Justice Reform, High Salaries of Public Officials that should not exceed S/15,000</v>
      </c>
      <c r="C16" s="2" t="s">
        <v>38</v>
      </c>
      <c r="D16" s="1" t="s">
        <v>36</v>
      </c>
    </row>
    <row r="17" spans="1:4" x14ac:dyDescent="0.15">
      <c r="A17" s="1" t="s">
        <v>39</v>
      </c>
      <c r="B17" s="3" t="str">
        <f ca="1">IFERROR(__xludf.DUMMYFUNCTION("GOOGLETRANSLATE(B17,""es"",""en"")"),"@vozdelatierra @congresoperu Possible responses from JDC: ""the responsibility lies with Planillas, it was passed on to them, they are human, it can happen to anyone, the money is returned and that's it, it is due to Vizcarra's drop in the polls, a curtai"&amp;"n due to conflict de las Bambas, the communists "".. etc")</f>
        <v>@vozdelatierra @congresoperu Possible responses from JDC: "the responsibility lies with Planillas, it was passed on to them, they are human, it can happen to anyone, the money is returned and that's it, it is due to Vizcarra's drop in the polls, a curtain due to conflict de las Bambas, the communists ".. etc</v>
      </c>
      <c r="C17" s="2" t="s">
        <v>40</v>
      </c>
      <c r="D17" s="1" t="s">
        <v>41</v>
      </c>
    </row>
    <row r="18" spans="1:4" x14ac:dyDescent="0.15">
      <c r="A18" s="1" t="s">
        <v>0</v>
      </c>
      <c r="B18" s="3" t="str">
        <f ca="1">IFERROR(__xludf.DUMMYFUNCTION("GOOGLETRANSLATE(B18,""es"",""en"")"),"Las Bambas Case: Peruvian farmers against a foreign mining project... https://t.co/061ggAH2ih")</f>
        <v>Las Bambas Case: Peruvian farmers against a foreign mining project... https://t.co/061ggAH2ih</v>
      </c>
      <c r="C18" s="2" t="s">
        <v>42</v>
      </c>
      <c r="D18" s="1" t="s">
        <v>43</v>
      </c>
    </row>
    <row r="19" spans="1:4" x14ac:dyDescent="0.15">
      <c r="A19" s="1" t="s">
        <v>0</v>
      </c>
      <c r="B19" s="3" t="str">
        <f ca="1">IFERROR(__xludf.DUMMYFUNCTION("GOOGLETRANSLATE(B19,""es"",""en"")"),"Andean community leader asks for dialogue with the Peruvian Government about the Las Bambas mine... https://t.co/tufEjdKZbv")</f>
        <v>Andean community leader asks for dialogue with the Peruvian Government about the Las Bambas mine... https://t.co/tufEjdKZbv</v>
      </c>
      <c r="C19" s="2" t="s">
        <v>44</v>
      </c>
      <c r="D19" s="1" t="s">
        <v>43</v>
      </c>
    </row>
    <row r="20" spans="1:4" x14ac:dyDescent="0.15">
      <c r="A20" s="1" t="s">
        <v>45</v>
      </c>
      <c r="B20" s="3" t="str">
        <f ca="1">IFERROR(__xludf.DUMMYFUNCTION("GOOGLETRANSLATE(B20,""es"",""en"")"),"RT @tema0902: I don't understand how @AlanGarciaPeru CRITICIZES THE GOVERNMENT, with what morals if it has crime, money laundering, delinquency, No reconstruction in Pisco, Narco Pardons, Massacre in the Frontón, El Baguazo, Dólar Muc, bribes from ODB, Pe"&amp;"troaudios. DO YOU LIKE TROLLING?
https://t.co/fWoMHDzIHG")</f>
        <v>RT @tema0902: I don't understand how @AlanGarciaPeru CRITICIZES THE GOVERNMENT, with what morals if it has crime, money laundering, delinquency, No reconstruction in Pisco, Narco Pardons, Massacre in the Frontón, El Baguazo, Dólar Muc, bribes from ODB, Petroaudios. DO YOU LIKE TROLLING?
https://t.co/fWoMHDzIHG</v>
      </c>
      <c r="C20" s="2" t="s">
        <v>46</v>
      </c>
      <c r="D20" s="1" t="s">
        <v>47</v>
      </c>
    </row>
    <row r="21" spans="1:4" x14ac:dyDescent="0.15">
      <c r="A21" s="1" t="s">
        <v>48</v>
      </c>
      <c r="B21" s="3" t="str">
        <f ca="1">IFERROR(__xludf.DUMMYFUNCTION("GOOGLETRANSLATE(B21,""es"",""en"")"),"To com as pernas bambas")</f>
        <v>To com as pernas bambas</v>
      </c>
      <c r="C21" s="2" t="s">
        <v>49</v>
      </c>
      <c r="D21" s="1" t="s">
        <v>47</v>
      </c>
    </row>
    <row r="22" spans="1:4" x14ac:dyDescent="0.15">
      <c r="A22" s="1" t="s">
        <v>50</v>
      </c>
      <c r="B22" s="3" t="str">
        <f ca="1">IFERROR(__xludf.DUMMYFUNCTION("GOOGLETRANSLATE(B22,""es"",""en"")"),"RT @Gestionpe: Las Bambas: State willing to pay more than S/ 300 million to communities https://t.co/HoCbdHF9jp via @Gestionpe https://t.co/TvFzaRUmS6")</f>
        <v>RT @Gestionpe: Las Bambas: State willing to pay more than S/ 300 million to communities https://t.co/HoCbdHF9jp via @Gestionpe https://t.co/TvFzaRUmS6</v>
      </c>
      <c r="C22" s="2" t="s">
        <v>51</v>
      </c>
      <c r="D22" s="1" t="s">
        <v>52</v>
      </c>
    </row>
    <row r="23" spans="1:4" x14ac:dyDescent="0.15">
      <c r="A23" s="1" t="s">
        <v>53</v>
      </c>
      <c r="B23" s="3" t="str">
        <f ca="1">IFERROR(__xludf.DUMMYFUNCTION("GOOGLETRANSLATE(B23,""es"",""en"")"),"RT @EddyMartin1976: @abelgilvonio @claudiacisneros @julioguzmanperu Claudia, he already gave his opinion on the issue of sneakers, political and judicial reform in various spaces")</f>
        <v>RT @EddyMartin1976: @abelgilvonio @claudiacisneros @julioguzmanperu Claudia, he already gave his opinion on the issue of sneakers, political and judicial reform in various spaces</v>
      </c>
      <c r="C23" s="2" t="s">
        <v>54</v>
      </c>
      <c r="D23" s="1" t="s">
        <v>55</v>
      </c>
    </row>
    <row r="24" spans="1:4" x14ac:dyDescent="0.15">
      <c r="A24" s="1" t="s">
        <v>56</v>
      </c>
      <c r="B24" s="3" t="str">
        <f ca="1">IFERROR(__xludf.DUMMYFUNCTION("GOOGLETRANSLATE(B24,""es"",""en"")"),"RT @JoseNoriega1969: 2 years ago it was said that PPK was one of the owners of the company that has the 400 trucks in Las Bambas, are you going to be outraged or investigate about it? I say this to the lowly press that acts stupid when it comes to PPK.")</f>
        <v>RT @JoseNoriega1969: 2 years ago it was said that PPK was one of the owners of the company that has the 400 trucks in Las Bambas, are you going to be outraged or investigate about it? I say this to the lowly press that acts stupid when it comes to PPK.</v>
      </c>
      <c r="C24" s="2" t="s">
        <v>57</v>
      </c>
      <c r="D24" s="1" t="s">
        <v>58</v>
      </c>
    </row>
    <row r="25" spans="1:4" x14ac:dyDescent="0.15">
      <c r="A25" s="1" t="s">
        <v>59</v>
      </c>
      <c r="B25" s="3" t="str">
        <f ca="1">IFERROR(__xludf.DUMMYFUNCTION("GOOGLETRANSLATE(B25,""es"",""en"")"),"RT @jctafur: Let's see if Las Bambas wakes up a government that has lost its compass and that if it persists in that mood, it will condemn the brand new Del Solar cabinet to being a failed bet. On the subject, I invite you to read my Sunday column in La R"&amp;"epública https://t.co/W52lbRPE52")</f>
        <v>RT @jctafur: Let's see if Las Bambas wakes up a government that has lost its compass and that if it persists in that mood, it will condemn the brand new Del Solar cabinet to being a failed bet. On the subject, I invite you to read my Sunday column in La República https://t.co/W52lbRPE52</v>
      </c>
      <c r="C25" s="2" t="s">
        <v>60</v>
      </c>
      <c r="D25" s="1" t="s">
        <v>61</v>
      </c>
    </row>
    <row r="26" spans="1:4" x14ac:dyDescent="0.15">
      <c r="A26" s="1" t="s">
        <v>30</v>
      </c>
      <c r="B26" s="3" t="str">
        <f ca="1">IFERROR(__xludf.DUMMYFUNCTION("GOOGLETRANSLATE(B26,""es"",""en"")"),"RT @jdeechave: José de Echave: “A community is not a criminal organization” https://t.co/LjfwkKhfi4 via @elcomercio_peru")</f>
        <v>RT @jdeechave: José de Echave: “A community is not a criminal organization” https://t.co/LjfwkKhfi4 via @elcomercio_peru</v>
      </c>
      <c r="C26" s="2" t="s">
        <v>62</v>
      </c>
      <c r="D26" s="1" t="s">
        <v>61</v>
      </c>
    </row>
    <row r="27" spans="1:4" x14ac:dyDescent="0.15">
      <c r="A27" s="1" t="s">
        <v>53</v>
      </c>
      <c r="B27" s="3" t="str">
        <f ca="1">IFERROR(__xludf.DUMMYFUNCTION("GOOGLETRANSLATE(B27,""es"",""en"")"),"RT @radio_santarosa: #INTERVIEW|| The leader of the Morado party, Julio Guzmán, considered that the sneakers case could be a deficient point for the Government of Martín Vizcarra, adding that all authorities have responsibility in the issue. 
https://t.co"&amp;"/yvPD3qvoZf")</f>
        <v>RT @radio_santarosa: #INTERVIEW|| The leader of the Morado party, Julio Guzmán, considered that the sneakers case could be a deficient point for the Government of Martín Vizcarra, adding that all authorities have responsibility in the issue. 
https://t.co/yvPD3qvoZf</v>
      </c>
      <c r="C27" s="2" t="s">
        <v>63</v>
      </c>
      <c r="D27" s="1" t="s">
        <v>64</v>
      </c>
    </row>
    <row r="28" spans="1:4" x14ac:dyDescent="0.15">
      <c r="A28" s="1" t="s">
        <v>65</v>
      </c>
      <c r="B28" s="3" t="str">
        <f ca="1">IFERROR(__xludf.DUMMYFUNCTION("GOOGLETRANSLATE(B28,""es"",""en"")"),"LET'S PUT YOUR PANTS ON, OR DO THEY NOT EXIST?
#LasBambas Speak, president!, by Federico Salazar, clearer? https://t.co/JqCI4KfRHS")</f>
        <v>LET'S PUT YOUR PANTS ON, OR DO THEY NOT EXIST?
#LasBambas Speak, president!, by Federico Salazar, clearer? https://t.co/JqCI4KfRHS</v>
      </c>
      <c r="C28" s="2" t="s">
        <v>66</v>
      </c>
      <c r="D28" s="1" t="s">
        <v>64</v>
      </c>
    </row>
    <row r="29" spans="1:4" x14ac:dyDescent="0.15">
      <c r="A29" s="1" t="s">
        <v>67</v>
      </c>
      <c r="B29" s="3" t="str">
        <f ca="1">IFERROR(__xludf.DUMMYFUNCTION("GOOGLETRANSLATE(B29,""es"",""en"")"),"RT @Ojo_Publico: #OjoAlDato #Abancay organizations will comply with regional strike this April 2 and 3 in protest against the #LasBambas mine in Apurímac. https://t.co/UCH9ljxxuZ https://t.co/O8iAenikA2")</f>
        <v>RT @Ojo_Publico: #OjoAlDato #Abancay organizations will comply with regional strike this April 2 and 3 in protest against the #LasBambas mine in Apurímac. https://t.co/UCH9ljxxuZ https://t.co/O8iAenikA2</v>
      </c>
      <c r="C29" s="2" t="s">
        <v>68</v>
      </c>
      <c r="D29" s="1" t="s">
        <v>64</v>
      </c>
    </row>
    <row r="30" spans="1:4" x14ac:dyDescent="0.15">
      <c r="A30" s="1" t="s">
        <v>69</v>
      </c>
      <c r="B30" s="3" t="str">
        <f ca="1">IFERROR(__xludf.DUMMYFUNCTION("GOOGLETRANSLATE(B30,""es"",""en"")"),"@rmapalacios With the experience of Fuerabamba, the residents of Huanacopampa, Pararani and others are asking for 7 million per person for the Haquira mining project, which is 4 times larger than Las Bambas 6, which is located a few km from Las Bambas.")</f>
        <v>@rmapalacios With the experience of Fuerabamba, the residents of Huanacopampa, Pararani and others are asking for 7 million per person for the Haquira mining project, which is 4 times larger than Las Bambas 6, which is located a few km from Las Bambas.</v>
      </c>
      <c r="C30" s="2" t="s">
        <v>70</v>
      </c>
      <c r="D30" s="1" t="s">
        <v>71</v>
      </c>
    </row>
    <row r="31" spans="1:4" x14ac:dyDescent="0.15">
      <c r="A31" s="1" t="s">
        <v>72</v>
      </c>
      <c r="B31" s="3" t="str">
        <f ca="1">IFERROR(__xludf.DUMMYFUNCTION("GOOGLETRANSLATE(B31,""es"",""en"")"),"RT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31" s="2" t="s">
        <v>73</v>
      </c>
      <c r="D31" s="1" t="s">
        <v>74</v>
      </c>
    </row>
    <row r="32" spans="1:4" x14ac:dyDescent="0.15">
      <c r="A32" s="1" t="s">
        <v>75</v>
      </c>
      <c r="B32" s="3" t="str">
        <f ca="1">IFERROR(__xludf.DUMMYFUNCTION("GOOGLETRANSLATE(B32,""es"",""en"")"),"RT @ExpresoPeru: ""It is very clear to me that, in the case of Las Bambas, as long as trucks continue to be used to remove the mineral within sight and patience of the communities, regardless of the pollution or the environmental impact, there will be pro"&amp;"blems.""
Read Madeleine Osterling: https://t.co/KIjfPRh0Xs")</f>
        <v>RT @ExpresoPeru: "It is very clear to me that, in the case of Las Bambas, as long as trucks continue to be used to remove the mineral within sight and patience of the communities, regardless of the pollution or the environmental impact, there will be problems."
Read Madeleine Osterling: https://t.co/KIjfPRh0Xs</v>
      </c>
      <c r="C32" s="2" t="s">
        <v>76</v>
      </c>
      <c r="D32" s="1" t="s">
        <v>77</v>
      </c>
    </row>
    <row r="33" spans="1:4" x14ac:dyDescent="0.15">
      <c r="A33" s="1" t="s">
        <v>78</v>
      </c>
      <c r="B33" s="3" t="str">
        <f ca="1">IFERROR(__xludf.DUMMYFUNCTION("GOOGLETRANSLATE(B33,""es"",""en"")"),"RT @Cuarto_Poder: More than 200 days of tensions and 50 of paralysis and blocking of roads is what the protest has left so far https://t.co/I6Tfq0jBV8 #CuartoPoder #ElBaileDeLosQueSobran")</f>
        <v>RT @Cuarto_Poder: More than 200 days of tensions and 50 of paralysis and blocking of roads is what the protest has left so far https://t.co/I6Tfq0jBV8 #CuartoPoder #ElBaileDeLosQueSobran</v>
      </c>
      <c r="C33" s="2" t="s">
        <v>79</v>
      </c>
      <c r="D33" s="1" t="s">
        <v>80</v>
      </c>
    </row>
    <row r="34" spans="1:4" x14ac:dyDescent="0.15">
      <c r="A34" s="1" t="s">
        <v>81</v>
      </c>
      <c r="B34" s="3" t="str">
        <f ca="1">IFERROR(__xludf.DUMMYFUNCTION("GOOGLETRANSLATE(B34,""es"",""en"")"),"RT @jdeechave: José de Echave: “A community is not a criminal organization” https://t.co/LjfwkKhfi4 via @elcomercio_peru")</f>
        <v>RT @jdeechave: José de Echave: “A community is not a criminal organization” https://t.co/LjfwkKhfi4 via @elcomercio_peru</v>
      </c>
      <c r="C34" s="2" t="s">
        <v>82</v>
      </c>
      <c r="D34" s="1" t="s">
        <v>80</v>
      </c>
    </row>
    <row r="35" spans="1:4" x14ac:dyDescent="0.15">
      <c r="A35" s="1" t="s">
        <v>83</v>
      </c>
      <c r="B35" s="3" t="str">
        <f ca="1">IFERROR(__xludf.DUMMYFUNCTION("GOOGLETRANSLATE(B35,""es"",""en"")"),"It's that simple, “if the government needs you to go to prison, you go to prison, if the government needs you to be released, they will release you. Long live the independence of powers!” https://t.co/8s4CWrSNx5")</f>
        <v>It's that simple, “if the government needs you to go to prison, you go to prison, if the government needs you to be released, they will release you. Long live the independence of powers!” https://t.co/8s4CWrSNx5</v>
      </c>
      <c r="C35" s="2" t="s">
        <v>84</v>
      </c>
      <c r="D35" s="1" t="s">
        <v>85</v>
      </c>
    </row>
    <row r="36" spans="1:4" x14ac:dyDescent="0.15">
      <c r="A36" s="1" t="s">
        <v>86</v>
      </c>
      <c r="B36" s="3" t="str">
        <f ca="1">IFERROR(__xludf.DUMMYFUNCTION("GOOGLETRANSLATE(B36,""es"",""en"")"),"RT @AlfredoMTorres: What's new about Las Bambas is that the Police did intelligence work that detected the extortion and the Prosecutor's Office has acted. It must be clear that blocking roads and extortion are crimes with legal consequences. https://t.co"&amp;"/YIdKntz3RG via @elcomercio_peru")</f>
        <v>RT @AlfredoMTorres: What's new about Las Bambas is that the Police did intelligence work that detected the extortion and the Prosecutor's Office has acted. It must be clear that blocking roads and extortion are crimes with legal consequences. https://t.co/YIdKntz3RG via @elcomercio_peru</v>
      </c>
      <c r="C36" s="2" t="s">
        <v>87</v>
      </c>
      <c r="D36" s="1" t="s">
        <v>85</v>
      </c>
    </row>
    <row r="37" spans="1:4" x14ac:dyDescent="0.15">
      <c r="A37" s="1" t="s">
        <v>88</v>
      </c>
      <c r="B37" s="3" t="str">
        <f ca="1">IFERROR(__xludf.DUMMYFUNCTION("GOOGLETRANSLATE(B37,""es"",""en"")"),"RT @matuk: @rmapalacios 1) Road that crosses Yavi-Yavi did not exist before the purchase of Las Bambas 
2) Easement did not exist when Las Bambas bought Yavi-Yavi
3) Easement is registered when Las Bambas is the owner of Yavi-Yavi
4) Las Bambas delivers Y"&amp;"avi-Yavi with bondage
5) Yavi-Yavi = Trojan Horse")</f>
        <v>RT @matuk: @rmapalacios 1) Road that crosses Yavi-Yavi did not exist before the purchase of Las Bambas 
2) Easement did not exist when Las Bambas bought Yavi-Yavi
3) Easement is registered when Las Bambas is the owner of Yavi-Yavi
4) Las Bambas delivers Yavi-Yavi with bondage
5) Yavi-Yavi = Trojan Horse</v>
      </c>
      <c r="C37" s="2" t="s">
        <v>89</v>
      </c>
      <c r="D37" s="1" t="s">
        <v>85</v>
      </c>
    </row>
    <row r="38" spans="1:4" x14ac:dyDescent="0.15">
      <c r="A38" s="1" t="s">
        <v>90</v>
      </c>
      <c r="B38" s="3" t="str">
        <f ca="1">IFERROR(__xludf.DUMMYFUNCTION("GOOGLETRANSLATE(B38,""es"",""en"")"),"RT @MarioS759: LET'S PUT ON YOUR PANTS, OR DO THEY NOT EXIST?
#LasBambas Speak, president!, by Federico Salazar, clearer? https://t.co/JqCI4KfRHS")</f>
        <v>RT @MarioS759: LET'S PUT ON YOUR PANTS, OR DO THEY NOT EXIST?
#LasBambas Speak, president!, by Federico Salazar, clearer? https://t.co/JqCI4KfRHS</v>
      </c>
      <c r="C38" s="2" t="s">
        <v>91</v>
      </c>
      <c r="D38" s="1" t="s">
        <v>92</v>
      </c>
    </row>
    <row r="39" spans="1:4" x14ac:dyDescent="0.15">
      <c r="A39" s="1" t="s">
        <v>93</v>
      </c>
      <c r="B39" s="3" t="str">
        <f ca="1">IFERROR(__xludf.DUMMYFUNCTION("GOOGLETRANSLATE(B39,""es"",""en"")"),"del Solar arrives prematurely worn out to his presentation before Congress, partly due to inherited problems and partly due to his own mistakes, which have disenchanted those who believed he had the leadership qualities that the president lacks. https://t"&amp;".co/fesiSiPVYv")</f>
        <v>del Solar arrives prematurely worn out to his presentation before Congress, partly due to inherited problems and partly due to his own mistakes, which have disenchanted those who believed he had the leadership qualities that the president lacks. https://t.co/fesiSiPVYv</v>
      </c>
      <c r="C39" s="2" t="s">
        <v>94</v>
      </c>
      <c r="D39" s="1" t="s">
        <v>95</v>
      </c>
    </row>
    <row r="40" spans="1:4" x14ac:dyDescent="0.15">
      <c r="A40" s="1" t="s">
        <v>96</v>
      </c>
      <c r="B40" s="3" t="str">
        <f ca="1">IFERROR(__xludf.DUMMYFUNCTION("GOOGLETRANSLATE(B40,""es"",""en"")"),"@RPPNoticias And the @sutranperu??? Where were you??? In the sneakers??? This is also your fault, the @Munismp and the irresponsible people who drove that crappy bus!!! Jail and punishment for those responsible for this tragic fate of these bus passengers"&amp;".")</f>
        <v>@RPPNoticias And the @sutranperu??? Where were you??? In the sneakers??? This is also your fault, the @Munismp and the irresponsible people who drove that crappy bus!!! Jail and punishment for those responsible for this tragic fate of these bus passengers.</v>
      </c>
      <c r="C40" s="2" t="s">
        <v>97</v>
      </c>
      <c r="D40" s="1" t="s">
        <v>98</v>
      </c>
    </row>
    <row r="41" spans="1:4" x14ac:dyDescent="0.15">
      <c r="A41" s="1" t="s">
        <v>99</v>
      </c>
      <c r="B41" s="3" t="str">
        <f ca="1">IFERROR(__xludf.DUMMYFUNCTION("GOOGLETRANSLATE(B41,""es"",""en"")"),"RT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41" s="2" t="s">
        <v>100</v>
      </c>
      <c r="D41" s="1" t="s">
        <v>98</v>
      </c>
    </row>
    <row r="42" spans="1:4" x14ac:dyDescent="0.15">
      <c r="A42" s="1" t="s">
        <v>101</v>
      </c>
      <c r="B42" s="3" t="str">
        <f ca="1">IFERROR(__xludf.DUMMYFUNCTION("GOOGLETRANSLATE(B42,""es"",""en"")"),"Tell them “VHC” “If there is someone responsible from the State for this situation in Las Bambas, it has been the glorious ‘nationalist government’ of Humala, which came to us from the hand of the local left.” https://t.co/0h6P76w95Q #PerúNoticias https:/"&amp;"/t.co/MatoriGHFh")</f>
        <v>Tell them “VHC” “If there is someone responsible from the State for this situation in Las Bambas, it has been the glorious ‘nationalist government’ of Humala, which came to us from the hand of the local left.” https://t.co/0h6P76w95Q #PerúNoticias https://t.co/MatoriGHFh</v>
      </c>
      <c r="C42" s="2" t="s">
        <v>102</v>
      </c>
      <c r="D42" s="1" t="s">
        <v>98</v>
      </c>
    </row>
    <row r="43" spans="1:4" x14ac:dyDescent="0.15">
      <c r="A43" s="1" t="s">
        <v>103</v>
      </c>
      <c r="B43" s="3" t="str">
        <f ca="1">IFERROR(__xludf.DUMMYFUNCTION("GOOGLETRANSLATE(B43,""es"",""en"")"),"RT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43" s="2" t="s">
        <v>104</v>
      </c>
      <c r="D43" s="1" t="s">
        <v>105</v>
      </c>
    </row>
    <row r="44" spans="1:4" x14ac:dyDescent="0.15">
      <c r="A44" s="1" t="s">
        <v>106</v>
      </c>
      <c r="B44" s="3" t="str">
        <f ca="1">IFERROR(__xludf.DUMMYFUNCTION("GOOGLETRANSLATE(B44,""es"",""en"")"),"@JaimeteleSUR why is Telesur not covering the Bambas like they do with the Mingas of Colombia? I understand the reason...")</f>
        <v>@JaimeteleSUR why is Telesur not covering the Bambas like they do with the Mingas of Colombia? I understand the reason...</v>
      </c>
      <c r="C44" s="2" t="s">
        <v>107</v>
      </c>
      <c r="D44" s="1" t="s">
        <v>105</v>
      </c>
    </row>
    <row r="45" spans="1:4" x14ac:dyDescent="0.15">
      <c r="A45" s="1" t="s">
        <v>108</v>
      </c>
      <c r="B45" s="3" t="str">
        <f ca="1">IFERROR(__xludf.DUMMYFUNCTION("GOOGLETRANSLATE(B45,""es"",""en"")"),"RT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45" s="2" t="s">
        <v>109</v>
      </c>
      <c r="D45" s="1" t="s">
        <v>105</v>
      </c>
    </row>
    <row r="46" spans="1:4" x14ac:dyDescent="0.15">
      <c r="A46" s="1" t="s">
        <v>110</v>
      </c>
      <c r="B46" s="3" t="str">
        <f ca="1">IFERROR(__xludf.DUMMYFUNCTION("GOOGLETRANSLATE(B46,""es"",""en"")"),"RT @Jessica48396615: True @MazaBera errors by @MartinVizcarraC and fall in polls: Las Bambas; hire Fujiapristas; Tuesta Commission: Bicamerality and eliminate Prohibition; Put or ratify questioned MINSA, MINAG, MININTER, Produce, MEM, Environment Housing,"&amp;" AFP, Cuellos Blancos regroup https://t.co/WjOPLU1s9E")</f>
        <v>RT @Jessica48396615: True @MazaBera errors by @MartinVizcarraC and fall in polls: Las Bambas; hire Fujiapristas; Tuesta Commission: Bicamerality and eliminate Prohibition; Put or ratify questioned MINSA, MINAG, MININTER, Produce, MEM, Environment Housing, AFP, Cuellos Blancos regroup https://t.co/WjOPLU1s9E</v>
      </c>
      <c r="C46" s="2" t="s">
        <v>111</v>
      </c>
      <c r="D46" s="1" t="s">
        <v>112</v>
      </c>
    </row>
    <row r="47" spans="1:4" x14ac:dyDescent="0.15">
      <c r="A47" s="1" t="s">
        <v>113</v>
      </c>
      <c r="B47" s="3" t="str">
        <f ca="1">IFERROR(__xludf.DUMMYFUNCTION("GOOGLETRANSLATE(B47,""es"",""en"")"),"RT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47" s="2" t="s">
        <v>114</v>
      </c>
      <c r="D47" s="1" t="s">
        <v>112</v>
      </c>
    </row>
    <row r="48" spans="1:4" x14ac:dyDescent="0.15">
      <c r="A48" s="1" t="s">
        <v>115</v>
      </c>
      <c r="B48" s="3" t="str">
        <f ca="1">IFERROR(__xludf.DUMMYFUNCTION("GOOGLETRANSLATE(B48,""es"",""en"")"),"RT @Gestionpe: Las Bambas: State willing to pay more than S/ 300 million to communities https://t.co/HoCbdHF9jp via @Gestionpe https://t.co/TvFzaRUmS6")</f>
        <v>RT @Gestionpe: Las Bambas: State willing to pay more than S/ 300 million to communities https://t.co/HoCbdHF9jp via @Gestionpe https://t.co/TvFzaRUmS6</v>
      </c>
      <c r="C48" s="2" t="s">
        <v>116</v>
      </c>
      <c r="D48" s="1" t="s">
        <v>112</v>
      </c>
    </row>
    <row r="49" spans="1:4" x14ac:dyDescent="0.15">
      <c r="A49" s="1" t="s">
        <v>117</v>
      </c>
      <c r="B49" s="3" t="str">
        <f ca="1">IFERROR(__xludf.DUMMYFUNCTION("GOOGLETRANSLATE(B49,""es"",""en"")"),"RT @tema0902: I don't understand how @AlanGarciaPeru CRITICIZES THE GOVERNMENT, with what morals if it has crime, money laundering, delinquency, No reconstruction in Pisco, Narco Pardons, Massacre in the Frontón, El Baguazo, Dólar Muc, bribes from ODB, Pe"&amp;"troaudios. DO YOU LIKE TROLLING?
https://t.co/fWoMHDzIHG")</f>
        <v>RT @tema0902: I don't understand how @AlanGarciaPeru CRITICIZES THE GOVERNMENT, with what morals if it has crime, money laundering, delinquency, No reconstruction in Pisco, Narco Pardons, Massacre in the Frontón, El Baguazo, Dólar Muc, bribes from ODB, Petroaudios. DO YOU LIKE TROLLING?
https://t.co/fWoMHDzIHG</v>
      </c>
      <c r="C49" s="2" t="s">
        <v>118</v>
      </c>
      <c r="D49" s="1" t="s">
        <v>119</v>
      </c>
    </row>
    <row r="50" spans="1:4" x14ac:dyDescent="0.15">
      <c r="A50" s="1" t="s">
        <v>120</v>
      </c>
      <c r="B50" s="3" t="str">
        <f ca="1">IFERROR(__xludf.DUMMYFUNCTION("GOOGLETRANSLATE(B50,""es"",""en"")"),"RT @Jorgedelama: José De Echave talked about Las Bambas with Sol Carreño. He is a director of Cooperación, an anti-extractivist NGO that receives funds from the Open Society like its ""allies"". Abel Gilvonio works there, son of terrorists and a communist"&amp;" who attacked Cardinal Cipriani on Twitter Photos👇 https://t.co/l8BHyMqeao")</f>
        <v>RT @Jorgedelama: José De Echave talked about Las Bambas with Sol Carreño. He is a director of Cooperación, an anti-extractivist NGO that receives funds from the Open Society like its "allies". Abel Gilvonio works there, son of terrorists and a communist who attacked Cardinal Cipriani on Twitter Photos👇 https://t.co/l8BHyMqeao</v>
      </c>
      <c r="C50" s="2" t="s">
        <v>121</v>
      </c>
      <c r="D50" s="1" t="s">
        <v>119</v>
      </c>
    </row>
    <row r="51" spans="1:4" x14ac:dyDescent="0.15">
      <c r="A51" s="1" t="s">
        <v>122</v>
      </c>
      <c r="B51" s="3" t="str">
        <f ca="1">IFERROR(__xludf.DUMMYFUNCTION("GOOGLETRANSLATE(B51,""es"",""en"")"),"RT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51" s="2" t="s">
        <v>123</v>
      </c>
      <c r="D51" s="1" t="s">
        <v>119</v>
      </c>
    </row>
    <row r="52" spans="1:4" x14ac:dyDescent="0.15">
      <c r="A52" s="1" t="s">
        <v>124</v>
      </c>
      <c r="B52" s="3" t="str">
        <f ca="1">IFERROR(__xludf.DUMMYFUNCTION("GOOGLETRANSLATE(B52,""es"",""en"")"),"🔴 #LasBambas | Salvador del Solar met with the leader of Fuerabamba, Gregorio Rojas, who was released last Friday. 
https://t.co/TxZ7fgfllJ")</f>
        <v>🔴 #LasBambas | Salvador del Solar met with the leader of Fuerabamba, Gregorio Rojas, who was released last Friday. 
https://t.co/TxZ7fgfllJ</v>
      </c>
      <c r="C52" s="2" t="s">
        <v>125</v>
      </c>
      <c r="D52" s="1" t="s">
        <v>126</v>
      </c>
    </row>
    <row r="53" spans="1:4" x14ac:dyDescent="0.15">
      <c r="A53" s="1" t="s">
        <v>127</v>
      </c>
      <c r="B53" s="3" t="str">
        <f ca="1">IFERROR(__xludf.DUMMYFUNCTION("GOOGLETRANSLATE(B53,""es"",""en"")"),"RT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53" s="2" t="s">
        <v>128</v>
      </c>
      <c r="D53" s="1" t="s">
        <v>129</v>
      </c>
    </row>
    <row r="54" spans="1:4" x14ac:dyDescent="0.15">
      <c r="A54" s="1" t="s">
        <v>130</v>
      </c>
      <c r="B54" s="3" t="str">
        <f ca="1">IFERROR(__xludf.DUMMYFUNCTION("GOOGLETRANSLATE(B54,""es"",""en"")"),"RT @aleskrause: If you are looking to understand the origin of the conflict in Las Bambas, I suggest you read this article by Madeleine Osterling. Very clear.  https://t.co/SBywlaZCe8")</f>
        <v>RT @aleskrause: If you are looking to understand the origin of the conflict in Las Bambas, I suggest you read this article by Madeleine Osterling. Very clear.  https://t.co/SBywlaZCe8</v>
      </c>
      <c r="C54" s="2" t="s">
        <v>131</v>
      </c>
      <c r="D54" s="1" t="s">
        <v>129</v>
      </c>
    </row>
    <row r="55" spans="1:4" x14ac:dyDescent="0.15">
      <c r="A55" s="1" t="s">
        <v>132</v>
      </c>
      <c r="B55" s="3" t="str">
        <f ca="1">IFERROR(__xludf.DUMMYFUNCTION("GOOGLETRANSLATE(B55,""es"",""en"")"),"RT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55" s="2" t="s">
        <v>133</v>
      </c>
      <c r="D55" s="1" t="s">
        <v>134</v>
      </c>
    </row>
    <row r="56" spans="1:4" x14ac:dyDescent="0.15">
      <c r="A56" s="1" t="s">
        <v>135</v>
      </c>
      <c r="B56" s="3" t="str">
        <f ca="1">IFERROR(__xludf.DUMMYFUNCTION("GOOGLETRANSLATE(B56,""es"",""en"")"),"RT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56" s="2" t="s">
        <v>136</v>
      </c>
      <c r="D56" s="1" t="s">
        <v>137</v>
      </c>
    </row>
    <row r="57" spans="1:4" x14ac:dyDescent="0.15">
      <c r="A57" s="1" t="s">
        <v>138</v>
      </c>
      <c r="B57" s="3" t="str">
        <f ca="1">IFERROR(__xludf.DUMMYFUNCTION("GOOGLETRANSLATE(B57,""es"",""en"")"),"RT @parislima: @jdeechave @elcomercio_peru .@jdeechave ::: José de Echave: “A community is not a criminal organization” https://t.co/R8zoXkIybL … via @elcomercio_peru https://t.co/coEGnRNYkN")</f>
        <v>RT @parislima: @jdeechave @elcomercio_peru .@jdeechave ::: José de Echave: “A community is not a criminal organization” https://t.co/R8zoXkIybL … via @elcomercio_peru https://t.co/coEGnRNYkN</v>
      </c>
      <c r="C57" s="2" t="s">
        <v>139</v>
      </c>
      <c r="D57" s="1" t="s">
        <v>137</v>
      </c>
    </row>
    <row r="58" spans="1:4" x14ac:dyDescent="0.15">
      <c r="A58" s="1" t="s">
        <v>140</v>
      </c>
      <c r="B58" s="3" t="str">
        <f ca="1">IFERROR(__xludf.DUMMYFUNCTION("GOOGLETRANSLATE(B58,""es"",""en"")"),"RT @grancomboclub: With mega-extractive script
Alberto Varillas Cueto is a senior official of the National Society of Mining, Petroleum and Energy. 
His wife, Rosa Palacios McBride, directs a program in La República in which she gives her vehement opinion"&amp;" on the Las Bambas conflict.
https://t.co/sj6oRztAiD https://t.co/H4RCsW4yWi")</f>
        <v>RT @grancomboclub: With mega-extractive script
Alberto Varillas Cueto is a senior official of the National Society of Mining, Petroleum and Energy. 
His wife, Rosa Palacios McBride, directs a program in La República in which she gives her vehement opinion on the Las Bambas conflict.
https://t.co/sj6oRztAiD https://t.co/H4RCsW4yWi</v>
      </c>
      <c r="C58" s="2" t="s">
        <v>141</v>
      </c>
      <c r="D58" s="1" t="s">
        <v>142</v>
      </c>
    </row>
    <row r="59" spans="1:4" x14ac:dyDescent="0.15">
      <c r="A59" s="1" t="s">
        <v>143</v>
      </c>
      <c r="B59" s="3" t="str">
        <f ca="1">IFERROR(__xludf.DUMMYFUNCTION("GOOGLETRANSLATE(B59,""es"",""en"")"),"RT @ExpresoPeru: ""It is very clear to me that, in the case of Las Bambas, as long as trucks continue to be used to remove the mineral within sight and patience of the communities, regardless of the pollution or the environmental impact, there will be pro"&amp;"blems.""
Read Madeleine Osterling: https://t.co/KIjfPRh0Xs")</f>
        <v>RT @ExpresoPeru: "It is very clear to me that, in the case of Las Bambas, as long as trucks continue to be used to remove the mineral within sight and patience of the communities, regardless of the pollution or the environmental impact, there will be problems."
Read Madeleine Osterling: https://t.co/KIjfPRh0Xs</v>
      </c>
      <c r="C59" s="2" t="s">
        <v>144</v>
      </c>
      <c r="D59" s="1" t="s">
        <v>142</v>
      </c>
    </row>
    <row r="60" spans="1:4" x14ac:dyDescent="0.15">
      <c r="A60" s="1" t="s">
        <v>145</v>
      </c>
      <c r="B60" s="3" t="str">
        <f ca="1">IFERROR(__xludf.DUMMYFUNCTION("GOOGLETRANSLATE(B60,""es"",""en"")"),"RT @Jorgedelama: José De Echave talked about Las Bambas with Sol Carreño. He is a director of Cooperación, an anti-extractivist NGO that receives funds from the Open Society like its ""allies"". Abel Gilvonio works there, son of terrorists and a communist"&amp;" who attacked Cardinal Cipriani on Twitter Photos👇 https://t.co/l8BHyMqeao")</f>
        <v>RT @Jorgedelama: José De Echave talked about Las Bambas with Sol Carreño. He is a director of Cooperación, an anti-extractivist NGO that receives funds from the Open Society like its "allies". Abel Gilvonio works there, son of terrorists and a communist who attacked Cardinal Cipriani on Twitter Photos👇 https://t.co/l8BHyMqeao</v>
      </c>
      <c r="C60" s="2" t="s">
        <v>146</v>
      </c>
      <c r="D60" s="1" t="s">
        <v>147</v>
      </c>
    </row>
    <row r="61" spans="1:4" x14ac:dyDescent="0.15">
      <c r="A61" s="1" t="s">
        <v>148</v>
      </c>
      <c r="B61" s="3" t="str">
        <f ca="1">IFERROR(__xludf.DUMMYFUNCTION("GOOGLETRANSLATE(B61,""es"",""en"")"),"THE PRESIDENT OF THE COUNCIL OF MINISTER
YOU CAN SEE THAT HE HAS NO IDEA WHAT TO DO, OR HOW TO SOLVE THE ISSUE OF THE BAMBAS IN PERU,
WHILE PRESIDENT VIZCARRA HAS A BANQUET WITH THE CONSULTANTS AND... https://t.co/bmLp5KJJhp")</f>
        <v>THE PRESIDENT OF THE COUNCIL OF MINISTER
YOU CAN SEE THAT HE HAS NO IDEA WHAT TO DO, OR HOW TO SOLVE THE ISSUE OF THE BAMBAS IN PERU,
WHILE PRESIDENT VIZCARRA HAS A BANQUET WITH THE CONSULTANTS AND... https://t.co/bmLp5KJJhp</v>
      </c>
      <c r="C61" s="2" t="s">
        <v>149</v>
      </c>
      <c r="D61" s="1" t="s">
        <v>150</v>
      </c>
    </row>
    <row r="62" spans="1:4" x14ac:dyDescent="0.15">
      <c r="A62" s="1" t="s">
        <v>151</v>
      </c>
      <c r="B62" s="3" t="str">
        <f ca="1">IFERROR(__xludf.DUMMYFUNCTION("GOOGLETRANSLATE(B62,""es"",""en"")"),"FOR THIS AND MUCH MORE
Not a step back in Las Bambas. The dialogue tables should not be hesitant. The Government must not give in to blackmail. Natural resources belong to all the Peruvian people 
#TerrorismNeverAgain https://t.co/hmFdlwJ2HP")</f>
        <v>FOR THIS AND MUCH MORE
Not a step back in Las Bambas. The dialogue tables should not be hesitant. The Government must not give in to blackmail. Natural resources belong to all the Peruvian people 
#TerrorismNeverAgain https://t.co/hmFdlwJ2HP</v>
      </c>
      <c r="C62" s="2" t="s">
        <v>152</v>
      </c>
      <c r="D62" s="1" t="s">
        <v>150</v>
      </c>
    </row>
    <row r="63" spans="1:4" x14ac:dyDescent="0.15">
      <c r="A63" s="1" t="s">
        <v>153</v>
      </c>
      <c r="B63" s="3" t="str">
        <f ca="1">IFERROR(__xludf.DUMMYFUNCTION("GOOGLETRANSLATE(B63,""es"",""en"")"),"RT @mining: MMG’s subsidiary in Peru rejects blockade near Las Bambas #copper mine https://t.co/fnZtT4gBef https://t.co/XY0YeDZaZe")</f>
        <v>RT @mining: MMG’s subsidiary in Peru rejects blockade near Las Bambas #copper mine https://t.co/fnZtT4gBef https://t.co/XY0YeDZaZe</v>
      </c>
      <c r="C63" s="2" t="s">
        <v>154</v>
      </c>
      <c r="D63" s="1" t="s">
        <v>150</v>
      </c>
    </row>
    <row r="64" spans="1:4" x14ac:dyDescent="0.15">
      <c r="A64" s="1" t="s">
        <v>155</v>
      </c>
      <c r="B64" s="3" t="str">
        <f ca="1">IFERROR(__xludf.DUMMYFUNCTION("GOOGLETRANSLATE(B64,""es"",""en"")"),"RT @Gestionpe: Government estimates paying S/ 350 million to overcome conflict in Las Bambas ► https://t.co/cpIX0vCx38 https://t.co/Sy3BDSdShe")</f>
        <v>RT @Gestionpe: Government estimates paying S/ 350 million to overcome conflict in Las Bambas ► https://t.co/cpIX0vCx38 https://t.co/Sy3BDSdShe</v>
      </c>
      <c r="C64" s="2" t="s">
        <v>156</v>
      </c>
      <c r="D64" s="1" t="s">
        <v>150</v>
      </c>
    </row>
    <row r="65" spans="1:4" x14ac:dyDescent="0.15">
      <c r="A65" s="1" t="s">
        <v>157</v>
      </c>
      <c r="B65" s="3" t="str">
        <f ca="1">IFERROR(__xludf.DUMMYFUNCTION("GOOGLETRANSLATE(B65,""es"",""en"")"),"@JuanSheput Sneakers effect!")</f>
        <v>@JuanSheput Sneakers effect!</v>
      </c>
      <c r="C65" s="2" t="s">
        <v>158</v>
      </c>
      <c r="D65" s="1" t="s">
        <v>159</v>
      </c>
    </row>
    <row r="66" spans="1:4" x14ac:dyDescent="0.15">
      <c r="A66" s="1" t="s">
        <v>160</v>
      </c>
      <c r="B66" s="3" t="str">
        <f ca="1">IFERROR(__xludf.DUMMYFUNCTION("GOOGLETRANSLATE(B66,""es"",""en"")"),"RT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66" s="2" t="s">
        <v>161</v>
      </c>
      <c r="D66" s="1" t="s">
        <v>162</v>
      </c>
    </row>
    <row r="67" spans="1:4" x14ac:dyDescent="0.15">
      <c r="A67" s="1" t="s">
        <v>163</v>
      </c>
      <c r="B67" s="3" t="str">
        <f ca="1">IFERROR(__xludf.DUMMYFUNCTION("GOOGLETRANSLATE(B67,""es"",""en"")"),"RT @Jorgedelama: José De Echave talked about Las Bambas with Sol Carreño. He is a director of Cooperación, an anti-extractivist NGO that receives funds from the Open Society like its ""allies"". Abel Gilvonio works there, son of terrorists and a communist"&amp;" who attacked Cardinal Cipriani on Twitter Photos👇 https://t.co/l8BHyMqeao")</f>
        <v>RT @Jorgedelama: José De Echave talked about Las Bambas with Sol Carreño. He is a director of Cooperación, an anti-extractivist NGO that receives funds from the Open Society like its "allies". Abel Gilvonio works there, son of terrorists and a communist who attacked Cardinal Cipriani on Twitter Photos👇 https://t.co/l8BHyMqeao</v>
      </c>
      <c r="C67" s="2" t="s">
        <v>164</v>
      </c>
      <c r="D67" s="1" t="s">
        <v>165</v>
      </c>
    </row>
    <row r="68" spans="1:4" x14ac:dyDescent="0.15">
      <c r="A68" s="1" t="s">
        <v>166</v>
      </c>
      <c r="B68" s="3" t="str">
        <f ca="1">IFERROR(__xludf.DUMMYFUNCTION("GOOGLETRANSLATE(B68,""es"",""en"")"),"RT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68" s="2" t="s">
        <v>167</v>
      </c>
      <c r="D68" s="1" t="s">
        <v>165</v>
      </c>
    </row>
    <row r="69" spans="1:4" x14ac:dyDescent="0.15">
      <c r="A69" s="1" t="s">
        <v>115</v>
      </c>
      <c r="B69" s="3" t="str">
        <f ca="1">IFERROR(__xludf.DUMMYFUNCTION("GOOGLETRANSLATE(B69,""es"",""en"")"),"RT @aleskrause: If you are looking to understand the origin of the conflict in Las Bambas, I suggest you read this article by Madeleine Osterling. Very clear.  https://t.co/SBywlaZCe8")</f>
        <v>RT @aleskrause: If you are looking to understand the origin of the conflict in Las Bambas, I suggest you read this article by Madeleine Osterling. Very clear.  https://t.co/SBywlaZCe8</v>
      </c>
      <c r="C69" s="2" t="s">
        <v>168</v>
      </c>
      <c r="D69" s="1" t="s">
        <v>165</v>
      </c>
    </row>
    <row r="70" spans="1:4" x14ac:dyDescent="0.15">
      <c r="A70" s="1" t="s">
        <v>169</v>
      </c>
      <c r="B70" s="3" t="str">
        <f ca="1">IFERROR(__xludf.DUMMYFUNCTION("GOOGLETRANSLATE(B70,""es"",""en"")"),"RT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70" s="2" t="s">
        <v>170</v>
      </c>
      <c r="D70" s="1" t="s">
        <v>171</v>
      </c>
    </row>
    <row r="71" spans="1:4" x14ac:dyDescent="0.15">
      <c r="A71" s="1" t="s">
        <v>172</v>
      </c>
      <c r="B71" s="3" t="str">
        <f ca="1">IFERROR(__xludf.DUMMYFUNCTION("GOOGLETRANSLATE(B71,""es"",""en"")"),"RT @manifiesto_peru: PROSECUTOR ADMITS THAT THEY RELEASED THE LEADER EVALUATING THE POLITICAL SITUATION
They detained Gregorio Rojas after 6 months of investigation and wiretapping, but only then did they realize that protesters were asking him for dialo"&amp;"gue in Las Bambas ▶️ https://t.co/XtKUcgKWvW https://t.co/Sn1c9rY2Ra")</f>
        <v>RT @manifiesto_peru: PROSECUTOR ADMITS THAT THEY RELEASED THE LEADER EVALUATING THE POLITICAL SITUATION
They detained Gregorio Rojas after 6 months of investigation and wiretapping, but only then did they realize that protesters were asking him for dialogue in Las Bambas ▶️ https://t.co/XtKUcgKWvW https://t.co/Sn1c9rY2Ra</v>
      </c>
      <c r="C71" s="2" t="s">
        <v>173</v>
      </c>
      <c r="D71" s="1" t="s">
        <v>174</v>
      </c>
    </row>
    <row r="72" spans="1:4" x14ac:dyDescent="0.15">
      <c r="A72" s="1" t="s">
        <v>175</v>
      </c>
      <c r="B72" s="3" t="str">
        <f ca="1">IFERROR(__xludf.DUMMYFUNCTION("GOOGLETRANSLATE(B72,""es"",""en"")"),"RT @manifiesto_peru: PROSECUTOR ADMITS THAT THEY RELEASED THE LEADER EVALUATING THE POLITICAL SITUATION
They detained Gregorio Rojas after 6 months of investigation and wiretapping, but only then did they realize that protesters were asking him for dialo"&amp;"gue in Las Bambas ▶️ https://t.co/XtKUcgKWvW https://t.co/Sn1c9rY2Ra")</f>
        <v>RT @manifiesto_peru: PROSECUTOR ADMITS THAT THEY RELEASED THE LEADER EVALUATING THE POLITICAL SITUATION
They detained Gregorio Rojas after 6 months of investigation and wiretapping, but only then did they realize that protesters were asking him for dialogue in Las Bambas ▶️ https://t.co/XtKUcgKWvW https://t.co/Sn1c9rY2Ra</v>
      </c>
      <c r="C72" s="2" t="s">
        <v>176</v>
      </c>
      <c r="D72" s="1" t="s">
        <v>177</v>
      </c>
    </row>
    <row r="73" spans="1:4" x14ac:dyDescent="0.15">
      <c r="A73" s="1" t="s">
        <v>178</v>
      </c>
      <c r="B73" s="3" t="str">
        <f ca="1">IFERROR(__xludf.DUMMYFUNCTION("GOOGLETRANSLATE(B73,""es"",""en"")"),"RT @amesacha: THIS TRUTH, GENTLEMEN OF THE REPUBLIC, IS NOT COMPLETE, HERE THERE WAS TRIANGULATION OLLANTA WITH ITS MINISTER OF ECONOMY ISSUED A LAW SO THAT THE SWISS DOES NOT... https://t.co/cWrvN0K2Xs")</f>
        <v>RT @amesacha: THIS TRUTH, GENTLEMEN OF THE REPUBLIC, IS NOT COMPLETE, HERE THERE WAS TRIANGULATION OLLANTA WITH ITS MINISTER OF ECONOMY ISSUED A LAW SO THAT THE SWISS DOES NOT... https://t.co/cWrvN0K2Xs</v>
      </c>
      <c r="C73" s="2" t="s">
        <v>179</v>
      </c>
      <c r="D73" s="1" t="s">
        <v>180</v>
      </c>
    </row>
    <row r="74" spans="1:4" x14ac:dyDescent="0.15">
      <c r="A74" s="1" t="s">
        <v>181</v>
      </c>
      <c r="B74" s="3" t="str">
        <f ca="1">IFERROR(__xludf.DUMMYFUNCTION("GOOGLETRANSLATE(B74,""es"",""en"")"),"Paralysis of Las Bambas could affect economic growth https://t.co/HYZKJISL6C https://t.co/c0t5Mz78NR")</f>
        <v>Paralysis of Las Bambas could affect economic growth https://t.co/HYZKJISL6C https://t.co/c0t5Mz78NR</v>
      </c>
      <c r="C74" s="2" t="s">
        <v>182</v>
      </c>
      <c r="D74" s="1" t="s">
        <v>183</v>
      </c>
    </row>
    <row r="75" spans="1:4" x14ac:dyDescent="0.15">
      <c r="A75" s="1" t="s">
        <v>184</v>
      </c>
      <c r="B75" s="3" t="str">
        <f ca="1">IFERROR(__xludf.DUMMYFUNCTION("GOOGLETRANSLATE(B75,""es"",""en"")"),"To better understand what happens in Las Bambas. The version of a priest who works in Cotabambas and knows what the life of the peasants is like. They are not the rich and exploited that some journalists paint them as. They are simple people and they suff"&amp;"er a lot... https://t.co/gjfBeZkila")</f>
        <v>To better understand what happens in Las Bambas. The version of a priest who works in Cotabambas and knows what the life of the peasants is like. They are not the rich and exploited that some journalists paint them as. They are simple people and they suffer a lot... https://t.co/gjfBeZkila</v>
      </c>
      <c r="C75" s="2" t="s">
        <v>185</v>
      </c>
      <c r="D75" s="1" t="s">
        <v>183</v>
      </c>
    </row>
    <row r="76" spans="1:4" x14ac:dyDescent="0.15">
      <c r="A76" s="1" t="s">
        <v>186</v>
      </c>
      <c r="B76" s="3" t="str">
        <f ca="1">IFERROR(__xludf.DUMMYFUNCTION("GOOGLETRANSLATE(B76,""es"",""en"")"),"RT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76" s="2" t="s">
        <v>187</v>
      </c>
      <c r="D76" s="1" t="s">
        <v>188</v>
      </c>
    </row>
    <row r="77" spans="1:4" x14ac:dyDescent="0.15">
      <c r="A77" s="1" t="s">
        <v>189</v>
      </c>
      <c r="B77" s="3" t="str">
        <f ca="1">IFERROR(__xludf.DUMMYFUNCTION("GOOGLETRANSLATE(B77,""es"",""en"")"),"@RPPNoticias X not solving the Las Bambas conflict.")</f>
        <v>@RPPNoticias X not solving the Las Bambas conflict.</v>
      </c>
      <c r="C77" s="2" t="s">
        <v>190</v>
      </c>
      <c r="D77" s="1" t="s">
        <v>188</v>
      </c>
    </row>
    <row r="78" spans="1:4" x14ac:dyDescent="0.15">
      <c r="A78" s="1" t="s">
        <v>191</v>
      </c>
      <c r="B78" s="3" t="str">
        <f ca="1">IFERROR(__xludf.DUMMYFUNCTION("GOOGLETRANSLATE(B78,""es"",""en"")"),"RT @canalN_: [LIVE] Salvador del Solar announces that three ministers of State will be sent to the conflict zone of Las Bambas ►https://t.co/WAgcNzGC9I https://t.co/UpChpF3Nyl")</f>
        <v>RT @canalN_: [LIVE] Salvador del Solar announces that three ministers of State will be sent to the conflict zone of Las Bambas ►https://t.co/WAgcNzGC9I https://t.co/UpChpF3Nyl</v>
      </c>
      <c r="C78" s="2" t="s">
        <v>192</v>
      </c>
      <c r="D78" s="1" t="s">
        <v>193</v>
      </c>
    </row>
    <row r="79" spans="1:4" x14ac:dyDescent="0.15">
      <c r="A79" s="1" t="s">
        <v>194</v>
      </c>
      <c r="B79" s="3" t="str">
        <f ca="1">IFERROR(__xludf.DUMMYFUNCTION("GOOGLETRANSLATE(B79,""es"",""en"")"),"Sad for the 17 Peruvians who were burned to death last night at the Fiori terminal, where Mayor Muñoz is who allows these Bambas whereabouts")</f>
        <v>Sad for the 17 Peruvians who were burned to death last night at the Fiori terminal, where Mayor Muñoz is who allows these Bambas whereabouts</v>
      </c>
      <c r="C79" s="2" t="s">
        <v>195</v>
      </c>
      <c r="D79" s="1" t="s">
        <v>193</v>
      </c>
    </row>
    <row r="80" spans="1:4" x14ac:dyDescent="0.15">
      <c r="A80" s="1" t="s">
        <v>178</v>
      </c>
      <c r="B80" s="3" t="str">
        <f ca="1">IFERROR(__xludf.DUMMYFUNCTION("GOOGLETRANSLATE(B80,""es"",""en"")"),"RT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80" s="2" t="s">
        <v>196</v>
      </c>
      <c r="D80" s="1" t="s">
        <v>193</v>
      </c>
    </row>
    <row r="81" spans="1:4" x14ac:dyDescent="0.15">
      <c r="A81" s="1" t="s">
        <v>197</v>
      </c>
      <c r="B81" s="3" t="str">
        <f ca="1">IFERROR(__xludf.DUMMYFUNCTION("GOOGLETRANSLATE(B81,""es"",""en"")"),"RT @jdeechave: Good summary of how the Las Bambas project has been changing permanently without the population being adequately informed... https://t.co/8XVr32eWma")</f>
        <v>RT @jdeechave: Good summary of how the Las Bambas project has been changing permanently without the population being adequately informed... https://t.co/8XVr32eWma</v>
      </c>
      <c r="C81" s="2" t="s">
        <v>198</v>
      </c>
      <c r="D81" s="1" t="s">
        <v>199</v>
      </c>
    </row>
    <row r="82" spans="1:4" x14ac:dyDescent="0.15">
      <c r="A82" s="1" t="s">
        <v>200</v>
      </c>
      <c r="B82" s="3" t="str">
        <f ca="1">IFERROR(__xludf.DUMMYFUNCTION("GOOGLETRANSLATE(B82,""es"",""en"")"),"RT @veritatisperu: ”Now that MP has heeded the political and commercial pressures that asked for the release of the president of the Fuerabamba community—to ""unravel"" negotiations"" in Las Bambas—, we know that, indeed, Keiko Fujimori is a political pri"&amp;"soner""
#KeikoPresaPolitics 
https://t.co/BKOmVPnxDt")</f>
        <v>RT @veritatisperu: ”Now that MP has heeded the political and commercial pressures that asked for the release of the president of the Fuerabamba community—to "unravel" negotiations" in Las Bambas—, we know that, indeed, Keiko Fujimori is a political prisoner"
#KeikoPresaPolitics 
https://t.co/BKOmVPnxDt</v>
      </c>
      <c r="C82" s="2" t="s">
        <v>201</v>
      </c>
      <c r="D82" s="1" t="s">
        <v>199</v>
      </c>
    </row>
    <row r="83" spans="1:4" x14ac:dyDescent="0.15">
      <c r="A83" s="1" t="s">
        <v>202</v>
      </c>
      <c r="B83" s="3" t="str">
        <f ca="1">IFERROR(__xludf.DUMMYFUNCTION("GOOGLETRANSLATE(B83,""es"",""en"")"),"The hare jumped, the great Manuel Rosas made the community leader speak at @exitosape. They want 40 million and the problem in Las Bambas is fixed. The problem is not pollution, postponed rights, NOTHING, everything is SILVER. And then it will be more.
@e"&amp;"xitosape @NicolasLucar")</f>
        <v>The hare jumped, the great Manuel Rosas made the community leader speak at @exitosape. They want 40 million and the problem in Las Bambas is fixed. The problem is not pollution, postponed rights, NOTHING, everything is SILVER. And then it will be more.
@exitosape @NicolasLucar</v>
      </c>
      <c r="C83" s="2" t="s">
        <v>203</v>
      </c>
      <c r="D83" s="1" t="s">
        <v>199</v>
      </c>
    </row>
    <row r="84" spans="1:4" x14ac:dyDescent="0.15">
      <c r="A84" s="1" t="s">
        <v>181</v>
      </c>
      <c r="B84" s="3" t="str">
        <f ca="1">IFERROR(__xludf.DUMMYFUNCTION("GOOGLETRANSLATE(B84,""es"",""en"")"),"Government estimates paying S/ 350 million to overcome conflict in Las Bambas https://t.co/4AnbrjcBKX https://t.co/0jvmUwcIag")</f>
        <v>Government estimates paying S/ 350 million to overcome conflict in Las Bambas https://t.co/4AnbrjcBKX https://t.co/0jvmUwcIag</v>
      </c>
      <c r="C84" s="2" t="s">
        <v>204</v>
      </c>
      <c r="D84" s="1" t="s">
        <v>205</v>
      </c>
    </row>
    <row r="85" spans="1:4" x14ac:dyDescent="0.15">
      <c r="A85" s="1" t="s">
        <v>206</v>
      </c>
      <c r="B85" s="3" t="str">
        <f ca="1">IFERROR(__xludf.DUMMYFUNCTION("GOOGLETRANSLATE(B85,""es"",""en"")"),"RT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85" s="2" t="s">
        <v>207</v>
      </c>
      <c r="D85" s="1" t="s">
        <v>205</v>
      </c>
    </row>
    <row r="86" spans="1:4" x14ac:dyDescent="0.15">
      <c r="A86" s="1" t="s">
        <v>208</v>
      </c>
      <c r="B86" s="3" t="str">
        <f ca="1">IFERROR(__xludf.DUMMYFUNCTION("GOOGLETRANSLATE(B86,""es"",""en"")"),"RT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86" s="2" t="s">
        <v>209</v>
      </c>
      <c r="D86" s="1" t="s">
        <v>210</v>
      </c>
    </row>
    <row r="87" spans="1:4" x14ac:dyDescent="0.15">
      <c r="A87" s="1" t="s">
        <v>211</v>
      </c>
      <c r="B87" s="3" t="str">
        <f ca="1">IFERROR(__xludf.DUMMYFUNCTION("GOOGLETRANSLATE(B87,""es"",""en"")"),"RT @aleskrause: If you are looking to understand the origin of the conflict in Las Bambas, I suggest you read this article by Madeleine Osterling. Very clear.  https://t.co/SBywlaZCe8")</f>
        <v>RT @aleskrause: If you are looking to understand the origin of the conflict in Las Bambas, I suggest you read this article by Madeleine Osterling. Very clear.  https://t.co/SBywlaZCe8</v>
      </c>
      <c r="C87" s="2" t="s">
        <v>212</v>
      </c>
      <c r="D87" s="1" t="s">
        <v>210</v>
      </c>
    </row>
    <row r="88" spans="1:4" x14ac:dyDescent="0.15">
      <c r="A88" s="1" t="s">
        <v>213</v>
      </c>
      <c r="B88" s="3" t="str">
        <f ca="1">IFERROR(__xludf.DUMMYFUNCTION("GOOGLETRANSLATE(B88,""es"",""en"")"),"RT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88" s="2" t="s">
        <v>214</v>
      </c>
      <c r="D88" s="1" t="s">
        <v>215</v>
      </c>
    </row>
    <row r="89" spans="1:4" x14ac:dyDescent="0.15">
      <c r="A89" s="1" t="s">
        <v>216</v>
      </c>
      <c r="B89" s="3" t="str">
        <f ca="1">IFERROR(__xludf.DUMMYFUNCTION("GOOGLETRANSLATE(B89,""es"",""en"")"),"RT @jgodoym: Today David Rivera writes with several out-of-the-box ideas to improve the State's performance on social conflicts. Worth reading https://t.co/cELX5TgBOQ")</f>
        <v>RT @jgodoym: Today David Rivera writes with several out-of-the-box ideas to improve the State's performance on social conflicts. Worth reading https://t.co/cELX5TgBOQ</v>
      </c>
      <c r="C89" s="2" t="s">
        <v>217</v>
      </c>
      <c r="D89" s="1" t="s">
        <v>218</v>
      </c>
    </row>
    <row r="90" spans="1:4" x14ac:dyDescent="0.15">
      <c r="A90" s="1" t="s">
        <v>219</v>
      </c>
      <c r="B90" s="3" t="str">
        <f ca="1">IFERROR(__xludf.DUMMYFUNCTION("GOOGLETRANSLATE(B90,""es"",""en"")"),"RT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90" s="2" t="s">
        <v>220</v>
      </c>
      <c r="D90" s="1" t="s">
        <v>221</v>
      </c>
    </row>
    <row r="91" spans="1:4" x14ac:dyDescent="0.15">
      <c r="A91" s="1" t="s">
        <v>222</v>
      </c>
      <c r="B91" s="3" t="str">
        <f ca="1">IFERROR(__xludf.DUMMYFUNCTION("GOOGLETRANSLATE(B91,""es"",""en"")"),"RT @ExpresoPeru: ""It is very clear to me that, in the case of Las Bambas, as long as trucks continue to be used to remove the mineral within sight and patience of the communities, regardless of the pollution or the environmental impact, there will be pro"&amp;"blems.""
Read Madeleine Osterling: https://t.co/KIjfPRh0Xs")</f>
        <v>RT @ExpresoPeru: "It is very clear to me that, in the case of Las Bambas, as long as trucks continue to be used to remove the mineral within sight and patience of the communities, regardless of the pollution or the environmental impact, there will be problems."
Read Madeleine Osterling: https://t.co/KIjfPRh0Xs</v>
      </c>
      <c r="C91" s="2" t="s">
        <v>223</v>
      </c>
      <c r="D91" s="1" t="s">
        <v>221</v>
      </c>
    </row>
    <row r="92" spans="1:4" x14ac:dyDescent="0.15">
      <c r="A92" s="1" t="s">
        <v>224</v>
      </c>
      <c r="B92" s="3" t="str">
        <f ca="1">IFERROR(__xludf.DUMMYFUNCTION("GOOGLETRANSLATE(B92,""es"",""en"")"),"RT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92" s="2" t="s">
        <v>225</v>
      </c>
      <c r="D92" s="1" t="s">
        <v>226</v>
      </c>
    </row>
    <row r="93" spans="1:4" x14ac:dyDescent="0.15">
      <c r="A93" s="1" t="s">
        <v>227</v>
      </c>
      <c r="B93" s="3" t="str">
        <f ca="1">IFERROR(__xludf.DUMMYFUNCTION("GOOGLETRANSLATE(B93,""es"",""en"")"),"RT @Servindi: #LasBambas: A conflict that shows that the Peruvian State did not learn from the baguazos. By Elmer Torrejón Pizarro (anthropologist) → https://t.co/b1cj2TGAZC https://t.co/dtD2Wx5xPE")</f>
        <v>RT @Servindi: #LasBambas: A conflict that shows that the Peruvian State did not learn from the baguazos. By Elmer Torrejón Pizarro (anthropologist) → https://t.co/b1cj2TGAZC https://t.co/dtD2Wx5xPE</v>
      </c>
      <c r="C93" s="2" t="s">
        <v>228</v>
      </c>
      <c r="D93" s="1" t="s">
        <v>226</v>
      </c>
    </row>
    <row r="94" spans="1:4" x14ac:dyDescent="0.15">
      <c r="A94" s="1" t="s">
        <v>229</v>
      </c>
      <c r="B94" s="3" t="str">
        <f ca="1">IFERROR(__xludf.DUMMYFUNCTION("GOOGLETRANSLATE(B94,""es"",""en"")"),"Finally I read a clear explanation of the Las Bambas problem. If the agreements are not fulfilled, what can be expected? If they are modified without consensus and people's lives are changed, this happens. Let's start by seeing it.
https://t.co/hl3qu9VrJN")</f>
        <v>Finally I read a clear explanation of the Las Bambas problem. If the agreements are not fulfilled, what can be expected? If they are modified without consensus and people's lives are changed, this happens. Let's start by seeing it.
https://t.co/hl3qu9VrJN</v>
      </c>
      <c r="C94" s="2" t="s">
        <v>230</v>
      </c>
      <c r="D94" s="1" t="s">
        <v>226</v>
      </c>
    </row>
    <row r="95" spans="1:4" x14ac:dyDescent="0.15">
      <c r="A95" s="1" t="s">
        <v>231</v>
      </c>
      <c r="B95" s="3" t="str">
        <f ca="1">IFERROR(__xludf.DUMMYFUNCTION("GOOGLETRANSLATE(B95,""es"",""en"")"),"RT @manifiesto_peru: PROSECUTOR ADMITS THAT THEY RELEASED THE LEADER EVALUATING THE POLITICAL SITUATION
They detained Gregorio Rojas after 6 months of investigation and wiretapping, but only then did they realize that protesters were asking him for dialo"&amp;"gue in Las Bambas ▶️ https://t.co/XtKUcgKWvW https://t.co/Sn1c9rY2Ra")</f>
        <v>RT @manifiesto_peru: PROSECUTOR ADMITS THAT THEY RELEASED THE LEADER EVALUATING THE POLITICAL SITUATION
They detained Gregorio Rojas after 6 months of investigation and wiretapping, but only then did they realize that protesters were asking him for dialogue in Las Bambas ▶️ https://t.co/XtKUcgKWvW https://t.co/Sn1c9rY2Ra</v>
      </c>
      <c r="C95" s="2" t="s">
        <v>232</v>
      </c>
      <c r="D95" s="1" t="s">
        <v>233</v>
      </c>
    </row>
    <row r="96" spans="1:4" x14ac:dyDescent="0.15">
      <c r="A96" s="1" t="s">
        <v>213</v>
      </c>
      <c r="B96" s="3" t="str">
        <f ca="1">IFERROR(__xludf.DUMMYFUNCTION("GOOGLETRANSLATE(B96,""es"",""en"")"),"RT @Cecilia605040: After what happened in Las Bambas and the Fiori tragedy for allowing informal bus stops to operate, has the head of @MTC_GobPeru already resigned?")</f>
        <v>RT @Cecilia605040: After what happened in Las Bambas and the Fiori tragedy for allowing informal bus stops to operate, has the head of @MTC_GobPeru already resigned?</v>
      </c>
      <c r="C96" s="2" t="s">
        <v>234</v>
      </c>
      <c r="D96" s="1" t="s">
        <v>233</v>
      </c>
    </row>
    <row r="97" spans="1:4" x14ac:dyDescent="0.15">
      <c r="A97" s="1" t="s">
        <v>235</v>
      </c>
      <c r="B97" s="3" t="str">
        <f ca="1">IFERROR(__xludf.DUMMYFUNCTION("GOOGLETRANSLATE(B97,""es"",""en"")"),"RT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97" s="2" t="s">
        <v>236</v>
      </c>
      <c r="D97" s="1" t="s">
        <v>233</v>
      </c>
    </row>
    <row r="98" spans="1:4" x14ac:dyDescent="0.15">
      <c r="A98" s="1" t="s">
        <v>237</v>
      </c>
      <c r="B98" s="3" t="str">
        <f ca="1">IFERROR(__xludf.DUMMYFUNCTION("GOOGLETRANSLATE(B98,""es"",""en"")"),"RT @jgodoym: Today David Rivera writes with several out-of-the-box ideas to improve the State's performance on social conflicts. Worth reading https://t.co/cELX5TgBOQ")</f>
        <v>RT @jgodoym: Today David Rivera writes with several out-of-the-box ideas to improve the State's performance on social conflicts. Worth reading https://t.co/cELX5TgBOQ</v>
      </c>
      <c r="C98" s="2" t="s">
        <v>238</v>
      </c>
      <c r="D98" s="1" t="s">
        <v>233</v>
      </c>
    </row>
    <row r="99" spans="1:4" x14ac:dyDescent="0.15">
      <c r="A99" s="1" t="s">
        <v>239</v>
      </c>
      <c r="B99" s="3" t="str">
        <f ca="1">IFERROR(__xludf.DUMMYFUNCTION("GOOGLETRANSLATE(B99,""es"",""en"")"),"My article for iFOREX financial #news @iforex_com 
#LASBAMBAS paralyzed https://t.co/M7kHWSm0F7 #news #copper #cobre #perú")</f>
        <v>My article for iFOREX financial #news @iforex_com 
#LASBAMBAS paralyzed https://t.co/M7kHWSm0F7 #news #copper #cobre #perú</v>
      </c>
      <c r="C99" s="2" t="s">
        <v>240</v>
      </c>
      <c r="D99" s="1" t="s">
        <v>233</v>
      </c>
    </row>
    <row r="100" spans="1:4" x14ac:dyDescent="0.15">
      <c r="A100" s="1" t="s">
        <v>241</v>
      </c>
      <c r="B100" s="3" t="str">
        <f ca="1">IFERROR(__xludf.DUMMYFUNCTION("GOOGLETRANSLATE(B100,""es"",""en"")"),"🔴 Will community members unblock roads in Las Bambas if the state of emergency is lifted?
Don't forget to participate in our #Survey21 https://t.co/t7rf8xwbR9 https://t.co/Akr2XmTDW8")</f>
        <v>🔴 Will community members unblock roads in Las Bambas if the state of emergency is lifted?
Don't forget to participate in our #Survey21 https://t.co/t7rf8xwbR9 https://t.co/Akr2XmTDW8</v>
      </c>
      <c r="C100" s="2" t="s">
        <v>242</v>
      </c>
      <c r="D100" s="1" t="s">
        <v>243</v>
      </c>
    </row>
    <row r="101" spans="1:4" x14ac:dyDescent="0.15">
      <c r="A101" s="1" t="s">
        <v>244</v>
      </c>
      <c r="B101" s="3" t="str">
        <f ca="1">IFERROR(__xludf.DUMMYFUNCTION("GOOGLETRANSLATE(B101,""es"",""en"")"),"RT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101" s="2" t="s">
        <v>245</v>
      </c>
      <c r="D101" s="1" t="s">
        <v>243</v>
      </c>
    </row>
    <row r="102" spans="1:4" x14ac:dyDescent="0.15">
      <c r="A102" s="1" t="s">
        <v>246</v>
      </c>
      <c r="B102" s="3" t="str">
        <f ca="1">IFERROR(__xludf.DUMMYFUNCTION("GOOGLETRANSLATE(B102,""es"",""en"")"),"RT @paolobenza: What's happening in Las Bambas? This happens in Las Bambas:
- The mine - at the time, the largest project in the country - was originally owned by Xstrata, which also had Antapaccay. 
- In 2013 Glencore bought Xstrata and, to complete the "&amp;"operation, China demanded... [thread]")</f>
        <v>RT @paolobenza: What's happening in Las Bambas? This happens in Las Bambas:
- The mine - at the time, the largest project in the country - was originally owned by Xstrata, which also had Antapaccay. 
- In 2013 Glencore bought Xstrata and, to complete the operation, China demanded... [thread]</v>
      </c>
      <c r="C102" s="2" t="s">
        <v>247</v>
      </c>
      <c r="D102" s="1" t="s">
        <v>248</v>
      </c>
    </row>
    <row r="103" spans="1:4" x14ac:dyDescent="0.15">
      <c r="A103" s="1" t="s">
        <v>249</v>
      </c>
      <c r="B103" s="3" t="str">
        <f ca="1">IFERROR(__xludf.DUMMYFUNCTION("GOOGLETRANSLATE(B103,""es"",""en"")"),"RT @Yoly25gmailcom1: Vizcarra who is in the palace solves the problem of the sneakers, many dead Peruvians, shameless, they are all the same")</f>
        <v>RT @Yoly25gmailcom1: Vizcarra who is in the palace solves the problem of the sneakers, many dead Peruvians, shameless, they are all the same</v>
      </c>
      <c r="C103" s="2" t="s">
        <v>250</v>
      </c>
      <c r="D103" s="1" t="s">
        <v>248</v>
      </c>
    </row>
    <row r="104" spans="1:4" x14ac:dyDescent="0.15">
      <c r="A104" s="1" t="s">
        <v>251</v>
      </c>
      <c r="B104" s="3" t="str">
        <f ca="1">IFERROR(__xludf.DUMMYFUNCTION("GOOGLETRANSLATE(B104,""es"",""en"")"),"RT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104" s="2" t="s">
        <v>252</v>
      </c>
      <c r="D104" s="1" t="s">
        <v>253</v>
      </c>
    </row>
    <row r="105" spans="1:4" x14ac:dyDescent="0.15">
      <c r="A105" s="1" t="s">
        <v>254</v>
      </c>
      <c r="B105" s="3" t="str">
        <f ca="1">IFERROR(__xludf.DUMMYFUNCTION("GOOGLETRANSLATE(B105,""es"",""en"")"),"Government estimates paying S/ 350 million to overcome conflict in Las Bambas
Trujillo reveals that definitive highway construction involves investment of... https://t.co/UcaSu7pg1U")</f>
        <v>Government estimates paying S/ 350 million to overcome conflict in Las Bambas
Trujillo reveals that definitive highway construction involves investment of... https://t.co/UcaSu7pg1U</v>
      </c>
      <c r="C105" s="2" t="s">
        <v>255</v>
      </c>
      <c r="D105" s="1" t="s">
        <v>253</v>
      </c>
    </row>
    <row r="106" spans="1:4" x14ac:dyDescent="0.15">
      <c r="A106" s="1" t="s">
        <v>256</v>
      </c>
      <c r="B106" s="3" t="str">
        <f ca="1">IFERROR(__xludf.DUMMYFUNCTION("GOOGLETRANSLATE(B106,""es"",""en"")"),"@atvmasnoticias @atv_noticias Congressmen who earn so much money can't go to school. WHAT DO THESE CONGRESSIONAL RATS CHARGE?")</f>
        <v>@atvmasnoticias @atv_noticias Congressmen who earn so much money can't go to school. WHAT DO THESE CONGRESSIONAL RATS CHARGE?</v>
      </c>
      <c r="C106" s="2" t="s">
        <v>257</v>
      </c>
      <c r="D106" s="1" t="s">
        <v>253</v>
      </c>
    </row>
    <row r="107" spans="1:4" x14ac:dyDescent="0.15">
      <c r="A107" s="1" t="s">
        <v>258</v>
      </c>
      <c r="B107" s="3" t="str">
        <f ca="1">IFERROR(__xludf.DUMMYFUNCTION("GOOGLETRANSLATE(B107,""es"",""en"")"),"RT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107" s="2" t="s">
        <v>259</v>
      </c>
      <c r="D107" s="1" t="s">
        <v>260</v>
      </c>
    </row>
    <row r="108" spans="1:4" x14ac:dyDescent="0.15">
      <c r="A108" s="1" t="s">
        <v>261</v>
      </c>
      <c r="B108" s="3" t="str">
        <f ca="1">IFERROR(__xludf.DUMMYFUNCTION("GOOGLETRANSLATE(B108,""es"",""en"")"),"RT @aleskrause: If you are looking to understand the origin of the conflict in Las Bambas, I suggest you read this article by Madeleine Osterling. Very clear.  https://t.co/SBywlaZCe8")</f>
        <v>RT @aleskrause: If you are looking to understand the origin of the conflict in Las Bambas, I suggest you read this article by Madeleine Osterling. Very clear.  https://t.co/SBywlaZCe8</v>
      </c>
      <c r="C108" s="2" t="s">
        <v>262</v>
      </c>
      <c r="D108" s="1" t="s">
        <v>260</v>
      </c>
    </row>
    <row r="109" spans="1:4" x14ac:dyDescent="0.15">
      <c r="A109" s="1" t="s">
        <v>263</v>
      </c>
      <c r="B109" s="3" t="str">
        <f ca="1">IFERROR(__xludf.DUMMYFUNCTION("GOOGLETRANSLATE(B109,""es"",""en"")"),"Just enough.
""The Minister of Transportation and Communications, Edmer Trujillo, recognized the right of 38 communities to receive a payment for the use of 324 kilometers of their property to... https://t.co/uollchgG8g")</f>
        <v>Just enough.
"The Minister of Transportation and Communications, Edmer Trujillo, recognized the right of 38 communities to receive a payment for the use of 324 kilometers of their property to... https://t.co/uollchgG8g</v>
      </c>
      <c r="C109" s="2" t="s">
        <v>264</v>
      </c>
      <c r="D109" s="1" t="s">
        <v>260</v>
      </c>
    </row>
    <row r="110" spans="1:4" x14ac:dyDescent="0.15">
      <c r="A110" s="1" t="s">
        <v>200</v>
      </c>
      <c r="B110" s="3" t="str">
        <f ca="1">IFERROR(__xludf.DUMMYFUNCTION("GOOGLETRANSLATE(B110,""es"",""en"")"),"RT @AlcortaLourdes: CuartoPoder. The thing about Las Bambas is true that it comes back, BUT THIS government knew since last November that this problem had already been bursting!! They ignored the population, they belittled them. Nobody spoke to them, an a"&amp;"bsent Premier. The freeloaders arrived and told them, God knows what.")</f>
        <v>RT @AlcortaLourdes: CuartoPoder. The thing about Las Bambas is true that it comes back, BUT THIS government knew since last November that this problem had already been bursting!! They ignored the population, they belittled them. Nobody spoke to them, an absent Premier. The freeloaders arrived and told them, God knows what.</v>
      </c>
      <c r="C110" s="2" t="s">
        <v>265</v>
      </c>
      <c r="D110" s="1" t="s">
        <v>260</v>
      </c>
    </row>
    <row r="111" spans="1:4" x14ac:dyDescent="0.15">
      <c r="A111" s="1" t="s">
        <v>266</v>
      </c>
      <c r="B111" s="3" t="str">
        <f ca="1">IFERROR(__xludf.DUMMYFUNCTION("GOOGLETRANSLATE(B111,""es"",""en"")"),"Jorge Muñoz (@JorgeMunozAP) mayor of Lima (@MuniLima) on the Las Bambas case: “sensibility must prevail”
#National 103.9")</f>
        <v>Jorge Muñoz (@JorgeMunozAP) mayor of Lima (@MuniLima) on the Las Bambas case: “sensibility must prevail”
#National 103.9</v>
      </c>
      <c r="C111" s="2" t="s">
        <v>267</v>
      </c>
      <c r="D111" s="1" t="s">
        <v>268</v>
      </c>
    </row>
    <row r="112" spans="1:4" x14ac:dyDescent="0.15">
      <c r="A112" s="1" t="s">
        <v>269</v>
      </c>
      <c r="B112" s="3" t="str">
        <f ca="1">IFERROR(__xludf.DUMMYFUNCTION("GOOGLETRANSLATE(B112,""es"",""en"")"),"@atv_noticias @atvpe, report on the ""las Bambas"" situation. What will those Peruvians say who say: ""a tough hand against the community members who block the roads..."". After seeing that report, what will @dsalaverryv say??@congresoperu")</f>
        <v>@atv_noticias @atvpe, report on the "las Bambas" situation. What will those Peruvians say who say: "a tough hand against the community members who block the roads...". After seeing that report, what will @dsalaverryv say??@congresoperu</v>
      </c>
      <c r="C112" s="2" t="s">
        <v>270</v>
      </c>
      <c r="D112" s="1" t="s">
        <v>271</v>
      </c>
    </row>
    <row r="113" spans="1:4" x14ac:dyDescent="0.15">
      <c r="A113" s="1" t="s">
        <v>272</v>
      </c>
      <c r="B113" s="3" t="str">
        <f ca="1">IFERROR(__xludf.DUMMYFUNCTION("GOOGLETRANSLATE(B113,""es"",""en"")"),"@MilagrosLeivaG Why don't they ask the leaders. Of the sneakers. What development projects are they asking of the mining company? They only ask for money.  Why don't they ask for a hospital, a good school, an institute.  And technical irrigation for your "&amp;"agriculture. The mining company does that.  But these leaders")</f>
        <v>@MilagrosLeivaG Why don't they ask the leaders. Of the sneakers. What development projects are they asking of the mining company? They only ask for money.  Why don't they ask for a hospital, a good school, an institute.  And technical irrigation for your agriculture. The mining company does that.  But these leaders</v>
      </c>
      <c r="C113" s="2" t="s">
        <v>273</v>
      </c>
      <c r="D113" s="1" t="s">
        <v>271</v>
      </c>
    </row>
    <row r="114" spans="1:4" x14ac:dyDescent="0.15">
      <c r="A114" s="1" t="s">
        <v>274</v>
      </c>
      <c r="B114" s="3" t="str">
        <f ca="1">IFERROR(__xludf.DUMMYFUNCTION("GOOGLETRANSLATE(B114,""es"",""en"")"),"RT @aleskrause: If you are looking to understand the origin of the conflict in Las Bambas, I suggest you read this article by Madeleine Osterling. Very clear.  https://t.co/SBywlaZCe8")</f>
        <v>RT @aleskrause: If you are looking to understand the origin of the conflict in Las Bambas, I suggest you read this article by Madeleine Osterling. Very clear.  https://t.co/SBywlaZCe8</v>
      </c>
      <c r="C114" s="2" t="s">
        <v>275</v>
      </c>
      <c r="D114" s="1" t="s">
        <v>276</v>
      </c>
    </row>
    <row r="115" spans="1:4" x14ac:dyDescent="0.15">
      <c r="A115" s="1" t="s">
        <v>277</v>
      </c>
      <c r="B115" s="3" t="str">
        <f ca="1">IFERROR(__xludf.DUMMYFUNCTION("GOOGLETRANSLATE(B115,""es"",""en"")"),"RT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115" s="2" t="s">
        <v>278</v>
      </c>
      <c r="D115" s="1" t="s">
        <v>276</v>
      </c>
    </row>
    <row r="116" spans="1:4" x14ac:dyDescent="0.15">
      <c r="A116" s="1" t="s">
        <v>279</v>
      </c>
      <c r="B116" s="3" t="str">
        <f ca="1">IFERROR(__xludf.DUMMYFUNCTION("GOOGLETRANSLATE(B116,""es"",""en"")"),"#LasBambas: State willing to pay more than S/ 300 million to communities ⬇️ https://t.co/pb3ivDiW7c")</f>
        <v>#LasBambas: State willing to pay more than S/ 300 million to communities ⬇️ https://t.co/pb3ivDiW7c</v>
      </c>
      <c r="C116" s="2" t="s">
        <v>280</v>
      </c>
      <c r="D116" s="1" t="s">
        <v>281</v>
      </c>
    </row>
    <row r="117" spans="1:4" x14ac:dyDescent="0.15">
      <c r="A117" s="1" t="s">
        <v>282</v>
      </c>
      <c r="B117" s="3" t="str">
        <f ca="1">IFERROR(__xludf.DUMMYFUNCTION("GOOGLETRANSLATE(B117,""es"",""en"")"),"RT @JorgeBasadre7: Good report where in the sneakers area it really shows how the community members live and why they have property like trucks. I hope the press and opinion leaders, instead of supporting all the abuse, think that we must equate the gain "&amp;"levels for both")</f>
        <v>RT @JorgeBasadre7: Good report where in the sneakers area it really shows how the community members live and why they have property like trucks. I hope the press and opinion leaders, instead of supporting all the abuse, think that we must equate the gain levels for both</v>
      </c>
      <c r="C117" s="2" t="s">
        <v>283</v>
      </c>
      <c r="D117" s="1" t="s">
        <v>281</v>
      </c>
    </row>
    <row r="118" spans="1:4" x14ac:dyDescent="0.15">
      <c r="A118" s="1" t="s">
        <v>284</v>
      </c>
      <c r="B118" s="3" t="str">
        <f ca="1">IFERROR(__xludf.DUMMYFUNCTION("GOOGLETRANSLATE(B118,""es"",""en"")"),"RT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118" s="2" t="s">
        <v>285</v>
      </c>
      <c r="D118" s="1" t="s">
        <v>286</v>
      </c>
    </row>
    <row r="119" spans="1:4" x14ac:dyDescent="0.15">
      <c r="A119" s="1" t="s">
        <v>287</v>
      </c>
      <c r="B119" s="3" t="str">
        <f ca="1">IFERROR(__xludf.DUMMYFUNCTION("GOOGLETRANSLATE(B119,""es"",""en"")"),"Speaking of extortion, Vizcarra and del Solar should be arrested for extorting the communities of Las Bambas by suggesting that if they lift the blockade the government will lift the state of emergency.")</f>
        <v>Speaking of extortion, Vizcarra and del Solar should be arrested for extorting the communities of Las Bambas by suggesting that if they lift the blockade the government will lift the state of emergency.</v>
      </c>
      <c r="C119" s="2" t="s">
        <v>288</v>
      </c>
      <c r="D119" s="1" t="s">
        <v>286</v>
      </c>
    </row>
    <row r="120" spans="1:4" x14ac:dyDescent="0.15">
      <c r="A120" s="1" t="s">
        <v>289</v>
      </c>
      <c r="B120" s="3" t="str">
        <f ca="1">IFERROR(__xludf.DUMMYFUNCTION("GOOGLETRANSLATE(B120,""es"",""en"")"),"A community is not a criminal organization. https://t.co/U3pIXLWVz6")</f>
        <v>A community is not a criminal organization. https://t.co/U3pIXLWVz6</v>
      </c>
      <c r="C120" s="2" t="s">
        <v>290</v>
      </c>
      <c r="D120" s="1" t="s">
        <v>286</v>
      </c>
    </row>
    <row r="121" spans="1:4" x14ac:dyDescent="0.15">
      <c r="A121" s="1" t="s">
        <v>194</v>
      </c>
      <c r="B121" s="3" t="str">
        <f ca="1">IFERROR(__xludf.DUMMYFUNCTION("GOOGLETRANSLATE(B121,""es"",""en"")"),"RT @Gestionpe: Government estimates paying S/ 350 million to overcome conflict in Las Bambas ► https://t.co/cpIX0vCx38 https://t.co/Sy3BDSdShe")</f>
        <v>RT @Gestionpe: Government estimates paying S/ 350 million to overcome conflict in Las Bambas ► https://t.co/cpIX0vCx38 https://t.co/Sy3BDSdShe</v>
      </c>
      <c r="C121" s="2" t="s">
        <v>291</v>
      </c>
      <c r="D121" s="1" t="s">
        <v>292</v>
      </c>
    </row>
    <row r="122" spans="1:4" x14ac:dyDescent="0.15">
      <c r="A122" s="1" t="s">
        <v>293</v>
      </c>
      <c r="B122" s="3" t="str">
        <f ca="1">IFERROR(__xludf.DUMMYFUNCTION("GOOGLETRANSLATE(B122,""es"",""en"")"),"RT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122" s="2" t="s">
        <v>294</v>
      </c>
      <c r="D122" s="1" t="s">
        <v>292</v>
      </c>
    </row>
    <row r="123" spans="1:4" x14ac:dyDescent="0.15">
      <c r="A123" s="1" t="s">
        <v>295</v>
      </c>
      <c r="B123" s="3" t="str">
        <f ca="1">IFERROR(__xludf.DUMMYFUNCTION("GOOGLETRANSLATE(B123,""es"",""en"")"),"RT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123" s="2" t="s">
        <v>296</v>
      </c>
      <c r="D123" s="1" t="s">
        <v>292</v>
      </c>
    </row>
    <row r="124" spans="1:4" x14ac:dyDescent="0.15">
      <c r="A124" s="1" t="s">
        <v>297</v>
      </c>
      <c r="B124" s="3" t="str">
        <f ca="1">IFERROR(__xludf.DUMMYFUNCTION("GOOGLETRANSLATE(B124,""es"",""en"")"),"""Commit to the community to relieve the truck system within a certain period... Start the construction of the mineral pipeline, they have only lost 3 of 20 recoverable years..."" | @PepeMoquillaza proposes solutions to the #LasBambas conflict https://t.c"&amp;"o/x0YM2i0bIk")</f>
        <v>"Commit to the community to relieve the truck system within a certain period... Start the construction of the mineral pipeline, they have only lost 3 of 20 recoverable years..." | @PepeMoquillaza proposes solutions to the #LasBambas conflict https://t.co/x0YM2i0bIk</v>
      </c>
      <c r="C124" s="2" t="s">
        <v>298</v>
      </c>
      <c r="D124" s="1" t="s">
        <v>299</v>
      </c>
    </row>
    <row r="125" spans="1:4" x14ac:dyDescent="0.15">
      <c r="A125" s="1" t="s">
        <v>300</v>
      </c>
      <c r="B125" s="3" t="str">
        <f ca="1">IFERROR(__xludf.DUMMYFUNCTION("GOOGLETRANSLATE(B125,""es"",""en"")"),"Solution door. Premier Salvador del Solar and leader Gregorio Rojas met yesterday at the headquarters of the Peruvian Episcopal Conference. If community members remove the blockade towards Las Bambas today, the Executive will lift the state of emergency ►"&amp;" https://t.co/o8sCsloUXv https://t.co/l24EPCZBZ1")</f>
        <v>Solution door. Premier Salvador del Solar and leader Gregorio Rojas met yesterday at the headquarters of the Peruvian Episcopal Conference. If community members remove the blockade towards Las Bambas today, the Executive will lift the state of emergency ► https://t.co/o8sCsloUXv https://t.co/l24EPCZBZ1</v>
      </c>
      <c r="C125" s="2" t="s">
        <v>301</v>
      </c>
      <c r="D125" s="1" t="s">
        <v>299</v>
      </c>
    </row>
    <row r="126" spans="1:4" x14ac:dyDescent="0.15">
      <c r="A126" s="1" t="s">
        <v>302</v>
      </c>
      <c r="B126" s="3" t="str">
        <f ca="1">IFERROR(__xludf.DUMMYFUNCTION("GOOGLETRANSLATE(B126,""es"",""en"")"),"RT @radio_santarosa: #NOW || Rosa María Palacios on Las Bambas: The vision of the Peruvian left is the vision that the other is not a citizen. He is almost a disabled person who must be protected. 
Follow us on &amp;gt;&amp;gt;&amp;gt; https://t.co/ZBo0cr2G2C
@rmapa"&amp;"lacios @gmtavarac 
#Fiori #Peru 
#Odebrecht #DelSolar https://t.co/2MdtUPSTD2")</f>
        <v>RT @radio_santarosa: #NOW || Rosa María Palacios on Las Bambas: The vision of the Peruvian left is the vision that the other is not a citizen. He is almost a disabled person who must be protected. 
Follow us on &amp;gt;&amp;gt;&amp;gt; https://t.co/ZBo0cr2G2C
@rmapalacios @gmtavarac 
#Fiori #Peru 
#Odebrecht #DelSolar https://t.co/2MdtUPSTD2</v>
      </c>
      <c r="C126" s="2" t="s">
        <v>303</v>
      </c>
      <c r="D126" s="1" t="s">
        <v>299</v>
      </c>
    </row>
    <row r="127" spans="1:4" x14ac:dyDescent="0.15">
      <c r="A127" s="1" t="s">
        <v>304</v>
      </c>
      <c r="B127" s="3" t="str">
        <f ca="1">IFERROR(__xludf.DUMMYFUNCTION("GOOGLETRANSLATE(B127,""es"",""en"")"),"RT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127" s="2" t="s">
        <v>305</v>
      </c>
      <c r="D127" s="1" t="s">
        <v>299</v>
      </c>
    </row>
    <row r="128" spans="1:4" x14ac:dyDescent="0.15">
      <c r="A128" s="1" t="s">
        <v>306</v>
      </c>
      <c r="B128" s="3" t="str">
        <f ca="1">IFERROR(__xludf.DUMMYFUNCTION("GOOGLETRANSLATE(B128,""es"",""en"")"),"RT @paolobenza: What's happening in Las Bambas? This happens in Las Bambas:
- The mine - at the time, the largest project in the country - was originally owned by Xstrata, which also had Antapaccay. 
- In 2013 Glencore bought Xstrata and, to complete the "&amp;"operation, China demanded... [thread]")</f>
        <v>RT @paolobenza: What's happening in Las Bambas? This happens in Las Bambas:
- The mine - at the time, the largest project in the country - was originally owned by Xstrata, which also had Antapaccay. 
- In 2013 Glencore bought Xstrata and, to complete the operation, China demanded... [thread]</v>
      </c>
      <c r="C128" s="2" t="s">
        <v>307</v>
      </c>
      <c r="D128" s="1" t="s">
        <v>308</v>
      </c>
    </row>
    <row r="129" spans="1:4" x14ac:dyDescent="0.15">
      <c r="A129" s="1" t="s">
        <v>309</v>
      </c>
      <c r="B129" s="3" t="str">
        <f ca="1">IFERROR(__xludf.DUMMYFUNCTION("GOOGLETRANSLATE(B129,""es"",""en"")"),"In this context, shouldn't the Apurímac congressmen have a role in the social conflict in Las Bambas? What has Acción Popular or the congressmen from Lima said about yesterday's tragedy in Fiori? What is political representation in Peru? @gmtavarac")</f>
        <v>In this context, shouldn't the Apurímac congressmen have a role in the social conflict in Las Bambas? What has Acción Popular or the congressmen from Lima said about yesterday's tragedy in Fiori? What is political representation in Peru? @gmtavarac</v>
      </c>
      <c r="C129" s="2" t="s">
        <v>310</v>
      </c>
      <c r="D129" s="1" t="s">
        <v>308</v>
      </c>
    </row>
    <row r="130" spans="1:4" x14ac:dyDescent="0.15">
      <c r="A130" s="1" t="s">
        <v>311</v>
      </c>
      <c r="B130" s="3" t="str">
        <f ca="1">IFERROR(__xludf.DUMMYFUNCTION("GOOGLETRANSLATE(B130,""es"",""en"")"),"@irazz83 @_0ta_ @sidneykh @xiopink89 You will have the sneakers in the fridge https://t.co/PxKVI8BaIo")</f>
        <v>@irazz83 @_0ta_ @sidneykh @xiopink89 You will have the sneakers in the fridge https://t.co/PxKVI8BaIo</v>
      </c>
      <c r="C130" s="2" t="s">
        <v>312</v>
      </c>
      <c r="D130" s="1" t="s">
        <v>313</v>
      </c>
    </row>
    <row r="131" spans="1:4" x14ac:dyDescent="0.15">
      <c r="A131" s="1" t="s">
        <v>314</v>
      </c>
      <c r="B131" s="3" t="str">
        <f ca="1">IFERROR(__xludf.DUMMYFUNCTION("GOOGLETRANSLATE(B131,""es"",""en"")"),"@radio_santarosa @rmapalacios @gmtavarac BAMBAS !!!BAMBAS THAT IS THE MISTREATMENT THEY RECEIVE FOR ACCEPTING MINING MINING!!! IT IS THE CURSE OF OUR ANCESTORS BROTHERS OF THE ANDES EYES THAT SEE AND EARS THAT HEAR WE CAN PRODUCE WHEAT AND MAKE FLOUR THAT"&amp;" TODAY PERU IMPORTS SO THAT THE CRIOLLADA COLLECTS KICKES!")</f>
        <v>@radio_santarosa @rmapalacios @gmtavarac BAMBAS !!!BAMBAS THAT IS THE MISTREATMENT THEY RECEIVE FOR ACCEPTING MINING MINING!!! IT IS THE CURSE OF OUR ANCESTORS BROTHERS OF THE ANDES EYES THAT SEE AND EARS THAT HEAR WE CAN PRODUCE WHEAT AND MAKE FLOUR THAT TODAY PERU IMPORTS SO THAT THE CRIOLLADA COLLECTS KICKES!</v>
      </c>
      <c r="C131" s="2" t="s">
        <v>315</v>
      </c>
      <c r="D131" s="1" t="s">
        <v>313</v>
      </c>
    </row>
    <row r="132" spans="1:4" x14ac:dyDescent="0.15">
      <c r="A132" s="1" t="s">
        <v>293</v>
      </c>
      <c r="B132" s="3" t="str">
        <f ca="1">IFERROR(__xludf.DUMMYFUNCTION("GOOGLETRANSLATE(B132,""es"",""en"")"),"RT @lamula: ""Commit to the community to relieve the truck system within a given period... Start the construction of the mineral pipeline, they have only lost 3 of 20 recoverable years..."" | @PepeMoquillaza proposes solutions to the #LasBambas conflict h"&amp;"ttps://t.co/x0YM2i0bIk")</f>
        <v>RT @lamula: "Commit to the community to relieve the truck system within a given period... Start the construction of the mineral pipeline, they have only lost 3 of 20 recoverable years..." | @PepeMoquillaza proposes solutions to the #LasBambas conflict https://t.co/x0YM2i0bIk</v>
      </c>
      <c r="C132" s="2" t="s">
        <v>316</v>
      </c>
      <c r="D132" s="1" t="s">
        <v>313</v>
      </c>
    </row>
    <row r="133" spans="1:4" x14ac:dyDescent="0.15">
      <c r="A133" s="1" t="s">
        <v>314</v>
      </c>
      <c r="B133" s="3" t="str">
        <f ca="1">IFERROR(__xludf.DUMMYFUNCTION("GOOGLETRANSLATE(B133,""es"",""en"")"),"RT @carmendeate1: @radio_santarosa @rmapalacios @gmtavarac BAMBAS !!!BAMBAS THAT IS THE MISTREATMENT THEY RECEIVE FOR ACCEPTING MINING MINING!!! IT IS THE CURSE OF OUR ANCESTORS BROTHERS OF THE ANDES EYES THAT SEE AND EARS THAT HEAR WE CAN PRODUCE WHEAT A"&amp;"ND MAKE FLOUR THAT TODAY PERU IMPORTS SO THAT THE CRIOLLADA COLLECTS KICKES!")</f>
        <v>RT @carmendeate1: @radio_santarosa @rmapalacios @gmtavarac BAMBAS !!!BAMBAS THAT IS THE MISTREATMENT THEY RECEIVE FOR ACCEPTING MINING MINING!!! IT IS THE CURSE OF OUR ANCESTORS BROTHERS OF THE ANDES EYES THAT SEE AND EARS THAT HEAR WE CAN PRODUCE WHEAT AND MAKE FLOUR THAT TODAY PERU IMPORTS SO THAT THE CRIOLLADA COLLECTS KICKES!</v>
      </c>
      <c r="C133" s="2" t="s">
        <v>317</v>
      </c>
      <c r="D133" s="1" t="s">
        <v>318</v>
      </c>
    </row>
    <row r="134" spans="1:4" x14ac:dyDescent="0.15">
      <c r="A134" s="1" t="s">
        <v>319</v>
      </c>
      <c r="B134" s="3" t="str">
        <f ca="1">IFERROR(__xludf.DUMMYFUNCTION("GOOGLETRANSLATE(B134,""es"",""en"")"),"RT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134" s="2" t="s">
        <v>320</v>
      </c>
      <c r="D134" s="1" t="s">
        <v>318</v>
      </c>
    </row>
    <row r="135" spans="1:4" x14ac:dyDescent="0.15">
      <c r="A135" s="1" t="s">
        <v>321</v>
      </c>
      <c r="B135" s="3" t="str">
        <f ca="1">IFERROR(__xludf.DUMMYFUNCTION("GOOGLETRANSLATE(B135,""es"",""en"")"),"CECILIANO YOU NEED TO BE A GRINGA AND SHOW YOU YOUR PLANT OF CEOS DON'T BE A HUACHAFA, THAT DOESN'T WORK HERE, FROM BAD TO WORSE, I WOULD HAVE PREFERRED A PAGE ON THE PROBLEM OF THE BAMBAS")</f>
        <v>CECILIANO YOU NEED TO BE A GRINGA AND SHOW YOU YOUR PLANT OF CEOS DON'T BE A HUACHAFA, THAT DOESN'T WORK HERE, FROM BAD TO WORSE, I WOULD HAVE PREFERRED A PAGE ON THE PROBLEM OF THE BAMBAS</v>
      </c>
      <c r="C135" s="2" t="s">
        <v>322</v>
      </c>
      <c r="D135" s="1" t="s">
        <v>318</v>
      </c>
    </row>
    <row r="136" spans="1:4" x14ac:dyDescent="0.15">
      <c r="A136" s="1" t="s">
        <v>323</v>
      </c>
      <c r="B136" s="3" t="str">
        <f ca="1">IFERROR(__xludf.DUMMYFUNCTION("GOOGLETRANSLATE(B136,""es"",""en"")"),"RT @godtaehx: de acordo com o seu mês de aniversário, pra quem você daria até até nas pernas ficarem sneakers?
jan-taehyung 
fev-jimin
mar- jungkook
abr- namjoon
mai-hoseok
jun-jin
jul- bts inteiro 
ago-yoongi 
set- hoseok
out-taehyung 
Nov - Jungkook 
d"&amp;"ez-jimin")</f>
        <v>RT @godtaehx: de acordo com o seu mês de aniversário, pra quem você daria até até nas pernas ficarem sneakers?
jan-taehyung 
fev-jimin
mar- jungkook
abr- namjoon
mai-hoseok
jun-jin
jul- bts inteiro 
ago-yoongi 
set- hoseok
out-taehyung 
Nov - Jungkook 
dez-jimin</v>
      </c>
      <c r="C136" s="2" t="s">
        <v>324</v>
      </c>
      <c r="D136" s="1" t="s">
        <v>318</v>
      </c>
    </row>
    <row r="137" spans="1:4" x14ac:dyDescent="0.15">
      <c r="A137" s="1" t="s">
        <v>325</v>
      </c>
      <c r="B137" s="3" t="str">
        <f ca="1">IFERROR(__xludf.DUMMYFUNCTION("GOOGLETRANSLATE(B137,""es"",""en"")"),"We talk, write and comment on the Las Bambas mining company every day.
But almost no one takes a deep approach to it.
Starting today I will make a summary of the reality of this mining case that has the country in a debacle without a solution.
Two months "&amp;"on strike.")</f>
        <v>We talk, write and comment on the Las Bambas mining company every day.
But almost no one takes a deep approach to it.
Starting today I will make a summary of the reality of this mining case that has the country in a debacle without a solution.
Two months on strike.</v>
      </c>
      <c r="C137" s="2" t="s">
        <v>326</v>
      </c>
      <c r="D137" s="1" t="s">
        <v>327</v>
      </c>
    </row>
    <row r="138" spans="1:4" x14ac:dyDescent="0.15">
      <c r="A138" s="1" t="s">
        <v>328</v>
      </c>
      <c r="B138" s="3" t="str">
        <f ca="1">IFERROR(__xludf.DUMMYFUNCTION("GOOGLETRANSLATE(B138,""es"",""en"")"),"If you want some information with entertainment listen to this....  
The firm ones and the sneakers episode of Moloko Podcast
https://t.co/PFA49Es1QP")</f>
        <v>If you want some information with entertainment listen to this....  
The firm ones and the sneakers episode of Moloko Podcast
https://t.co/PFA49Es1QP</v>
      </c>
      <c r="C138" s="2" t="s">
        <v>329</v>
      </c>
      <c r="D138" s="1" t="s">
        <v>327</v>
      </c>
    </row>
    <row r="139" spans="1:4" x14ac:dyDescent="0.15">
      <c r="A139" s="1" t="s">
        <v>330</v>
      </c>
      <c r="B139" s="3" t="str">
        <f ca="1">IFERROR(__xludf.DUMMYFUNCTION("GOOGLETRANSLATE(B139,""es"",""en"")"),"RT @atv_noticias: Why is the conflict generated in Las Bambas? @MilagrosLeivaG explains the chronology of the conflict. The host of our program, #ATVNoticiasMatinal, analyzed the situation that has now totaled 52 days of blockade at the mine.
Full video ➡"&amp;"️ https://t.co/zYQbxkZUZA https://t.co/holKSdsJt9")</f>
        <v>RT @atv_noticias: Why is the conflict generated in Las Bambas? @MilagrosLeivaG explains the chronology of the conflict. The host of our program, #ATVNoticiasMatinal, analyzed the situation that has now totaled 52 days of blockade at the mine.
Full video ➡️ https://t.co/zYQbxkZUZA https://t.co/holKSdsJt9</v>
      </c>
      <c r="C139" s="2" t="s">
        <v>331</v>
      </c>
      <c r="D139" s="1" t="s">
        <v>327</v>
      </c>
    </row>
    <row r="140" spans="1:4" x14ac:dyDescent="0.15">
      <c r="A140" s="1" t="s">
        <v>332</v>
      </c>
      <c r="B140" s="3" t="str">
        <f ca="1">IFERROR(__xludf.DUMMYFUNCTION("GOOGLETRANSLATE(B140,""es"",""en"")"),"mo bamboo
mo sneakers
mo bamba
we danced
mo bamban")</f>
        <v>mo bamboo
mo sneakers
mo bamba
we danced
mo bamban</v>
      </c>
      <c r="C140" s="2" t="s">
        <v>333</v>
      </c>
      <c r="D140" s="1" t="s">
        <v>334</v>
      </c>
    </row>
    <row r="141" spans="1:4" x14ac:dyDescent="0.15">
      <c r="A141" s="1" t="s">
        <v>335</v>
      </c>
      <c r="B141" s="3" t="str">
        <f ca="1">IFERROR(__xludf.DUMMYFUNCTION("GOOGLETRANSLATE(B141,""es"",""en"")"),"@PBODigital @Plinio2009: 
Everything would have been avoided if Verónika Mendoza (PPK guarantor) had not OPPOSED, along with her pro-PCP-SL comrade Oscar MOLLOHUANCA, the installation of the Mining Pipeline. Why did she do it? Days ago he encouraged the "&amp;"""chavelos"" to speak in Congress. https://t.co/c1COaIqOqI")</f>
        <v>@PBODigital @Plinio2009: 
Everything would have been avoided if Verónika Mendoza (PPK guarantor) had not OPPOSED, along with her pro-PCP-SL comrade Oscar MOLLOHUANCA, the installation of the Mining Pipeline. Why did she do it? Days ago he encouraged the "chavelos" to speak in Congress. https://t.co/c1COaIqOqI</v>
      </c>
      <c r="C141" s="2" t="s">
        <v>336</v>
      </c>
      <c r="D141" s="1" t="s">
        <v>334</v>
      </c>
    </row>
    <row r="142" spans="1:4" x14ac:dyDescent="0.15">
      <c r="A142" s="1" t="s">
        <v>337</v>
      </c>
      <c r="B142" s="3" t="str">
        <f ca="1">IFERROR(__xludf.DUMMYFUNCTION("GOOGLETRANSLATE(B142,""es"",""en"")"),"Las Bambas: cause or effects? https://t.co/9D5fdSTrGZ")</f>
        <v>Las Bambas: cause or effects? https://t.co/9D5fdSTrGZ</v>
      </c>
      <c r="C142" s="2" t="s">
        <v>338</v>
      </c>
      <c r="D142" s="1" t="s">
        <v>334</v>
      </c>
    </row>
    <row r="143" spans="1:4" x14ac:dyDescent="0.15">
      <c r="A143" s="1" t="s">
        <v>339</v>
      </c>
      <c r="B143" s="3" t="str">
        <f ca="1">IFERROR(__xludf.DUMMYFUNCTION("GOOGLETRANSLATE(B143,""es"",""en"")"),"RT @jsaldanacuba: Brilliant article by Alfredo Torres about Las Bambas. He summarizes everything in the final sentence: ""The author is executive president of Ipsos Perú. The company has carried out studies for Las Bambas."" 
If I started there, there wa"&amp;"s no need to waste time reading more.
https://t.co/MB24a8kEgQ")</f>
        <v>RT @jsaldanacuba: Brilliant article by Alfredo Torres about Las Bambas. He summarizes everything in the final sentence: "The author is executive president of Ipsos Perú. The company has carried out studies for Las Bambas." 
If I started there, there was no need to waste time reading more.
https://t.co/MB24a8kEgQ</v>
      </c>
      <c r="C143" s="2" t="s">
        <v>340</v>
      </c>
      <c r="D143" s="1" t="s">
        <v>341</v>
      </c>
    </row>
    <row r="144" spans="1:4" x14ac:dyDescent="0.15">
      <c r="A144" s="1" t="s">
        <v>342</v>
      </c>
      <c r="B144" s="3" t="str">
        <f ca="1">IFERROR(__xludf.DUMMYFUNCTION("GOOGLETRANSLATE(B144,""es"",""en"")"),"RT @Gestionpe: Government estimates paying S/ 350 million to overcome conflict in Las Bambas ► https://t.co/cpIX0vCx38 https://t.co/Sy3BDSdShe")</f>
        <v>RT @Gestionpe: Government estimates paying S/ 350 million to overcome conflict in Las Bambas ► https://t.co/cpIX0vCx38 https://t.co/Sy3BDSdShe</v>
      </c>
      <c r="C144" s="2" t="s">
        <v>343</v>
      </c>
      <c r="D144" s="1" t="s">
        <v>341</v>
      </c>
    </row>
    <row r="145" spans="1:4" x14ac:dyDescent="0.15">
      <c r="A145" s="1" t="s">
        <v>344</v>
      </c>
      <c r="B145" s="3" t="str">
        <f ca="1">IFERROR(__xludf.DUMMYFUNCTION("GOOGLETRANSLATE(B145,""es"",""en"")"),"@eljorobado This happens BECAUSE HE IS INTENSIVE to the BIG PROBLEMS OF THE COUNTRY, he has no LEADERSHIP, he does not face THE PROBLEMS like LAS BAMBAS, where he shows that it is a WEAK, INCAPABLE government.")</f>
        <v>@eljorobado This happens BECAUSE HE IS INTENSIVE to the BIG PROBLEMS OF THE COUNTRY, he has no LEADERSHIP, he does not face THE PROBLEMS like LAS BAMBAS, where he shows that it is a WEAK, INCAPABLE government.</v>
      </c>
      <c r="C145" s="2" t="s">
        <v>345</v>
      </c>
      <c r="D145" s="1" t="s">
        <v>346</v>
      </c>
    </row>
    <row r="146" spans="1:4" x14ac:dyDescent="0.15">
      <c r="A146" s="1" t="s">
        <v>347</v>
      </c>
      <c r="B146" s="3" t="str">
        <f ca="1">IFERROR(__xludf.DUMMYFUNCTION("GOOGLETRANSLATE(B146,""es"",""en"")"),"Las Bambas | They deny attack on a helicopter transporting ministers https://t.co/UXiT6prqpB")</f>
        <v>Las Bambas | They deny attack on a helicopter transporting ministers https://t.co/UXiT6prqpB</v>
      </c>
      <c r="C146" s="2" t="s">
        <v>348</v>
      </c>
      <c r="D146" s="1" t="s">
        <v>346</v>
      </c>
    </row>
    <row r="147" spans="1:4" x14ac:dyDescent="0.15">
      <c r="A147" s="1" t="s">
        <v>349</v>
      </c>
      <c r="B147" s="3" t="str">
        <f ca="1">IFERROR(__xludf.DUMMYFUNCTION("GOOGLETRANSLATE(B147,""es"",""en"")"),"RT @ConsultantsCtl: Our Partners @c3sarmv
and @mportocarrero spoke on Friday about the social conflict in Las Bambas and the dismissal of workers in companies.
#CTL #LegalFriday #Business #Companies #LasBambas #MINEM #Dismissals #LaborLaw #SUNAFIL #MINTRA"&amp;" https://t.co/GM7Bm2kvfi")</f>
        <v>RT @ConsultantsCtl: Our Partners @c3sarmv
and @mportocarrero spoke on Friday about the social conflict in Las Bambas and the dismissal of workers in companies.
#CTL #LegalFriday #Business #Companies #LasBambas #MINEM #Dismissals #LaborLaw #SUNAFIL #MINTRA https://t.co/GM7Bm2kvfi</v>
      </c>
      <c r="C147" s="2" t="s">
        <v>350</v>
      </c>
      <c r="D147" s="1" t="s">
        <v>351</v>
      </c>
    </row>
    <row r="148" spans="1:4" x14ac:dyDescent="0.15">
      <c r="A148" s="1" t="s">
        <v>352</v>
      </c>
      <c r="B148" s="3" t="str">
        <f ca="1">IFERROR(__xludf.DUMMYFUNCTION("GOOGLETRANSLATE(B148,""es"",""en"")"),"RT @PrimerPedal: Question, I repeat, question:
Are those who mediated in Conga, Espinar and La Oroya the ones doing the same in Las Bambas?
If it's true, we already know how this story is going to end.")</f>
        <v>RT @PrimerPedal: Question, I repeat, question:
Are those who mediated in Conga, Espinar and La Oroya the ones doing the same in Las Bambas?
If it's true, we already know how this story is going to end.</v>
      </c>
      <c r="C148" s="2" t="s">
        <v>353</v>
      </c>
      <c r="D148" s="1" t="s">
        <v>351</v>
      </c>
    </row>
    <row r="149" spans="1:4" x14ac:dyDescent="0.15">
      <c r="A149" s="1" t="s">
        <v>354</v>
      </c>
      <c r="B149" s="3" t="str">
        <f ca="1">IFERROR(__xludf.DUMMYFUNCTION("GOOGLETRANSLATE(B149,""es"",""en"")"),"Mr. #MartinVizcarra, with all due respect (I refer to the facts), it only does not demonstrate #Incapacity and #ineptitude, there are other ""dictations"" such as #Mediocrity and #cynicism that ""flaunt"" his #Presidential Majesty.
#CouldThisHotPotatoCool"&amp;"?
https://t.co/4kl8vf8ZRr")</f>
        <v>Mr. #MartinVizcarra, with all due respect (I refer to the facts), it only does not demonstrate #Incapacity and #ineptitude, there are other "dictations" such as #Mediocrity and #cynicism that "flaunt" his #Presidential Majesty.
#CouldThisHotPotatoCool?
https://t.co/4kl8vf8ZRr</v>
      </c>
      <c r="C149" s="2" t="s">
        <v>355</v>
      </c>
      <c r="D149" s="1" t="s">
        <v>356</v>
      </c>
    </row>
    <row r="150" spans="1:4" x14ac:dyDescent="0.15">
      <c r="A150" s="1" t="s">
        <v>357</v>
      </c>
      <c r="B150" s="3" t="str">
        <f ca="1">IFERROR(__xludf.DUMMYFUNCTION("GOOGLETRANSLATE(B150,""es"",""en"")"),"RT @ConvocaPe: In July 2014 Glencore Read the hidden operation here: https://t.co/9bfkexRDZN https://t.co/54chLJxwOl")</f>
        <v>RT @ConvocaPe: In July 2014 Glencore Read the hidden operation here: https://t.co/9bfkexRDZN https://t.co/54chLJxwOl</v>
      </c>
      <c r="C150" s="2" t="s">
        <v>358</v>
      </c>
      <c r="D150" s="1" t="s">
        <v>356</v>
      </c>
    </row>
    <row r="151" spans="1:4" x14ac:dyDescent="0.15">
      <c r="A151" s="1" t="s">
        <v>359</v>
      </c>
      <c r="B151" s="3" t="str">
        <f ca="1">IFERROR(__xludf.DUMMYFUNCTION("GOOGLETRANSLATE(B151,""es"",""en"")"),"We heard from Minister @EdmerTrujilloM last night on @Cuarto_Poder that the State will pay compensation for + S/. 300 million to the communities and owners of the corridor through which the Las Bambas mineral transits and that paving the road will cost S/"&amp;".1,600 million more.")</f>
        <v>We heard from Minister @EdmerTrujilloM last night on @Cuarto_Poder that the State will pay compensation for + S/. 300 million to the communities and owners of the corridor through which the Las Bambas mineral transits and that paving the road will cost S/.1,600 million more.</v>
      </c>
      <c r="C151" s="2" t="s">
        <v>360</v>
      </c>
      <c r="D151" s="1" t="s">
        <v>361</v>
      </c>
    </row>
    <row r="152" spans="1:4" x14ac:dyDescent="0.15">
      <c r="A152" s="1" t="s">
        <v>362</v>
      </c>
      <c r="B152" s="3" t="str">
        <f ca="1">IFERROR(__xludf.DUMMYFUNCTION("GOOGLETRANSLATE(B152,""es"",""en"")"),"RT @Jorgedelama: José De Echave talked about Las Bambas with Sol Carreño. He is a director of Cooperación, an anti-extractivist NGO that receives funds from the Open Society like its ""allies"". Abel Gilvonio works there, son of terrorists and a communist"&amp;" who attacked Cardinal Cipriani on Twitter Photos👇 https://t.co/l8BHyMqeao")</f>
        <v>RT @Jorgedelama: José De Echave talked about Las Bambas with Sol Carreño. He is a director of Cooperación, an anti-extractivist NGO that receives funds from the Open Society like its "allies". Abel Gilvonio works there, son of terrorists and a communist who attacked Cardinal Cipriani on Twitter Photos👇 https://t.co/l8BHyMqeao</v>
      </c>
      <c r="C152" s="2" t="s">
        <v>363</v>
      </c>
      <c r="D152" s="1" t="s">
        <v>364</v>
      </c>
    </row>
    <row r="153" spans="1:4" x14ac:dyDescent="0.15">
      <c r="A153" s="1" t="s">
        <v>365</v>
      </c>
      <c r="B153" s="3" t="str">
        <f ca="1">IFERROR(__xludf.DUMMYFUNCTION("GOOGLETRANSLATE(B153,""es"",""en"")"),"RT @Ojo_Publico: #LoÚltimo Judicial Branch suspends preventive detention hearing against the Chávez Sotelo brothers, advisors of #Fuerabamba. It is rescheduled for tomorrow at 10 a.m. #LasBambas https://t.co/UCH9ljxxuZ https://t.co/oTHIGQ5hXM")</f>
        <v>RT @Ojo_Publico: #LoÚltimo Judicial Branch suspends preventive detention hearing against the Chávez Sotelo brothers, advisors of #Fuerabamba. It is rescheduled for tomorrow at 10 a.m. #LasBambas https://t.co/UCH9ljxxuZ https://t.co/oTHIGQ5hXM</v>
      </c>
      <c r="C153" s="2" t="s">
        <v>366</v>
      </c>
      <c r="D153" s="1" t="s">
        <v>367</v>
      </c>
    </row>
    <row r="154" spans="1:4" x14ac:dyDescent="0.15">
      <c r="A154" s="1" t="s">
        <v>368</v>
      </c>
      <c r="B154" s="3" t="str">
        <f ca="1">IFERROR(__xludf.DUMMYFUNCTION("GOOGLETRANSLATE(B154,""es"",""en"")"),"RT @willynugent: About Las Bambas the issue of liberalism comes up again. For this, the basis of ALL rights is private property, not citizenship.
That is why they need the fiction of Peru as a country of owners rather than citizens.")</f>
        <v>RT @willynugent: About Las Bambas the issue of liberalism comes up again. For this, the basis of ALL rights is private property, not citizenship.
That is why they need the fiction of Peru as a country of owners rather than citizens.</v>
      </c>
      <c r="C154" s="2" t="s">
        <v>369</v>
      </c>
      <c r="D154" s="1" t="s">
        <v>367</v>
      </c>
    </row>
    <row r="155" spans="1:4" x14ac:dyDescent="0.15">
      <c r="A155" s="1" t="s">
        <v>370</v>
      </c>
      <c r="B155" s="3" t="str">
        <f ca="1">IFERROR(__xludf.DUMMYFUNCTION("GOOGLETRANSLATE(B155,""es"",""en"")"),"RT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155" s="2" t="s">
        <v>371</v>
      </c>
      <c r="D155" s="1" t="s">
        <v>367</v>
      </c>
    </row>
    <row r="156" spans="1:4" x14ac:dyDescent="0.15">
      <c r="A156" s="1" t="s">
        <v>372</v>
      </c>
      <c r="B156" s="3" t="str">
        <f ca="1">IFERROR(__xludf.DUMMYFUNCTION("GOOGLETRANSLATE(B156,""es"",""en"")"),"RT @xafu: Vizcarra and Ppk set Las Bambas on fire.
When he was minister, Martín Vizcarra created expectations in the community members, by promising investments of more than 2,000 million soles, which were not fulfilled.
Ppk took advantage of the mineral "&amp;"pipeline for transportation in its trucks.
via @ExpresoPeru https://t.co/pA8jElFbv5")</f>
        <v>RT @xafu: Vizcarra and Ppk set Las Bambas on fire.
When he was minister, Martín Vizcarra created expectations in the community members, by promising investments of more than 2,000 million soles, which were not fulfilled.
Ppk took advantage of the mineral pipeline for transportation in its trucks.
via @ExpresoPeru https://t.co/pA8jElFbv5</v>
      </c>
      <c r="C156" s="2" t="s">
        <v>373</v>
      </c>
      <c r="D156" s="1" t="s">
        <v>374</v>
      </c>
    </row>
    <row r="157" spans="1:4" x14ac:dyDescent="0.15">
      <c r="A157" s="1" t="s">
        <v>375</v>
      </c>
      <c r="B157" s="3" t="str">
        <f ca="1">IFERROR(__xludf.DUMMYFUNCTION("GOOGLETRANSLATE(B157,""es"",""en"")"),"Lack of air with the legs, sneakers of love")</f>
        <v>Lack of air with the legs, sneakers of love</v>
      </c>
      <c r="C157" s="2" t="s">
        <v>376</v>
      </c>
      <c r="D157" s="1" t="s">
        <v>374</v>
      </c>
    </row>
    <row r="158" spans="1:4" x14ac:dyDescent="0.15">
      <c r="A158" s="1" t="s">
        <v>377</v>
      </c>
      <c r="B158" s="3" t="str">
        <f ca="1">IFERROR(__xludf.DUMMYFUNCTION("GOOGLETRANSLATE(B158,""es"",""en"")"),"Las Bambas: State willing to pay more than S/ 300 million to communities https://t.co/rp4ihy2Vrp")</f>
        <v>Las Bambas: State willing to pay more than S/ 300 million to communities https://t.co/rp4ihy2Vrp</v>
      </c>
      <c r="C158" s="2" t="s">
        <v>378</v>
      </c>
      <c r="D158" s="1" t="s">
        <v>379</v>
      </c>
    </row>
    <row r="159" spans="1:4" x14ac:dyDescent="0.15">
      <c r="A159" s="1" t="s">
        <v>380</v>
      </c>
      <c r="B159" s="3" t="str">
        <f ca="1">IFERROR(__xludf.DUMMYFUNCTION("GOOGLETRANSLATE(B159,""es"",""en"")"),"RT @manifiesto_peru: PROSECUTOR ADMITS THAT THEY RELEASED THE LEADER EVALUATING THE POLITICAL SITUATION
They detained Gregorio Rojas after 6 months of investigation and wiretapping, but only then did they realize that protesters were asking him for dialo"&amp;"gue in Las Bambas ▶️ https://t.co/XtKUcgKWvW https://t.co/Sn1c9rY2Ra")</f>
        <v>RT @manifiesto_peru: PROSECUTOR ADMITS THAT THEY RELEASED THE LEADER EVALUATING THE POLITICAL SITUATION
They detained Gregorio Rojas after 6 months of investigation and wiretapping, but only then did they realize that protesters were asking him for dialogue in Las Bambas ▶️ https://t.co/XtKUcgKWvW https://t.co/Sn1c9rY2Ra</v>
      </c>
      <c r="C159" s="2" t="s">
        <v>381</v>
      </c>
      <c r="D159" s="1" t="s">
        <v>379</v>
      </c>
    </row>
    <row r="160" spans="1:4" x14ac:dyDescent="0.15">
      <c r="A160" s="1" t="s">
        <v>382</v>
      </c>
      <c r="B160" s="3" t="str">
        <f ca="1">IFERROR(__xludf.DUMMYFUNCTION("GOOGLETRANSLATE(B160,""es"",""en"")"),"RT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160" s="2" t="s">
        <v>383</v>
      </c>
      <c r="D160" s="1" t="s">
        <v>384</v>
      </c>
    </row>
    <row r="161" spans="1:4" x14ac:dyDescent="0.15">
      <c r="A161" s="1" t="s">
        <v>385</v>
      </c>
      <c r="B161" s="3" t="str">
        <f ca="1">IFERROR(__xludf.DUMMYFUNCTION("GOOGLETRANSLATE(B161,""es"",""en"")"),"📰#International|The Peruvian Catholic Church today opened a dialogue between the government and the community of Fuerabamba, in search of a solution to a conflict that has kept the Las Bambas copper mine blocked for two months. https://t.co/jQiTeBKHnJ")</f>
        <v>📰#International|The Peruvian Catholic Church today opened a dialogue between the government and the community of Fuerabamba, in search of a solution to a conflict that has kept the Las Bambas copper mine blocked for two months. https://t.co/jQiTeBKHnJ</v>
      </c>
      <c r="C161" s="2" t="s">
        <v>386</v>
      </c>
      <c r="D161" s="1" t="s">
        <v>384</v>
      </c>
    </row>
    <row r="162" spans="1:4" x14ac:dyDescent="0.15">
      <c r="A162" s="1" t="s">
        <v>157</v>
      </c>
      <c r="B162" s="3" t="str">
        <f ca="1">IFERROR(__xludf.DUMMYFUNCTION("GOOGLETRANSLATE(B162,""es"",""en"")"),"@eljorobado In summary Humpback, we are full of laws, regulations, directives that are a dead letter. We have first world laws, in a third world society.
Don't let them listen to me in Las Bambas!")</f>
        <v>@eljorobado In summary Humpback, we are full of laws, regulations, directives that are a dead letter. We have first world laws, in a third world society.
Don't let them listen to me in Las Bambas!</v>
      </c>
      <c r="C162" s="2" t="s">
        <v>387</v>
      </c>
      <c r="D162" s="1" t="s">
        <v>384</v>
      </c>
    </row>
    <row r="163" spans="1:4" x14ac:dyDescent="0.15">
      <c r="A163" s="1" t="s">
        <v>388</v>
      </c>
      <c r="B163" s="3" t="str">
        <f ca="1">IFERROR(__xludf.DUMMYFUNCTION("GOOGLETRANSLATE(B163,""es"",""en"")"),"RT @conf_episcopal: #LasBambas Today at 12:30 p.m. Monsignor Miguel Cabrejos, President of the Peruvian Episcopate, receives a visit from the Ombudsman, Dr. Walter Gutierrez, to discuss the Las Bambas conflict.")</f>
        <v>RT @conf_episcopal: #LasBambas Today at 12:30 p.m. Monsignor Miguel Cabrejos, President of the Peruvian Episcopate, receives a visit from the Ombudsman, Dr. Walter Gutierrez, to discuss the Las Bambas conflict.</v>
      </c>
      <c r="C163" s="2" t="s">
        <v>389</v>
      </c>
      <c r="D163" s="1" t="s">
        <v>384</v>
      </c>
    </row>
    <row r="164" spans="1:4" x14ac:dyDescent="0.15">
      <c r="A164" s="1" t="s">
        <v>390</v>
      </c>
      <c r="B164" s="3" t="str">
        <f ca="1">IFERROR(__xludf.DUMMYFUNCTION("GOOGLETRANSLATE(B164,""es"",""en"")"),"RT @madriz_memes: Stop calling sneakers, t-shirts or tennis shoes to what are normal fucking sneakers. 
First notification")</f>
        <v>RT @madriz_memes: Stop calling sneakers, t-shirts or tennis shoes to what are normal fucking sneakers. 
First notification</v>
      </c>
      <c r="C164" s="2" t="s">
        <v>391</v>
      </c>
      <c r="D164" s="1" t="s">
        <v>392</v>
      </c>
    </row>
    <row r="165" spans="1:4" x14ac:dyDescent="0.15">
      <c r="A165" s="1" t="s">
        <v>393</v>
      </c>
      <c r="B165" s="3" t="str">
        <f ca="1">IFERROR(__xludf.DUMMYFUNCTION("GOOGLETRANSLATE(B165,""es"",""en"")"),"RT @iormachea: We heard from Minister @EdmerTrujilloM last night on @Cuarto_Poder that the State will pay compensation for + S/. 300 million to the communities and owners of the corridor through which the Las Bambas mineral transits and that paving the ro"&amp;"ad will cost S/.1,600 million more.")</f>
        <v>RT @iormachea: We heard from Minister @EdmerTrujilloM last night on @Cuarto_Poder that the State will pay compensation for + S/. 300 million to the communities and owners of the corridor through which the Las Bambas mineral transits and that paving the road will cost S/.1,600 million more.</v>
      </c>
      <c r="C165" s="2" t="s">
        <v>394</v>
      </c>
      <c r="D165" s="1" t="s">
        <v>392</v>
      </c>
    </row>
    <row r="166" spans="1:4" x14ac:dyDescent="0.15">
      <c r="A166" s="1" t="s">
        <v>395</v>
      </c>
      <c r="B166" s="3" t="str">
        <f ca="1">IFERROR(__xludf.DUMMYFUNCTION("GOOGLETRANSLATE(B166,""es"",""en"")"),"RT @manifiesto_peru: PROSECUTOR ADMITS THAT THEY RELEASED THE LEADER EVALUATING THE POLITICAL SITUATION
They detained Gregorio Rojas after 6 months of investigation and wiretapping, but only then did they realize that protesters were asking him for dialo"&amp;"gue in Las Bambas ▶️ https://t.co/XtKUcgKWvW https://t.co/Sn1c9rY2Ra")</f>
        <v>RT @manifiesto_peru: PROSECUTOR ADMITS THAT THEY RELEASED THE LEADER EVALUATING THE POLITICAL SITUATION
They detained Gregorio Rojas after 6 months of investigation and wiretapping, but only then did they realize that protesters were asking him for dialogue in Las Bambas ▶️ https://t.co/XtKUcgKWvW https://t.co/Sn1c9rY2Ra</v>
      </c>
      <c r="C166" s="2" t="s">
        <v>396</v>
      </c>
      <c r="D166" s="1" t="s">
        <v>397</v>
      </c>
    </row>
    <row r="167" spans="1:4" x14ac:dyDescent="0.15">
      <c r="A167" s="1" t="s">
        <v>241</v>
      </c>
      <c r="B167" s="3" t="str">
        <f ca="1">IFERROR(__xludf.DUMMYFUNCTION("GOOGLETRANSLATE(B167,""es"",""en"")"),"#OPINION 
Mávila Huertas (@MavilaHuertasC): Las Bambas and the lesson never learned
Don't stop reading 'Opina.21' https://t.co/TVosMSF7qt https://t.co/Razgq6MF1h")</f>
        <v>#OPINION 
Mávila Huertas (@MavilaHuertasC): Las Bambas and the lesson never learned
Don't stop reading 'Opina.21' https://t.co/TVosMSF7qt https://t.co/Razgq6MF1h</v>
      </c>
      <c r="C167" s="2" t="s">
        <v>398</v>
      </c>
      <c r="D167" s="1" t="s">
        <v>397</v>
      </c>
    </row>
    <row r="168" spans="1:4" x14ac:dyDescent="0.15">
      <c r="A168" s="1" t="s">
        <v>399</v>
      </c>
      <c r="B168" s="3" t="str">
        <f ca="1">IFERROR(__xludf.DUMMYFUNCTION("GOOGLETRANSLATE(B168,""es"",""en"")"),"DE LAS BAMBAS MAKES ME BELIEVE... THAT THIS PUPPET PPKAUSA FROM VIZCARRATA LET IT OVERFLOW TO... IN HIS MOMENT COVER UP ABOUT ODEBRECHT, COVER UP ABOUT MRS KEIKO'S PRISON AND MAKE HER MANAGEMENT A SONG TO DEMOCRACY..TOOD IT CAME OUT OF HIS BACK...HE WENT "&amp;"ON HIS FACE AND TODAY FLOATS AT 25%")</f>
        <v>DE LAS BAMBAS MAKES ME BELIEVE... THAT THIS PUPPET PPKAUSA FROM VIZCARRATA LET IT OVERFLOW TO... IN HIS MOMENT COVER UP ABOUT ODEBRECHT, COVER UP ABOUT MRS KEIKO'S PRISON AND MAKE HER MANAGEMENT A SONG TO DEMOCRACY..TOOD IT CAME OUT OF HIS BACK...HE WENT ON HIS FACE AND TODAY FLOATS AT 25%</v>
      </c>
      <c r="C168" s="2" t="s">
        <v>400</v>
      </c>
      <c r="D168" s="1" t="s">
        <v>401</v>
      </c>
    </row>
    <row r="169" spans="1:4" x14ac:dyDescent="0.15">
      <c r="A169" s="1" t="s">
        <v>402</v>
      </c>
      <c r="B169" s="3" t="str">
        <f ca="1">IFERROR(__xludf.DUMMYFUNCTION("GOOGLETRANSLATE(B169,""es"",""en"")"),"And once again, the Catholic Church saving the Peruvian government's skin, intervening as a mediator this time in Las Bambas! At this rate... better that the Church govern or give it the Ministry of the Presidency! From Ripley!")</f>
        <v>And once again, the Catholic Church saving the Peruvian government's skin, intervening as a mediator this time in Las Bambas! At this rate... better that the Church govern or give it the Ministry of the Presidency! From Ripley!</v>
      </c>
      <c r="C169" s="2" t="s">
        <v>403</v>
      </c>
      <c r="D169" s="1" t="s">
        <v>404</v>
      </c>
    </row>
    <row r="170" spans="1:4" x14ac:dyDescent="0.15">
      <c r="A170" s="1" t="s">
        <v>405</v>
      </c>
      <c r="B170" s="3" t="str">
        <f ca="1">IFERROR(__xludf.DUMMYFUNCTION("GOOGLETRANSLATE(B170,""es"",""en"")"),"RT @ConsultantsCtl: Our Partners @c3sarmv
and @mportocarrero spoke on Friday about the social conflict in Las Bambas and the dismissal of workers in companies.
#CTL #LegalFriday #Business #Companies #LasBambas #MINEM #Dismissals #LaborLaw #SUNAFIL #MINTRA"&amp;" https://t.co/GM7Bm2kvfi")</f>
        <v>RT @ConsultantsCtl: Our Partners @c3sarmv
and @mportocarrero spoke on Friday about the social conflict in Las Bambas and the dismissal of workers in companies.
#CTL #LegalFriday #Business #Companies #LasBambas #MINEM #Dismissals #LaborLaw #SUNAFIL #MINTRA https://t.co/GM7Bm2kvfi</v>
      </c>
      <c r="C170" s="2" t="s">
        <v>406</v>
      </c>
      <c r="D170" s="1" t="s">
        <v>404</v>
      </c>
    </row>
    <row r="171" spans="1:4" x14ac:dyDescent="0.15">
      <c r="A171" s="1" t="s">
        <v>407</v>
      </c>
      <c r="B171" s="3" t="str">
        <f ca="1">IFERROR(__xludf.DUMMYFUNCTION("GOOGLETRANSLATE(B171,""es"",""en"")"),"RT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171" s="2" t="s">
        <v>408</v>
      </c>
      <c r="D171" s="1" t="s">
        <v>404</v>
      </c>
    </row>
    <row r="172" spans="1:4" x14ac:dyDescent="0.15">
      <c r="A172" s="1" t="s">
        <v>409</v>
      </c>
      <c r="B172" s="3" t="str">
        <f ca="1">IFERROR(__xludf.DUMMYFUNCTION("GOOGLETRANSLATE(B172,""es"",""en"")"),"RT @jdeechave: Good summary of how the Las Bambas project has been changing permanently without the population being adequately informed... https://t.co/8XVr32eWma")</f>
        <v>RT @jdeechave: Good summary of how the Las Bambas project has been changing permanently without the population being adequately informed... https://t.co/8XVr32eWma</v>
      </c>
      <c r="C172" s="2" t="s">
        <v>410</v>
      </c>
      <c r="D172" s="1" t="s">
        <v>404</v>
      </c>
    </row>
    <row r="173" spans="1:4" x14ac:dyDescent="0.15">
      <c r="A173" s="1" t="s">
        <v>411</v>
      </c>
      <c r="B173" s="3" t="str">
        <f ca="1">IFERROR(__xludf.DUMMYFUNCTION("GOOGLETRANSLATE(B173,""es"",""en"")"),"The government and the community members of Fuerabamba resumed dialogue to find a solution to the current social conflict over the #LasBambas mining project. The head of the cabinet, Salvador del Solar, and the president of the Fuerabamba community, Grego"&amp;"rio Rojas,... https://t.co/fDASTyM5DB")</f>
        <v>The government and the community members of Fuerabamba resumed dialogue to find a solution to the current social conflict over the #LasBambas mining project. The head of the cabinet, Salvador del Solar, and the president of the Fuerabamba community, Gregorio Rojas,... https://t.co/fDASTyM5DB</v>
      </c>
      <c r="C173" s="2" t="s">
        <v>412</v>
      </c>
      <c r="D173" s="1" t="s">
        <v>404</v>
      </c>
    </row>
    <row r="174" spans="1:4" x14ac:dyDescent="0.15">
      <c r="A174" s="1" t="s">
        <v>413</v>
      </c>
      <c r="B174" s="3" t="str">
        <f ca="1">IFERROR(__xludf.DUMMYFUNCTION("GOOGLETRANSLATE(B174,""es"",""en"")"),"RT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174" s="2" t="s">
        <v>414</v>
      </c>
      <c r="D174" s="1" t="s">
        <v>415</v>
      </c>
    </row>
    <row r="175" spans="1:4" x14ac:dyDescent="0.15">
      <c r="A175" s="1" t="s">
        <v>416</v>
      </c>
      <c r="B175" s="3" t="str">
        <f ca="1">IFERROR(__xludf.DUMMYFUNCTION("GOOGLETRANSLATE(B175,""es"",""en"")"),"RT @tema0902: I don't understand how @AlanGarciaPeru CRITICIZES THE GOVERNMENT, with what morals if it has crime, money laundering, delinquency, No reconstruction in Pisco, Narco Pardons, Massacre in the Frontón, El Baguazo, Dólar Muc, bribes from ODB, Pe"&amp;"troaudios. DO YOU LIKE TROLLING?
https://t.co/fWoMHDzIHG")</f>
        <v>RT @tema0902: I don't understand how @AlanGarciaPeru CRITICIZES THE GOVERNMENT, with what morals if it has crime, money laundering, delinquency, No reconstruction in Pisco, Narco Pardons, Massacre in the Frontón, El Baguazo, Dólar Muc, bribes from ODB, Petroaudios. DO YOU LIKE TROLLING?
https://t.co/fWoMHDzIHG</v>
      </c>
      <c r="C175" s="2" t="s">
        <v>417</v>
      </c>
      <c r="D175" s="1" t="s">
        <v>415</v>
      </c>
    </row>
    <row r="176" spans="1:4" x14ac:dyDescent="0.15">
      <c r="A176" s="1" t="s">
        <v>418</v>
      </c>
      <c r="B176" s="3" t="str">
        <f ca="1">IFERROR(__xludf.DUMMYFUNCTION("GOOGLETRANSLATE(B176,""es"",""en"")"),"RT @matuk: @rmapalacios 1) Road that crosses Yavi-Yavi did not exist before the purchase of Las Bambas 
2) Easement did not exist when Las Bambas bought Yavi-Yavi
3) Easement is registered when Las Bambas is the owner of Yavi-Yavi
4) Las Bambas delivers Y"&amp;"avi-Yavi with bondage
5) Yavi-Yavi = Trojan Horse")</f>
        <v>RT @matuk: @rmapalacios 1) Road that crosses Yavi-Yavi did not exist before the purchase of Las Bambas 
2) Easement did not exist when Las Bambas bought Yavi-Yavi
3) Easement is registered when Las Bambas is the owner of Yavi-Yavi
4) Las Bambas delivers Yavi-Yavi with bondage
5) Yavi-Yavi = Trojan Horse</v>
      </c>
      <c r="C176" s="2" t="s">
        <v>419</v>
      </c>
      <c r="D176" s="1" t="s">
        <v>415</v>
      </c>
    </row>
    <row r="177" spans="1:4" x14ac:dyDescent="0.15">
      <c r="A177" s="1" t="s">
        <v>420</v>
      </c>
      <c r="B177" s="3" t="str">
        <f ca="1">IFERROR(__xludf.DUMMYFUNCTION("GOOGLETRANSLATE(B177,""es"",""en"")"),"Seizure in Las Bambas: paralysis and losses https://t.co/Xkl4QlQoSH via @YouTube")</f>
        <v>Seizure in Las Bambas: paralysis and losses https://t.co/Xkl4QlQoSH via @YouTube</v>
      </c>
      <c r="C177" s="2" t="s">
        <v>421</v>
      </c>
      <c r="D177" s="1" t="s">
        <v>422</v>
      </c>
    </row>
    <row r="178" spans="1:4" x14ac:dyDescent="0.15">
      <c r="A178" s="1" t="s">
        <v>420</v>
      </c>
      <c r="B178" s="3" t="str">
        <f ca="1">IFERROR(__xludf.DUMMYFUNCTION("GOOGLETRANSLATE(B178,""es"",""en"")"),"RT @anatari33: Convulsion in Las Bambas: paralysis and losses https://t.co/Xkl4QlQoSH via @YouTube")</f>
        <v>RT @anatari33: Convulsion in Las Bambas: paralysis and losses https://t.co/Xkl4QlQoSH via @YouTube</v>
      </c>
      <c r="C178" s="2" t="s">
        <v>423</v>
      </c>
      <c r="D178" s="1" t="s">
        <v>422</v>
      </c>
    </row>
    <row r="179" spans="1:4" x14ac:dyDescent="0.15">
      <c r="A179" s="1" t="s">
        <v>424</v>
      </c>
      <c r="B179" s="3" t="str">
        <f ca="1">IFERROR(__xludf.DUMMYFUNCTION("GOOGLETRANSLATE(B179,""es"",""en"")"),"Community members of Las Bambas await a meeting with Gregorio Rojas to reevaluate the strike https://t.co/0wKqd98k3I https://t.co/u9BdA7VPow")</f>
        <v>Community members of Las Bambas await a meeting with Gregorio Rojas to reevaluate the strike https://t.co/0wKqd98k3I https://t.co/u9BdA7VPow</v>
      </c>
      <c r="C179" s="2" t="s">
        <v>425</v>
      </c>
      <c r="D179" s="1" t="s">
        <v>426</v>
      </c>
    </row>
    <row r="180" spans="1:4" x14ac:dyDescent="0.15">
      <c r="A180" s="1" t="s">
        <v>427</v>
      </c>
      <c r="B180" s="3" t="str">
        <f ca="1">IFERROR(__xludf.DUMMYFUNCTION("GOOGLETRANSLATE(B180,""es"",""en"")"),"@AdrianoBitti @FUribe20 
Esse vascaíno até now has amazing legs.
Vlw Uribe")</f>
        <v>@AdrianoBitti @FUribe20 
Esse vascaíno até now has amazing legs.
Vlw Uribe</v>
      </c>
      <c r="C180" s="2" t="s">
        <v>428</v>
      </c>
      <c r="D180" s="1" t="s">
        <v>426</v>
      </c>
    </row>
    <row r="181" spans="1:4" x14ac:dyDescent="0.15">
      <c r="A181" s="1" t="s">
        <v>429</v>
      </c>
      <c r="B181" s="3" t="str">
        <f ca="1">IFERROR(__xludf.DUMMYFUNCTION("GOOGLETRANSLATE(B181,""es"",""en"")"),"@otravezandres @Politica_ECpe ....Lustful and libidinous tricks are being woven for Bambas.
Accommodating listener and reader of tweeters.")</f>
        <v>@otravezandres @Politica_ECpe ....Lustful and libidinous tricks are being woven for Bambas.
Accommodating listener and reader of tweeters.</v>
      </c>
      <c r="C181" s="2" t="s">
        <v>430</v>
      </c>
      <c r="D181" s="1" t="s">
        <v>426</v>
      </c>
    </row>
    <row r="182" spans="1:4" x14ac:dyDescent="0.15">
      <c r="A182" s="1" t="s">
        <v>431</v>
      </c>
      <c r="B182" s="3" t="str">
        <f ca="1">IFERROR(__xludf.DUMMYFUNCTION("GOOGLETRANSLATE(B182,""es"",""en"")"),"LAS BAMBAS PROCESSING PLANT https://t.co/JZHuJeAk9v")</f>
        <v>LAS BAMBAS PROCESSING PLANT https://t.co/JZHuJeAk9v</v>
      </c>
      <c r="C182" s="2" t="s">
        <v>432</v>
      </c>
      <c r="D182" s="1" t="s">
        <v>433</v>
      </c>
    </row>
    <row r="183" spans="1:4" x14ac:dyDescent="0.15">
      <c r="A183" s="1" t="s">
        <v>434</v>
      </c>
      <c r="B183" s="3" t="str">
        <f ca="1">IFERROR(__xludf.DUMMYFUNCTION("GOOGLETRANSLATE(B183,""es"",""en"")"),"RT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183" s="2" t="s">
        <v>435</v>
      </c>
      <c r="D183" s="1" t="s">
        <v>433</v>
      </c>
    </row>
    <row r="184" spans="1:4" x14ac:dyDescent="0.15">
      <c r="A184" s="1" t="s">
        <v>436</v>
      </c>
      <c r="B184" s="3" t="str">
        <f ca="1">IFERROR(__xludf.DUMMYFUNCTION("GOOGLETRANSLATE(B184,""es"",""en"")"),"RT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184" s="2" t="s">
        <v>437</v>
      </c>
      <c r="D184" s="1" t="s">
        <v>438</v>
      </c>
    </row>
    <row r="185" spans="1:4" x14ac:dyDescent="0.15">
      <c r="A185" s="1" t="s">
        <v>439</v>
      </c>
      <c r="B185" s="3" t="str">
        <f ca="1">IFERROR(__xludf.DUMMYFUNCTION("GOOGLETRANSLATE(B185,""es"",""en"")"),"RT @noticiAmerica: Likewise, Nieto specified that the conflict is “relatively soluble” because it is not a conflict of ways of life https://t.co/bcCwxOlwxF")</f>
        <v>RT @noticiAmerica: Likewise, Nieto specified that the conflict is “relatively soluble” because it is not a conflict of ways of life https://t.co/bcCwxOlwxF</v>
      </c>
      <c r="C185" s="2" t="s">
        <v>440</v>
      </c>
      <c r="D185" s="1" t="s">
        <v>441</v>
      </c>
    </row>
    <row r="186" spans="1:4" x14ac:dyDescent="0.15">
      <c r="A186" s="1" t="s">
        <v>442</v>
      </c>
      <c r="B186" s="3" t="str">
        <f ca="1">IFERROR(__xludf.DUMMYFUNCTION("GOOGLETRANSLATE(B186,""es"",""en"")"),"RT @PasquinDeM: Peru is falling apart: There is no reconstruction in the north, sneakers are in emergency, there is no employment, crime is increasing!
And what is the President thinking about? In playing tennis? Go to the stadium? or a visit to the King?"&amp;" 
VIZCARRA GET TO WORK FOR PERUVIANS ONCE AND FOR ALL!!! https://t.co/mPC25VesiY")</f>
        <v>RT @PasquinDeM: Peru is falling apart: There is no reconstruction in the north, sneakers are in emergency, there is no employment, crime is increasing!
And what is the President thinking about? In playing tennis? Go to the stadium? or a visit to the King? 
VIZCARRA GET TO WORK FOR PERUVIANS ONCE AND FOR ALL!!! https://t.co/mPC25VesiY</v>
      </c>
      <c r="C186" s="2" t="s">
        <v>443</v>
      </c>
      <c r="D186" s="1" t="s">
        <v>441</v>
      </c>
    </row>
    <row r="187" spans="1:4" x14ac:dyDescent="0.15">
      <c r="A187" s="1" t="s">
        <v>444</v>
      </c>
      <c r="B187" s="3" t="str">
        <f ca="1">IFERROR(__xludf.DUMMYFUNCTION("GOOGLETRANSLATE(B187,""es"",""en"")"),"And tolerance for the informal and the illegal supports this chaos. In Las Bambas almost everyone points to the ""damned"" and ""abusive"" businessmen. In Huamachuco, informal miners cause people to die all the time. 8 have just died on El Toro hill. And "&amp;"nobody points them out.")</f>
        <v>And tolerance for the informal and the illegal supports this chaos. In Las Bambas almost everyone points to the "damned" and "abusive" businessmen. In Huamachuco, informal miners cause people to die all the time. 8 have just died on El Toro hill. And nobody points them out.</v>
      </c>
      <c r="C187" s="2" t="s">
        <v>445</v>
      </c>
      <c r="D187" s="1" t="s">
        <v>446</v>
      </c>
    </row>
    <row r="188" spans="1:4" x14ac:dyDescent="0.15">
      <c r="A188" s="1" t="s">
        <v>447</v>
      </c>
      <c r="B188" s="3" t="str">
        <f ca="1">IFERROR(__xludf.DUMMYFUNCTION("GOOGLETRANSLATE(B188,""es"",""en"")"),"URGENT!! The Peruvian State kneels before community members and will pay 300 million dollars from the pockets of ALL PERUVANS to several communities that demand compensation for a public runway. https://t.co/FS6QGVdk28")</f>
        <v>URGENT!! The Peruvian State kneels before community members and will pay 300 million dollars from the pockets of ALL PERUVANS to several communities that demand compensation for a public runway. https://t.co/FS6QGVdk28</v>
      </c>
      <c r="C188" s="2" t="s">
        <v>448</v>
      </c>
      <c r="D188" s="1" t="s">
        <v>446</v>
      </c>
    </row>
    <row r="189" spans="1:4" x14ac:dyDescent="0.15">
      <c r="A189" s="1" t="s">
        <v>447</v>
      </c>
      <c r="B189" s="3" t="str">
        <f ca="1">IFERROR(__xludf.DUMMYFUNCTION("GOOGLETRANSLATE(B189,""es"",""en"")"),"RT @rubenlima2017: URGENT!! The Peruvian State kneels before community members and will pay 300 million dollars from the pockets of ALL PERUVANS to several communities that demand compensation for a public runway. https://t.co/FS6QGVdk28")</f>
        <v>RT @rubenlima2017: URGENT!! The Peruvian State kneels before community members and will pay 300 million dollars from the pockets of ALL PERUVANS to several communities that demand compensation for a public runway. https://t.co/FS6QGVdk28</v>
      </c>
      <c r="C189" s="2" t="s">
        <v>449</v>
      </c>
      <c r="D189" s="1" t="s">
        <v>446</v>
      </c>
    </row>
    <row r="190" spans="1:4" x14ac:dyDescent="0.15">
      <c r="A190" s="1" t="s">
        <v>450</v>
      </c>
      <c r="B190" s="3" t="str">
        <f ca="1">IFERROR(__xludf.DUMMYFUNCTION("GOOGLETRANSLATE(B190,""es"",""en"")"),"RT @leo_valra: The country upside down, does this criminal have a crown? He runs over police officers, his followers stone them and in a few hours he is released?
TERRORISTS MANAGED BY THE GOVERNMENT, 
 https://t.co/NBkFoMkvr9")</f>
        <v>RT @leo_valra: The country upside down, does this criminal have a crown? He runs over police officers, his followers stone them and in a few hours he is released?
TERRORISTS MANAGED BY THE GOVERNMENT, 
 https://t.co/NBkFoMkvr9</v>
      </c>
      <c r="C190" s="2" t="s">
        <v>451</v>
      </c>
      <c r="D190" s="1" t="s">
        <v>446</v>
      </c>
    </row>
    <row r="191" spans="1:4" x14ac:dyDescent="0.15">
      <c r="A191" s="1" t="s">
        <v>452</v>
      </c>
      <c r="B191" s="3" t="str">
        <f ca="1">IFERROR(__xludf.DUMMYFUNCTION("GOOGLETRANSLATE(B191,""es"",""en"")"),"RT @peru21noticias: #OPINION 
Mávila Huertas (@MavilaHuertasC): Las Bambas and the lesson never learned
Don't stop reading 'Opina.21' https://t.co/TVosMSF7qt https://t.co/Razgq6MF1h")</f>
        <v>RT @peru21noticias: #OPINION 
Mávila Huertas (@MavilaHuertasC): Las Bambas and the lesson never learned
Don't stop reading 'Opina.21' https://t.co/TVosMSF7qt https://t.co/Razgq6MF1h</v>
      </c>
      <c r="C191" s="2" t="s">
        <v>453</v>
      </c>
      <c r="D191" s="1" t="s">
        <v>454</v>
      </c>
    </row>
    <row r="192" spans="1:4" x14ac:dyDescent="0.15">
      <c r="A192" s="1" t="s">
        <v>431</v>
      </c>
      <c r="B192" s="3" t="str">
        <f ca="1">IFERROR(__xludf.DUMMYFUNCTION("GOOGLETRANSLATE(B192,""es"",""en"")"),"Las Bambas hot - WITHOUT SCRIPT with Rosa María Palacios https://t.co/2hzTPXdBbT")</f>
        <v>Las Bambas hot - WITHOUT SCRIPT with Rosa María Palacios https://t.co/2hzTPXdBbT</v>
      </c>
      <c r="C192" s="2" t="s">
        <v>455</v>
      </c>
      <c r="D192" s="1" t="s">
        <v>454</v>
      </c>
    </row>
    <row r="193" spans="1:4" x14ac:dyDescent="0.15">
      <c r="A193" s="1" t="s">
        <v>424</v>
      </c>
      <c r="B193" s="3" t="str">
        <f ca="1">IFERROR(__xludf.DUMMYFUNCTION("GOOGLETRANSLATE(B193,""es"",""en"")"),"Jorge Nieto on Las Bambas: ""Why was the law on the EIA not complied with?"" https://t.co/w6K4zkurVp https://t.co/LO88SbFW8Q")</f>
        <v>Jorge Nieto on Las Bambas: "Why was the law on the EIA not complied with?" https://t.co/w6K4zkurVp https://t.co/LO88SbFW8Q</v>
      </c>
      <c r="C193" s="2" t="s">
        <v>456</v>
      </c>
      <c r="D193" s="1" t="s">
        <v>454</v>
      </c>
    </row>
    <row r="194" spans="1:4" x14ac:dyDescent="0.15">
      <c r="A194" s="1" t="s">
        <v>457</v>
      </c>
      <c r="B194" s="3" t="str">
        <f ca="1">IFERROR(__xludf.DUMMYFUNCTION("GOOGLETRANSLATE(B194,""es"",""en"")"),"Tomorrow the hearing will resume to evaluate the request for preventive detention presented by the @FiscaliaPeru against the brothers Jorge and Frank Chávez Sotelo, accused of extortion against the Las Bambas mining project https://t.co/DGYNkwyQ4v https:/"&amp;"/t. co/bTdfSEV7z3")</f>
        <v>Tomorrow the hearing will resume to evaluate the request for preventive detention presented by the @FiscaliaPeru against the brothers Jorge and Frank Chávez Sotelo, accused of extortion against the Las Bambas mining project https://t.co/DGYNkwyQ4v https://t. co/bTdfSEV7z3</v>
      </c>
      <c r="C194" s="2" t="s">
        <v>458</v>
      </c>
      <c r="D194" s="1" t="s">
        <v>454</v>
      </c>
    </row>
    <row r="195" spans="1:4" x14ac:dyDescent="0.15">
      <c r="A195" s="1" t="s">
        <v>459</v>
      </c>
      <c r="B195" s="3" t="str">
        <f ca="1">IFERROR(__xludf.DUMMYFUNCTION("GOOGLETRANSLATE(B195,""es"",""en"")"),"RT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195" s="2" t="s">
        <v>460</v>
      </c>
      <c r="D195" s="1" t="s">
        <v>461</v>
      </c>
    </row>
    <row r="196" spans="1:4" x14ac:dyDescent="0.15">
      <c r="A196" s="1" t="s">
        <v>462</v>
      </c>
      <c r="B196" s="3" t="str">
        <f ca="1">IFERROR(__xludf.DUMMYFUNCTION("GOOGLETRANSLATE(B196,""es"",""en"")"),"#LasBambas #Conflict
Interview José De Echave
""The overexpectations that were generated, the commitments that were not fulfilled and a road that was built without the... https://t.co/kxOnDegNcj")</f>
        <v>#LasBambas #Conflict
Interview José De Echave
"The overexpectations that were generated, the commitments that were not fulfilled and a road that was built without the... https://t.co/kxOnDegNcj</v>
      </c>
      <c r="C196" s="2" t="s">
        <v>463</v>
      </c>
      <c r="D196" s="1" t="s">
        <v>464</v>
      </c>
    </row>
    <row r="197" spans="1:4" x14ac:dyDescent="0.15">
      <c r="A197" s="1" t="s">
        <v>465</v>
      </c>
      <c r="B197" s="3" t="str">
        <f ca="1">IFERROR(__xludf.DUMMYFUNCTION("GOOGLETRANSLATE(B197,""es"",""en"")"),"Las Bambas: Rojas' release will allow for a better dialogue to begin, according to Confiep ►https://t.co/KpTpBoVpEV")</f>
        <v>Las Bambas: Rojas' release will allow for a better dialogue to begin, according to Confiep ►https://t.co/KpTpBoVpEV</v>
      </c>
      <c r="C197" s="2" t="s">
        <v>466</v>
      </c>
      <c r="D197" s="1" t="s">
        <v>467</v>
      </c>
    </row>
    <row r="198" spans="1:4" x14ac:dyDescent="0.15">
      <c r="A198" s="1" t="s">
        <v>468</v>
      </c>
      <c r="B198" s="3" t="str">
        <f ca="1">IFERROR(__xludf.DUMMYFUNCTION("GOOGLETRANSLATE(B198,""es"",""en"")"),"#MiningConflicts
Interview with our deputy director José De Echave in the newspaper El Comercio on Sunday 03-31-19:
the commitments that were not met and a road that was built without the MTC implementing its own guidelines 
Read more here: https://t.co/H"&amp;"JQYY9z9YR")</f>
        <v>#MiningConflicts
Interview with our deputy director José De Echave in the newspaper El Comercio on Sunday 03-31-19:
the commitments that were not met and a road that was built without the MTC implementing its own guidelines 
Read more here: https://t.co/HJQYY9z9YR</v>
      </c>
      <c r="C198" s="2" t="s">
        <v>469</v>
      </c>
      <c r="D198" s="1" t="s">
        <v>467</v>
      </c>
    </row>
    <row r="199" spans="1:4" x14ac:dyDescent="0.15">
      <c r="A199" s="1" t="s">
        <v>470</v>
      </c>
      <c r="B199" s="3" t="str">
        <f ca="1">IFERROR(__xludf.DUMMYFUNCTION("GOOGLETRANSLATE(B199,""es"",""en"")"),"#LasBambas #Conflict
Two days after Gregorio Rojas, president of the community of Fuerabamba (Apurímac), was released, the government began a first approach with the leader.
Read more here: https://t.co/GAX9G2DNjK")</f>
        <v>#LasBambas #Conflict
Two days after Gregorio Rojas, president of the community of Fuerabamba (Apurímac), was released, the government began a first approach with the leader.
Read more here: https://t.co/GAX9G2DNjK</v>
      </c>
      <c r="C199" s="2" t="s">
        <v>471</v>
      </c>
      <c r="D199" s="1" t="s">
        <v>467</v>
      </c>
    </row>
    <row r="200" spans="1:4" x14ac:dyDescent="0.15">
      <c r="A200" s="1" t="s">
        <v>472</v>
      </c>
      <c r="B200" s="3" t="str">
        <f ca="1">IFERROR(__xludf.DUMMYFUNCTION("GOOGLETRANSLATE(B200,""es"",""en"")"),"RT @Ojo_Publico: #LoÚltimo Judicial Branch suspends preventive detention hearing against the Chávez Sotelo brothers, advisors of #Fuerabamba. It is rescheduled for tomorrow at 10 a.m. #LasBambas https://t.co/UCH9ljxxuZ https://t.co/oTHIGQ5hXM")</f>
        <v>RT @Ojo_Publico: #LoÚltimo Judicial Branch suspends preventive detention hearing against the Chávez Sotelo brothers, advisors of #Fuerabamba. It is rescheduled for tomorrow at 10 a.m. #LasBambas https://t.co/UCH9ljxxuZ https://t.co/oTHIGQ5hXM</v>
      </c>
      <c r="C200" s="2" t="s">
        <v>473</v>
      </c>
      <c r="D200" s="1" t="s">
        <v>467</v>
      </c>
    </row>
    <row r="201" spans="1:4" x14ac:dyDescent="0.15">
      <c r="A201" s="1" t="s">
        <v>474</v>
      </c>
      <c r="B201" s="3" t="str">
        <f ca="1">IFERROR(__xludf.DUMMYFUNCTION("GOOGLETRANSLATE(B201,""es"",""en"")"),"RT @matuk: @rmapalacios 1) Road that crosses Yavi-Yavi did not exist before the purchase of Las Bambas 
2) Easement did not exist when Las Bambas bought Yavi-Yavi
3) Easement is registered when Las Bambas is the owner of Yavi-Yavi
4) Las Bambas delivers Y"&amp;"avi-Yavi with bondage
5) Yavi-Yavi = Trojan Horse")</f>
        <v>RT @matuk: @rmapalacios 1) Road that crosses Yavi-Yavi did not exist before the purchase of Las Bambas 
2) Easement did not exist when Las Bambas bought Yavi-Yavi
3) Easement is registered when Las Bambas is the owner of Yavi-Yavi
4) Las Bambas delivers Yavi-Yavi with bondage
5) Yavi-Yavi = Trojan Horse</v>
      </c>
      <c r="C201" s="2" t="s">
        <v>475</v>
      </c>
      <c r="D201" s="1" t="s">
        <v>467</v>
      </c>
    </row>
    <row r="202" spans="1:4" x14ac:dyDescent="0.15">
      <c r="A202" s="1" t="s">
        <v>474</v>
      </c>
      <c r="B202" s="3" t="str">
        <f ca="1">IFERROR(__xludf.DUMMYFUNCTION("GOOGLETRANSLATE(B202,""es"",""en"")"),"RT @PrimerPedal: Question, I repeat, question:
Are those who mediated in Conga, Espinar and La Oroya the ones doing the same in Las Bambas?
If it's true, we already know how this story is going to end.")</f>
        <v>RT @PrimerPedal: Question, I repeat, question:
Are those who mediated in Conga, Espinar and La Oroya the ones doing the same in Las Bambas?
If it's true, we already know how this story is going to end.</v>
      </c>
      <c r="C202" s="2" t="s">
        <v>476</v>
      </c>
      <c r="D202" s="1" t="s">
        <v>477</v>
      </c>
    </row>
    <row r="203" spans="1:4" x14ac:dyDescent="0.15">
      <c r="A203" s="1" t="s">
        <v>478</v>
      </c>
      <c r="B203" s="3" t="str">
        <f ca="1">IFERROR(__xludf.DUMMYFUNCTION("GOOGLETRANSLATE(B203,""es"",""en"")"),"Las Bambas: hearing against the Chávez Sotelo brothers was suspended until tomorrow. They request preventive detention for the alleged crime of extortion ► https://t.co/dJgjSsWjGF https://t.co/sfh5pI6qzo")</f>
        <v>Las Bambas: hearing against the Chávez Sotelo brothers was suspended until tomorrow. They request preventive detention for the alleged crime of extortion ► https://t.co/dJgjSsWjGF https://t.co/sfh5pI6qzo</v>
      </c>
      <c r="C203" s="2" t="s">
        <v>479</v>
      </c>
      <c r="D203" s="1" t="s">
        <v>477</v>
      </c>
    </row>
    <row r="204" spans="1:4" x14ac:dyDescent="0.15">
      <c r="A204" s="1" t="s">
        <v>480</v>
      </c>
      <c r="B204" s="3" t="str">
        <f ca="1">IFERROR(__xludf.DUMMYFUNCTION("GOOGLETRANSLATE(B204,""es"",""en"")"),"➽Las Bambas: consequences of the commercialization of politics&amp;lt;p&amp;gt;. https://t.co/gWwYSkgB4B")</f>
        <v>➽Las Bambas: consequences of the commercialization of politics&amp;lt;p&amp;gt;. https://t.co/gWwYSkgB4B</v>
      </c>
      <c r="C204" s="2" t="s">
        <v>481</v>
      </c>
      <c r="D204" s="1" t="s">
        <v>477</v>
      </c>
    </row>
    <row r="205" spans="1:4" x14ac:dyDescent="0.15">
      <c r="A205" s="1" t="s">
        <v>482</v>
      </c>
      <c r="B205" s="3" t="str">
        <f ca="1">IFERROR(__xludf.DUMMYFUNCTION("GOOGLETRANSLATE(B205,""es"",""en"")"),"RT @PeruECpe: Las Bambas: hearing against the Chávez Sotelo brothers was suspended until tomorrow. They request preventive detention for the alleged crime of extortion ► https://t.co/dJgjSsWjGF https://t.co/sfh5pI6qzo")</f>
        <v>RT @PeruECpe: Las Bambas: hearing against the Chávez Sotelo brothers was suspended until tomorrow. They request preventive detention for the alleged crime of extortion ► https://t.co/dJgjSsWjGF https://t.co/sfh5pI6qzo</v>
      </c>
      <c r="C205" s="2" t="s">
        <v>483</v>
      </c>
      <c r="D205" s="1" t="s">
        <v>477</v>
      </c>
    </row>
    <row r="206" spans="1:4" x14ac:dyDescent="0.15">
      <c r="A206" s="1" t="s">
        <v>484</v>
      </c>
      <c r="B206" s="3" t="str">
        <f ca="1">IFERROR(__xludf.DUMMYFUNCTION("GOOGLETRANSLATE(B206,""es"",""en"")"),"A week of conflict in Las Bambas
https://t.co/EgUp8Ngg1f https://t.co/EgUp8Ngg1f")</f>
        <v>A week of conflict in Las Bambas
https://t.co/EgUp8Ngg1f https://t.co/EgUp8Ngg1f</v>
      </c>
      <c r="C206" s="2" t="s">
        <v>485</v>
      </c>
      <c r="D206" s="1" t="s">
        <v>477</v>
      </c>
    </row>
    <row r="207" spans="1:4" x14ac:dyDescent="0.15">
      <c r="A207" s="1" t="s">
        <v>486</v>
      </c>
      <c r="B207" s="3" t="str">
        <f ca="1">IFERROR(__xludf.DUMMYFUNCTION("GOOGLETRANSLATE(B207,""es"",""en"")"),"RT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207" s="2" t="s">
        <v>487</v>
      </c>
      <c r="D207" s="1" t="s">
        <v>477</v>
      </c>
    </row>
    <row r="208" spans="1:4" x14ac:dyDescent="0.15">
      <c r="A208" s="1" t="s">
        <v>488</v>
      </c>
      <c r="B208" s="3" t="str">
        <f ca="1">IFERROR(__xludf.DUMMYFUNCTION("GOOGLETRANSLATE(B208,""es"",""en"")"),"Las Bambas Case: Peruvian farmers against a foreign mining project https://t.co/JkPJwPAdt9 https://t.co/ATs6V1duL1")</f>
        <v>Las Bambas Case: Peruvian farmers against a foreign mining project https://t.co/JkPJwPAdt9 https://t.co/ATs6V1duL1</v>
      </c>
      <c r="C208" s="2" t="s">
        <v>489</v>
      </c>
      <c r="D208" s="1" t="s">
        <v>490</v>
      </c>
    </row>
    <row r="209" spans="1:4" x14ac:dyDescent="0.15">
      <c r="A209" s="1" t="s">
        <v>491</v>
      </c>
      <c r="B209" s="3" t="str">
        <f ca="1">IFERROR(__xludf.DUMMYFUNCTION("GOOGLETRANSLATE(B209,""es"",""en"")"),"@veritatisperu That was always known, only that it was convenient for many among jammers and opinion experts to have the opposition leader imprisoned because with that it was easier to get down to the FP bench and now with that of Las Bambas there is no o"&amp;"ne to blame or create a smoke screen with Keiko.")</f>
        <v>@veritatisperu That was always known, only that it was convenient for many among jammers and opinion experts to have the opposition leader imprisoned because with that it was easier to get down to the FP bench and now with that of Las Bambas there is no one to blame or create a smoke screen with Keiko.</v>
      </c>
      <c r="C209" s="2" t="s">
        <v>492</v>
      </c>
      <c r="D209" s="1" t="s">
        <v>493</v>
      </c>
    </row>
    <row r="210" spans="1:4" x14ac:dyDescent="0.15">
      <c r="A210" s="1" t="s">
        <v>494</v>
      </c>
      <c r="B210" s="3" t="str">
        <f ca="1">IFERROR(__xludf.DUMMYFUNCTION("GOOGLETRANSLATE(B210,""es"",""en"")"),"@NicolasLucar @Poder_Judicial_ You should be Impartial. You are a journalist, right? Learn from #ManuelRosas who expresses himself appropriately, giving you and the public valid arguments regarding the situation in Las Bambas, you Nicolas only manage to g"&amp;"o to the clash without giving proposals from solution.")</f>
        <v>@NicolasLucar @Poder_Judicial_ You should be Impartial. You are a journalist, right? Learn from #ManuelRosas who expresses himself appropriately, giving you and the public valid arguments regarding the situation in Las Bambas, you Nicolas only manage to go to the clash without giving proposals from solution.</v>
      </c>
      <c r="C210" s="2" t="s">
        <v>495</v>
      </c>
      <c r="D210" s="1" t="s">
        <v>496</v>
      </c>
    </row>
    <row r="211" spans="1:4" x14ac:dyDescent="0.15">
      <c r="A211" s="1" t="s">
        <v>497</v>
      </c>
      <c r="B211" s="3" t="str">
        <f ca="1">IFERROR(__xludf.DUMMYFUNCTION("GOOGLETRANSLATE(B211,""es"",""en"")"),"RT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211" s="2" t="s">
        <v>498</v>
      </c>
      <c r="D211" s="1" t="s">
        <v>496</v>
      </c>
    </row>
    <row r="212" spans="1:4" x14ac:dyDescent="0.15">
      <c r="A212" s="1" t="s">
        <v>213</v>
      </c>
      <c r="B212" s="3" t="str">
        <f ca="1">IFERROR(__xludf.DUMMYFUNCTION("GOOGLETRANSLATE(B212,""es"",""en"")"),"RT @leo_valra: The country upside down, does this criminal have a crown? He runs over police officers, his followers stone them and in a few hours he is released?
TERRORISTS MANAGED BY THE GOVERNMENT, 
 https://t.co/NBkFoMkvr9")</f>
        <v>RT @leo_valra: The country upside down, does this criminal have a crown? He runs over police officers, his followers stone them and in a few hours he is released?
TERRORISTS MANAGED BY THE GOVERNMENT, 
 https://t.co/NBkFoMkvr9</v>
      </c>
      <c r="C212" s="2" t="s">
        <v>499</v>
      </c>
      <c r="D212" s="1" t="s">
        <v>500</v>
      </c>
    </row>
    <row r="213" spans="1:4" x14ac:dyDescent="0.15">
      <c r="A213" s="1" t="s">
        <v>501</v>
      </c>
      <c r="B213" s="3" t="str">
        <f ca="1">IFERROR(__xludf.DUMMYFUNCTION("GOOGLETRANSLATE(B213,""es"",""en"")"),"RT @CooperAccionPER: #MiningConflicts
Interview with our deputy director José De Echave in the newspaper El Comercio on Sunday 03-31-19:
the commitments that were not met and a road that was built without the MTC implementing its own guidelines 
Read more"&amp;" here: https://t.co/HJQYY9z9YR")</f>
        <v>RT @CooperAccionPER: #MiningConflicts
Interview with our deputy director José De Echave in the newspaper El Comercio on Sunday 03-31-19:
the commitments that were not met and a road that was built without the MTC implementing its own guidelines 
Read more here: https://t.co/HJQYY9z9YR</v>
      </c>
      <c r="C213" s="2" t="s">
        <v>502</v>
      </c>
      <c r="D213" s="1" t="s">
        <v>500</v>
      </c>
    </row>
    <row r="214" spans="1:4" x14ac:dyDescent="0.15">
      <c r="A214" s="1" t="s">
        <v>503</v>
      </c>
      <c r="B214" s="3" t="str">
        <f ca="1">IFERROR(__xludf.DUMMYFUNCTION("GOOGLETRANSLATE(B214,""es"",""en"")"),"LAS BAMBAS: EXECUTIVE AND COMMUNITIES RESUME DIALOGUE.
The executive points out that if the roads are unblocked, the state of emergency in the area would be lifted. The Episcopal Conference acts as mediator.
#The Bambas. #Mining. #DigitalMiner. https://t."&amp;"co/NVcQDvmAaN")</f>
        <v>LAS BAMBAS: EXECUTIVE AND COMMUNITIES RESUME DIALOGUE.
The executive points out that if the roads are unblocked, the state of emergency in the area would be lifted. The Episcopal Conference acts as mediator.
#The Bambas. #Mining. #DigitalMiner. https://t.co/NVcQDvmAaN</v>
      </c>
      <c r="C214" s="2" t="s">
        <v>504</v>
      </c>
      <c r="D214" s="1" t="s">
        <v>500</v>
      </c>
    </row>
    <row r="215" spans="1:4" x14ac:dyDescent="0.15">
      <c r="A215" s="1" t="s">
        <v>505</v>
      </c>
      <c r="B215" s="3" t="str">
        <f ca="1">IFERROR(__xludf.DUMMYFUNCTION("GOOGLETRANSLATE(B215,""es"",""en"")"),"old reduto of sneakers where all curtiam or true samba https://t.co/9COsGVl19v")</f>
        <v>old reduto of sneakers where all curtiam or true samba https://t.co/9COsGVl19v</v>
      </c>
      <c r="C215" s="2" t="s">
        <v>506</v>
      </c>
      <c r="D215" s="1" t="s">
        <v>500</v>
      </c>
    </row>
    <row r="216" spans="1:4" x14ac:dyDescent="0.15">
      <c r="A216" s="1" t="s">
        <v>501</v>
      </c>
      <c r="B216" s="3" t="str">
        <f ca="1">IFERROR(__xludf.DUMMYFUNCTION("GOOGLETRANSLATE(B216,""es"",""en"")"),"RT @OCMPeru: #LasBambas #Conflict
Two days after Gregorio Rojas, president of the community of Fuerabamba (Apurímac), was released, the government began a first approach with the leader.
Read more here: https://t.co/GAX9G2DNjK")</f>
        <v>RT @OCMPeru: #LasBambas #Conflict
Two days after Gregorio Rojas, president of the community of Fuerabamba (Apurímac), was released, the government began a first approach with the leader.
Read more here: https://t.co/GAX9G2DNjK</v>
      </c>
      <c r="C216" s="2" t="s">
        <v>507</v>
      </c>
      <c r="D216" s="1" t="s">
        <v>500</v>
      </c>
    </row>
    <row r="217" spans="1:4" x14ac:dyDescent="0.15">
      <c r="A217" s="1" t="s">
        <v>508</v>
      </c>
      <c r="B217" s="3" t="str">
        <f ca="1">IFERROR(__xludf.DUMMYFUNCTION("GOOGLETRANSLATE(B217,""es"",""en"")"),"RT @jsaldanacuba: Brilliant article by Alfredo Torres about Las Bambas. He summarizes everything in the final sentence: ""The author is executive president of Ipsos Perú. The company has carried out studies for Las Bambas."" 
If I started there, there wa"&amp;"s no need to waste time reading more.
https://t.co/MB24a8kEgQ")</f>
        <v>RT @jsaldanacuba: Brilliant article by Alfredo Torres about Las Bambas. He summarizes everything in the final sentence: "The author is executive president of Ipsos Perú. The company has carried out studies for Las Bambas." 
If I started there, there was no need to waste time reading more.
https://t.co/MB24a8kEgQ</v>
      </c>
      <c r="C217" s="2" t="s">
        <v>509</v>
      </c>
      <c r="D217" s="1" t="s">
        <v>500</v>
      </c>
    </row>
    <row r="218" spans="1:4" x14ac:dyDescent="0.15">
      <c r="A218" s="1" t="s">
        <v>510</v>
      </c>
      <c r="B218" s="3" t="str">
        <f ca="1">IFERROR(__xludf.DUMMYFUNCTION("GOOGLETRANSLATE(B218,""es"",""en"")"),"RT @JAAbadSotomayor: The Solar Cabinet is facing a crisis a few days after assuming its functions with a Conflict in Las Bambas that has been going on for years, and there are people who do not want to dialogue like the community of Fuerabamba who are ask"&amp;"ing for 39 hectares USD 31 million")</f>
        <v>RT @JAAbadSotomayor: The Solar Cabinet is facing a crisis a few days after assuming its functions with a Conflict in Las Bambas that has been going on for years, and there are people who do not want to dialogue like the community of Fuerabamba who are asking for 39 hectares USD 31 million</v>
      </c>
      <c r="C218" s="2" t="s">
        <v>511</v>
      </c>
      <c r="D218" s="1" t="s">
        <v>500</v>
      </c>
    </row>
    <row r="219" spans="1:4" x14ac:dyDescent="0.15">
      <c r="A219" s="1" t="s">
        <v>512</v>
      </c>
      <c r="B219" s="3" t="str">
        <f ca="1">IFERROR(__xludf.DUMMYFUNCTION("GOOGLETRANSLATE(B219,""es"",""en"")"),"RT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219" s="2" t="s">
        <v>513</v>
      </c>
      <c r="D219" s="1" t="s">
        <v>514</v>
      </c>
    </row>
    <row r="220" spans="1:4" x14ac:dyDescent="0.15">
      <c r="A220" s="1" t="s">
        <v>515</v>
      </c>
      <c r="B220" s="3" t="str">
        <f ca="1">IFERROR(__xludf.DUMMYFUNCTION("GOOGLETRANSLATE(B220,""es"",""en"")"),"RT @filhaadomar: old reduto of sneakers where everyone is curtiam or true samba https://t.co/9COsGVl19v")</f>
        <v>RT @filhaadomar: old reduto of sneakers where everyone is curtiam or true samba https://t.co/9COsGVl19v</v>
      </c>
      <c r="C220" s="2" t="s">
        <v>516</v>
      </c>
      <c r="D220" s="1" t="s">
        <v>514</v>
      </c>
    </row>
    <row r="221" spans="1:4" x14ac:dyDescent="0.15">
      <c r="A221" s="1" t="s">
        <v>517</v>
      </c>
      <c r="B221" s="3" t="str">
        <f ca="1">IFERROR(__xludf.DUMMYFUNCTION("GOOGLETRANSLATE(B221,""es"",""en"")"),"RT @willynugent: About Las Bambas the issue of liberalism comes up again. For this, the basis of ALL rights is private property, not citizenship.
That is why they need the fiction of Peru as a country of owners rather than citizens.")</f>
        <v>RT @willynugent: About Las Bambas the issue of liberalism comes up again. For this, the basis of ALL rights is private property, not citizenship.
That is why they need the fiction of Peru as a country of owners rather than citizens.</v>
      </c>
      <c r="C221" s="2" t="s">
        <v>518</v>
      </c>
      <c r="D221" s="1" t="s">
        <v>514</v>
      </c>
    </row>
    <row r="222" spans="1:4" x14ac:dyDescent="0.15">
      <c r="A222" s="1" t="s">
        <v>519</v>
      </c>
      <c r="B222" s="3" t="str">
        <f ca="1">IFERROR(__xludf.DUMMYFUNCTION("GOOGLETRANSLATE(B222,""es"",""en"")"),"RT @Ojo_Publico: #LasBambas Fuerabamba, which was registered as a Quechua town until 2015, the year in which it was withdrawn. By not appearing on this list, the government did not carry out the Prior Consultation process for the construction of a highway"&amp;" in its territory. https://t.co/UCH9ljxxuZ")</f>
        <v>RT @Ojo_Publico: #LasBambas Fuerabamba, which was registered as a Quechua town until 2015, the year in which it was withdrawn. By not appearing on this list, the government did not carry out the Prior Consultation process for the construction of a highway in its territory. https://t.co/UCH9ljxxuZ</v>
      </c>
      <c r="C222" s="2" t="s">
        <v>520</v>
      </c>
      <c r="D222" s="1" t="s">
        <v>521</v>
      </c>
    </row>
    <row r="223" spans="1:4" x14ac:dyDescent="0.15">
      <c r="A223" s="1" t="s">
        <v>122</v>
      </c>
      <c r="B223" s="3" t="str">
        <f ca="1">IFERROR(__xludf.DUMMYFUNCTION("GOOGLETRANSLATE(B223,""es"",""en"")"),"RT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223" s="2" t="s">
        <v>522</v>
      </c>
      <c r="D223" s="1" t="s">
        <v>521</v>
      </c>
    </row>
    <row r="224" spans="1:4" x14ac:dyDescent="0.15">
      <c r="A224" s="1" t="s">
        <v>523</v>
      </c>
      <c r="B224" s="3" t="str">
        <f ca="1">IFERROR(__xludf.DUMMYFUNCTION("GOOGLETRANSLATE(B224,""es"",""en"")"),"And the leaf train was like it was not a manhã houvesse, pernocas bambas and that feeling of bombs 😂😂😂")</f>
        <v>And the leaf train was like it was not a manhã houvesse, pernocas bambas and that feeling of bombs 😂😂😂</v>
      </c>
      <c r="C224" s="2" t="s">
        <v>524</v>
      </c>
      <c r="D224" s="1" t="s">
        <v>521</v>
      </c>
    </row>
    <row r="225" spans="1:4" x14ac:dyDescent="0.15">
      <c r="A225" s="1" t="s">
        <v>525</v>
      </c>
      <c r="B225" s="3" t="str">
        <f ca="1">IFERROR(__xludf.DUMMYFUNCTION("GOOGLETRANSLATE(B225,""es"",""en"")"),"RT @cnddhh: 🔴[#ATTENTION] We share the statement issued today on @larepublica_pe 
🔼ABOUT THE LAS BAMBAS CONFLICT:
ELEMENTS FOR A DIALOGUE, PEACEFUL AND DURABLE EXIT. https://t.co/SaN1D026DH")</f>
        <v>RT @cnddhh: 🔴[#ATTENTION] We share the statement issued today on @larepublica_pe 
🔼ABOUT THE LAS BAMBAS CONFLICT:
ELEMENTS FOR A DIALOGUE, PEACEFUL AND DURABLE EXIT. https://t.co/SaN1D026DH</v>
      </c>
      <c r="C225" s="2" t="s">
        <v>526</v>
      </c>
      <c r="D225" s="1" t="s">
        <v>521</v>
      </c>
    </row>
    <row r="226" spans="1:4" x14ac:dyDescent="0.15">
      <c r="A226" s="1" t="s">
        <v>527</v>
      </c>
      <c r="B226" s="3" t="str">
        <f ca="1">IFERROR(__xludf.DUMMYFUNCTION("GOOGLETRANSLATE(B226,""es"",""en"")"),"RT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226" s="2" t="s">
        <v>528</v>
      </c>
      <c r="D226" s="1" t="s">
        <v>529</v>
      </c>
    </row>
    <row r="227" spans="1:4" x14ac:dyDescent="0.15">
      <c r="A227" s="1" t="s">
        <v>530</v>
      </c>
      <c r="B227" s="3" t="str">
        <f ca="1">IFERROR(__xludf.DUMMYFUNCTION("GOOGLETRANSLATE(B227,""es"",""en"")"),"RT @jdeechave: Good summary of how the Las Bambas project has been changing permanently without the population being adequately informed... https://t.co/8XVr32eWma")</f>
        <v>RT @jdeechave: Good summary of how the Las Bambas project has been changing permanently without the population being adequately informed... https://t.co/8XVr32eWma</v>
      </c>
      <c r="C227" s="2" t="s">
        <v>531</v>
      </c>
      <c r="D227" s="1" t="s">
        <v>532</v>
      </c>
    </row>
    <row r="228" spans="1:4" x14ac:dyDescent="0.15">
      <c r="A228" s="1" t="s">
        <v>533</v>
      </c>
      <c r="B228" s="3" t="str">
        <f ca="1">IFERROR(__xludf.DUMMYFUNCTION("GOOGLETRANSLATE(B228,""es"",""en"")"),"RT @Ojo_Publico: #LasBambas Fuerabamba, which was registered as a Quechua town until 2015, the year in which it was withdrawn. By not appearing on this list, the government did not carry out the Prior Consultation process for the construction of a highway"&amp;" in its territory. https://t.co/UCH9ljxxuZ")</f>
        <v>RT @Ojo_Publico: #LasBambas Fuerabamba, which was registered as a Quechua town until 2015, the year in which it was withdrawn. By not appearing on this list, the government did not carry out the Prior Consultation process for the construction of a highway in its territory. https://t.co/UCH9ljxxuZ</v>
      </c>
      <c r="C228" s="2" t="s">
        <v>534</v>
      </c>
      <c r="D228" s="1" t="s">
        <v>532</v>
      </c>
    </row>
    <row r="229" spans="1:4" x14ac:dyDescent="0.15">
      <c r="A229" s="1" t="s">
        <v>535</v>
      </c>
      <c r="B229" s="3" t="str">
        <f ca="1">IFERROR(__xludf.DUMMYFUNCTION("GOOGLETRANSLATE(B229,""es"",""en"")"),"RT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229" s="2" t="s">
        <v>536</v>
      </c>
      <c r="D229" s="1" t="s">
        <v>532</v>
      </c>
    </row>
    <row r="230" spans="1:4" x14ac:dyDescent="0.15">
      <c r="A230" s="1" t="s">
        <v>537</v>
      </c>
      <c r="B230" s="3" t="str">
        <f ca="1">IFERROR(__xludf.DUMMYFUNCTION("GOOGLETRANSLATE(B230,""es"",""en"")"),"RT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230" s="2" t="s">
        <v>538</v>
      </c>
      <c r="D230" s="1" t="s">
        <v>532</v>
      </c>
    </row>
    <row r="231" spans="1:4" x14ac:dyDescent="0.15">
      <c r="A231" s="1" t="s">
        <v>539</v>
      </c>
      <c r="B231" s="3" t="str">
        <f ca="1">IFERROR(__xludf.DUMMYFUNCTION("GOOGLETRANSLATE(B231,""es"",""en"")"),"RT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231" s="2" t="s">
        <v>540</v>
      </c>
      <c r="D231" s="1" t="s">
        <v>541</v>
      </c>
    </row>
    <row r="232" spans="1:4" x14ac:dyDescent="0.15">
      <c r="A232" s="1" t="s">
        <v>542</v>
      </c>
      <c r="B232" s="3" t="str">
        <f ca="1">IFERROR(__xludf.DUMMYFUNCTION("GOOGLETRANSLATE(B232,""es"",""en"")"),"RT @JuanCar49682973: @rmapalacios With the experience of Fuerabamba, the residents of Huanacopampa, Pararani and others are asking for 7 million per person for the Haquira mining project, which is 4 times larger than Las Bambas 6, which is located a few k"&amp;"m from the Bambas.")</f>
        <v>RT @JuanCar49682973: @rmapalacios With the experience of Fuerabamba, the residents of Huanacopampa, Pararani and others are asking for 7 million per person for the Haquira mining project, which is 4 times larger than Las Bambas 6, which is located a few km from the Bambas.</v>
      </c>
      <c r="C232" s="2" t="s">
        <v>543</v>
      </c>
      <c r="D232" s="1" t="s">
        <v>541</v>
      </c>
    </row>
    <row r="233" spans="1:4" x14ac:dyDescent="0.15">
      <c r="A233" s="1" t="s">
        <v>544</v>
      </c>
      <c r="B233" s="3" t="str">
        <f ca="1">IFERROR(__xludf.DUMMYFUNCTION("GOOGLETRANSLATE(B233,""es"",""en"")"),"THIS IS FROM RIPLEY, THE GOVERNMENT OF OLLANTA STOLE THE BUDGET FOR THE CONSTRUCTION OF THE MINING PIPELINE, NOW THE PERUVIAN STATE WANTS TO GIVE AWAY 300 MILLION SOLS TO THE FARMER, WHEN... https://t.co/PtLFxsKUby")</f>
        <v>THIS IS FROM RIPLEY, THE GOVERNMENT OF OLLANTA STOLE THE BUDGET FOR THE CONSTRUCTION OF THE MINING PIPELINE, NOW THE PERUVIAN STATE WANTS TO GIVE AWAY 300 MILLION SOLS TO THE FARMER, WHEN... https://t.co/PtLFxsKUby</v>
      </c>
      <c r="C233" s="2" t="s">
        <v>545</v>
      </c>
      <c r="D233" s="1" t="s">
        <v>541</v>
      </c>
    </row>
    <row r="234" spans="1:4" x14ac:dyDescent="0.15">
      <c r="A234" s="1" t="s">
        <v>546</v>
      </c>
      <c r="B234" s="3" t="str">
        <f ca="1">IFERROR(__xludf.DUMMYFUNCTION("GOOGLETRANSLATE(B234,""es"",""en"")"),"Why is it intended to build a highway that leaves #Bambas paid for with money from all Peruvians? There are 1,500 million soles in addition to the 300 million for the payment to the community members. Why is it not paid by the #Mining? The Peruvian #State"&amp;" should not pay.")</f>
        <v>Why is it intended to build a highway that leaves #Bambas paid for with money from all Peruvians? There are 1,500 million soles in addition to the 300 million for the payment to the community members. Why is it not paid by the #Mining? The Peruvian #State should not pay.</v>
      </c>
      <c r="C234" s="2" t="s">
        <v>547</v>
      </c>
      <c r="D234" s="1" t="s">
        <v>541</v>
      </c>
    </row>
    <row r="235" spans="1:4" x14ac:dyDescent="0.15">
      <c r="A235" s="1" t="s">
        <v>548</v>
      </c>
      <c r="B235" s="3" t="str">
        <f ca="1">IFERROR(__xludf.DUMMYFUNCTION("GOOGLETRANSLATE(B235,""es"",""en"")"),"RT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235" s="2" t="s">
        <v>549</v>
      </c>
      <c r="D235" s="1" t="s">
        <v>550</v>
      </c>
    </row>
    <row r="236" spans="1:4" x14ac:dyDescent="0.15">
      <c r="A236" s="1" t="s">
        <v>551</v>
      </c>
      <c r="B236" s="3" t="str">
        <f ca="1">IFERROR(__xludf.DUMMYFUNCTION("GOOGLETRANSLATE(B236,""es"",""en"")"),"Las Bambas is still on the agenda. Let's not forget it. https://t.co/EtTnSbFm9M")</f>
        <v>Las Bambas is still on the agenda. Let's not forget it. https://t.co/EtTnSbFm9M</v>
      </c>
      <c r="C236" s="2" t="s">
        <v>552</v>
      </c>
      <c r="D236" s="1" t="s">
        <v>550</v>
      </c>
    </row>
    <row r="237" spans="1:4" x14ac:dyDescent="0.15">
      <c r="A237" s="1" t="s">
        <v>67</v>
      </c>
      <c r="B237" s="3" t="str">
        <f ca="1">IFERROR(__xludf.DUMMYFUNCTION("GOOGLETRANSLATE(B237,""es"",""en"")"),"RT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237" s="2" t="s">
        <v>553</v>
      </c>
      <c r="D237" s="1" t="s">
        <v>550</v>
      </c>
    </row>
    <row r="238" spans="1:4" x14ac:dyDescent="0.15">
      <c r="A238" s="1" t="s">
        <v>554</v>
      </c>
      <c r="B238" s="3" t="str">
        <f ca="1">IFERROR(__xludf.DUMMYFUNCTION("GOOGLETRANSLATE(B238,""es"",""en"")"),"RT @veritatisperu: ”Now that MP has heeded the political and commercial pressures that asked for the release of the president of the Fuerabamba community—to ""unravel"" negotiations"" in Las Bambas—, we know that, indeed, Keiko Fujimori is a political pri"&amp;"soner""
#KeikoPresaPolitics 
https://t.co/BKOmVPnxDt")</f>
        <v>RT @veritatisperu: ”Now that MP has heeded the political and commercial pressures that asked for the release of the president of the Fuerabamba community—to "unravel" negotiations" in Las Bambas—, we know that, indeed, Keiko Fujimori is a political prisoner"
#KeikoPresaPolitics 
https://t.co/BKOmVPnxDt</v>
      </c>
      <c r="C238" s="2" t="s">
        <v>555</v>
      </c>
      <c r="D238" s="1" t="s">
        <v>556</v>
      </c>
    </row>
    <row r="239" spans="1:4" x14ac:dyDescent="0.15">
      <c r="A239" s="1" t="s">
        <v>557</v>
      </c>
      <c r="B239" s="3" t="str">
        <f ca="1">IFERROR(__xludf.DUMMYFUNCTION("GOOGLETRANSLATE(B239,""es"",""en"")"),"@SixthManShow one point I do not agree on is saying that it’s basically Bambas rookie season. This is not an Isaac case where he only played 27 games his rookie year. Bamba player over half the season with 47 games. He had plenty of time on the court as a"&amp;" rookie")</f>
        <v>@SixthManShow one point I do not agree on is saying that it’s basically Bambas rookie season. This is not an Isaac case where he only played 27 games his rookie year. Bamba player over half the season with 47 games. He had plenty of time on the court as a rookie</v>
      </c>
      <c r="C239" s="2" t="s">
        <v>558</v>
      </c>
      <c r="D239" s="1" t="s">
        <v>556</v>
      </c>
    </row>
    <row r="240" spans="1:4" x14ac:dyDescent="0.15">
      <c r="A240" s="1" t="s">
        <v>559</v>
      </c>
      <c r="B240" s="3" t="str">
        <f ca="1">IFERROR(__xludf.DUMMYFUNCTION("GOOGLETRANSLATE(B240,""es"",""en"")"),"@PBODigital Let's hope that the Premier #SalvadorDelSolar handles the situation of the sneakers intelligently and that Vizcarra can work without being questioned even about how he combs his hair")</f>
        <v>@PBODigital Let's hope that the Premier #SalvadorDelSolar handles the situation of the sneakers intelligently and that Vizcarra can work without being questioned even about how he combs his hair</v>
      </c>
      <c r="C240" s="2" t="s">
        <v>560</v>
      </c>
      <c r="D240" s="1" t="s">
        <v>556</v>
      </c>
    </row>
    <row r="241" spans="1:4" x14ac:dyDescent="0.15">
      <c r="A241" s="1" t="s">
        <v>559</v>
      </c>
      <c r="B241" s="3" t="str">
        <f ca="1">IFERROR(__xludf.DUMMYFUNCTION("GOOGLETRANSLATE(B241,""es"",""en"")"),"RT @StorinoAragon: @PBODigital Let's hope that Premier #SalvadorDelSolar handles the sneakers situation intelligently and that Vizcarra can work without being questioned even about how he wears his hair")</f>
        <v>RT @StorinoAragon: @PBODigital Let's hope that Premier #SalvadorDelSolar handles the sneakers situation intelligently and that Vizcarra can work without being questioned even about how he wears his hair</v>
      </c>
      <c r="C241" s="2" t="s">
        <v>561</v>
      </c>
      <c r="D241" s="1" t="s">
        <v>556</v>
      </c>
    </row>
    <row r="242" spans="1:4" x14ac:dyDescent="0.15">
      <c r="A242" s="1" t="s">
        <v>562</v>
      </c>
      <c r="B242" s="3" t="str">
        <f ca="1">IFERROR(__xludf.DUMMYFUNCTION("GOOGLETRANSLATE(B242,""es"",""en"")"),"Children in the Ventana community, in Apurímac, walk three hours a day to go to school. Before they had a mobility service that would pick them up, but as a result of the conflict, the Las Bambas mining company has taken this service away from them. Becau"&amp;"se? What is their fault? And the State, where is it? https://t.co/OyJdGCYkxn")</f>
        <v>Children in the Ventana community, in Apurímac, walk three hours a day to go to school. Before they had a mobility service that would pick them up, but as a result of the conflict, the Las Bambas mining company has taken this service away from them. Because? What is their fault? And the State, where is it? https://t.co/OyJdGCYkxn</v>
      </c>
      <c r="C242" s="2" t="s">
        <v>563</v>
      </c>
      <c r="D242" s="1" t="s">
        <v>556</v>
      </c>
    </row>
    <row r="243" spans="1:4" x14ac:dyDescent="0.15">
      <c r="A243" s="1" t="s">
        <v>564</v>
      </c>
      <c r="B243" s="3" t="str">
        <f ca="1">IFERROR(__xludf.DUMMYFUNCTION("GOOGLETRANSLATE(B243,""es"",""en"")"),"RT @Ojo_Publico: #LasBambas Fuerabamba, which was registered as a Quechua town until 2015, the year in which it was withdrawn. By not appearing on this list, the government did not carry out the Prior Consultation process for the construction of a highway"&amp;" in its territory. https://t.co/UCH9ljxxuZ")</f>
        <v>RT @Ojo_Publico: #LasBambas Fuerabamba, which was registered as a Quechua town until 2015, the year in which it was withdrawn. By not appearing on this list, the government did not carry out the Prior Consultation process for the construction of a highway in its territory. https://t.co/UCH9ljxxuZ</v>
      </c>
      <c r="C243" s="2" t="s">
        <v>565</v>
      </c>
      <c r="D243" s="1" t="s">
        <v>556</v>
      </c>
    </row>
    <row r="244" spans="1:4" x14ac:dyDescent="0.15">
      <c r="A244" s="1" t="s">
        <v>566</v>
      </c>
      <c r="B244" s="3" t="str">
        <f ca="1">IFERROR(__xludf.DUMMYFUNCTION("GOOGLETRANSLATE(B244,""es"",""en"")"),"RT @Cecilia605040: After what happened in Las Bambas and the Fiori tragedy for allowing informal bus stops to operate, has the head of @MTC_GobPeru already resigned?")</f>
        <v>RT @Cecilia605040: After what happened in Las Bambas and the Fiori tragedy for allowing informal bus stops to operate, has the head of @MTC_GobPeru already resigned?</v>
      </c>
      <c r="C244" s="2" t="s">
        <v>567</v>
      </c>
      <c r="D244" s="1" t="s">
        <v>568</v>
      </c>
    </row>
    <row r="245" spans="1:4" x14ac:dyDescent="0.15">
      <c r="A245" s="1" t="s">
        <v>569</v>
      </c>
      <c r="B245" s="3" t="str">
        <f ca="1">IFERROR(__xludf.DUMMYFUNCTION("GOOGLETRANSLATE(B245,""es"",""en"")"),"#LaVozdeSE. The simplistic discourse that infers that mining conflicts originate only in the perverse interests of external instigators does not allow us to find an efficient solution. https://t.co/7Z5EwLwihx https://t.co/JB6IqpoEdW")</f>
        <v>#LaVozdeSE. The simplistic discourse that infers that mining conflicts originate only in the perverse interests of external instigators does not allow us to find an efficient solution. https://t.co/7Z5EwLwihx https://t.co/JB6IqpoEdW</v>
      </c>
      <c r="C245" s="2" t="s">
        <v>570</v>
      </c>
      <c r="D245" s="1" t="s">
        <v>568</v>
      </c>
    </row>
    <row r="246" spans="1:4" x14ac:dyDescent="0.15">
      <c r="A246" s="1" t="s">
        <v>571</v>
      </c>
      <c r="B246" s="3" t="str">
        <f ca="1">IFERROR(__xludf.DUMMYFUNCTION("GOOGLETRANSLATE(B246,""es"",""en"")"),"RT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246" s="2" t="s">
        <v>572</v>
      </c>
      <c r="D246" s="1" t="s">
        <v>568</v>
      </c>
    </row>
    <row r="247" spans="1:4" x14ac:dyDescent="0.15">
      <c r="A247" s="1" t="s">
        <v>573</v>
      </c>
      <c r="B247" s="3" t="str">
        <f ca="1">IFERROR(__xludf.DUMMYFUNCTION("GOOGLETRANSLATE(B247,""es"",""en"")"),"RT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247" s="2" t="s">
        <v>574</v>
      </c>
      <c r="D247" s="1" t="s">
        <v>575</v>
      </c>
    </row>
    <row r="248" spans="1:4" x14ac:dyDescent="0.15">
      <c r="A248" s="1" t="s">
        <v>576</v>
      </c>
      <c r="B248" s="3" t="str">
        <f ca="1">IFERROR(__xludf.DUMMYFUNCTION("GOOGLETRANSLATE(B248,""es"",""en"")"),"RT @PeruECpe: Las Bambas: hearing against the Chávez Sotelo brothers was suspended until tomorrow. They request preventive detention for the alleged crime of extortion ► https://t.co/dJgjSsWjGF https://t.co/sfh5pI6qzo")</f>
        <v>RT @PeruECpe: Las Bambas: hearing against the Chávez Sotelo brothers was suspended until tomorrow. They request preventive detention for the alleged crime of extortion ► https://t.co/dJgjSsWjGF https://t.co/sfh5pI6qzo</v>
      </c>
      <c r="C248" s="2" t="s">
        <v>577</v>
      </c>
      <c r="D248" s="1" t="s">
        <v>575</v>
      </c>
    </row>
    <row r="249" spans="1:4" x14ac:dyDescent="0.15">
      <c r="A249" s="1" t="s">
        <v>578</v>
      </c>
      <c r="B249" s="3" t="str">
        <f ca="1">IFERROR(__xludf.DUMMYFUNCTION("GOOGLETRANSLATE(B249,""es"",""en"")"),"RT @CooperAccionPER: #MiningConflicts
Interview with our deputy director José De Echave in the newspaper El Comercio on Sunday 03-31-19:
the commitments that were not met and a road that was built without the MTC implementing its own guidelines 
Read more"&amp;" here: https://t.co/HJQYY9z9YR")</f>
        <v>RT @CooperAccionPER: #MiningConflicts
Interview with our deputy director José De Echave in the newspaper El Comercio on Sunday 03-31-19:
the commitments that were not met and a road that was built without the MTC implementing its own guidelines 
Read more here: https://t.co/HJQYY9z9YR</v>
      </c>
      <c r="C249" s="2" t="s">
        <v>579</v>
      </c>
      <c r="D249" s="1" t="s">
        <v>580</v>
      </c>
    </row>
    <row r="250" spans="1:4" x14ac:dyDescent="0.15">
      <c r="A250" s="1" t="s">
        <v>581</v>
      </c>
      <c r="B250" s="3" t="str">
        <f ca="1">IFERROR(__xludf.DUMMYFUNCTION("GOOGLETRANSLATE(B250,""es"",""en"")"),"RT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250" s="2" t="s">
        <v>582</v>
      </c>
      <c r="D250" s="1" t="s">
        <v>580</v>
      </c>
    </row>
    <row r="251" spans="1:4" x14ac:dyDescent="0.15">
      <c r="A251" s="1" t="s">
        <v>424</v>
      </c>
      <c r="B251" s="3" t="str">
        <f ca="1">IFERROR(__xludf.DUMMYFUNCTION("GOOGLETRANSLATE(B251,""es"",""en"")"),"Las Bambas: preventive detention hearing for Chávez Sotelo brothers suspended https://t.co/ZNsJySwmAx https://t.co/Psf4dUHSwr")</f>
        <v>Las Bambas: preventive detention hearing for Chávez Sotelo brothers suspended https://t.co/ZNsJySwmAx https://t.co/Psf4dUHSwr</v>
      </c>
      <c r="C251" s="2" t="s">
        <v>583</v>
      </c>
      <c r="D251" s="1" t="s">
        <v>580</v>
      </c>
    </row>
    <row r="252" spans="1:4" x14ac:dyDescent="0.15">
      <c r="A252" s="1" t="s">
        <v>584</v>
      </c>
      <c r="B252" s="3" t="str">
        <f ca="1">IFERROR(__xludf.DUMMYFUNCTION("GOOGLETRANSLATE(B252,""es"",""en"")"),"RT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252" s="2" t="s">
        <v>585</v>
      </c>
      <c r="D252" s="1" t="s">
        <v>586</v>
      </c>
    </row>
    <row r="253" spans="1:4" x14ac:dyDescent="0.15">
      <c r="A253" s="1" t="s">
        <v>587</v>
      </c>
      <c r="B253" s="3" t="str">
        <f ca="1">IFERROR(__xludf.DUMMYFUNCTION("GOOGLETRANSLATE(B253,""es"",""en"")"),"Photos: The impact of one of the largest copper mines in the world https://t.co/ysh5OAoKEn This is how the indigenous communities of the Andes that surround Las Bambas live, the largest extractive project in the history of Peru @Planeta_Futuro https: //t."&amp;"co/TjKaybvH6A")</f>
        <v>Photos: The impact of one of the largest copper mines in the world https://t.co/ysh5OAoKEn This is how the indigenous communities of the Andes that surround Las Bambas live, the largest extractive project in the history of Peru @Planeta_Futuro https: //t.co/TjKaybvH6A</v>
      </c>
      <c r="C253" s="2" t="s">
        <v>588</v>
      </c>
      <c r="D253" s="1" t="s">
        <v>589</v>
      </c>
    </row>
    <row r="254" spans="1:4" x14ac:dyDescent="0.15">
      <c r="A254" s="1" t="s">
        <v>590</v>
      </c>
      <c r="B254" s="3" t="str">
        <f ca="1">IFERROR(__xludf.DUMMYFUNCTION("GOOGLETRANSLATE(B254,""es"",""en"")"),"Eu dava for his friend até ficar com as pernas bambas pq que homao — Hahahah fica a vontade, poxa. Chama ele na dm! https://t.co/MnKaoTk2wO")</f>
        <v>Eu dava for his friend até ficar com as pernas bambas pq que homao — Hahahah fica a vontade, poxa. Chama ele na dm! https://t.co/MnKaoTk2wO</v>
      </c>
      <c r="C254" s="2" t="s">
        <v>591</v>
      </c>
      <c r="D254" s="1" t="s">
        <v>589</v>
      </c>
    </row>
    <row r="255" spans="1:4" x14ac:dyDescent="0.15">
      <c r="A255" s="1" t="s">
        <v>480</v>
      </c>
      <c r="B255" s="3" t="str">
        <f ca="1">IFERROR(__xludf.DUMMYFUNCTION("GOOGLETRANSLATE(B255,""es"",""en"")"),"➽Las Bambas: Preventive detention hearing for the Chávez Sotelo brothers is suspended&amp;lt;p&amp;gt;. https://t.co/QC8urQ77Hb https://t.co/srV74EIN3i")</f>
        <v>➽Las Bambas: Preventive detention hearing for the Chávez Sotelo brothers is suspended&amp;lt;p&amp;gt;. https://t.co/QC8urQ77Hb https://t.co/srV74EIN3i</v>
      </c>
      <c r="C255" s="2" t="s">
        <v>592</v>
      </c>
      <c r="D255" s="1" t="s">
        <v>589</v>
      </c>
    </row>
    <row r="256" spans="1:4" x14ac:dyDescent="0.15">
      <c r="A256" s="1" t="s">
        <v>241</v>
      </c>
      <c r="B256" s="3" t="str">
        <f ca="1">IFERROR(__xludf.DUMMYFUNCTION("GOOGLETRANSLATE(B256,""es"",""en"")"),"The first step is taken to end the mining conflict in Las Bambas https://t.co/BQolQmd3dX
President of Fuerabamba met with Premier Salvador del Solar to address the complaints and exits. https://t.co/rB6pikbT1A")</f>
        <v>The first step is taken to end the mining conflict in Las Bambas https://t.co/BQolQmd3dX
President of Fuerabamba met with Premier Salvador del Solar to address the complaints and exits. https://t.co/rB6pikbT1A</v>
      </c>
      <c r="C256" s="2" t="s">
        <v>593</v>
      </c>
      <c r="D256" s="1" t="s">
        <v>594</v>
      </c>
    </row>
    <row r="257" spans="1:4" x14ac:dyDescent="0.15">
      <c r="A257" s="1" t="s">
        <v>595</v>
      </c>
      <c r="B257" s="3" t="str">
        <f ca="1">IFERROR(__xludf.DUMMYFUNCTION("GOOGLETRANSLATE(B257,""es"",""en"")"),"PRIME MINISTER OF SOLAR, MONSEÑOR CABREJOS, GREGORIO ROJAS AND THE OMBUDSMAN HOLD DIALOGUE ABOUT THE LAS BAMBAS CONFLICT
On Sunday, March 31 at 6 p.m. They met at the Headquarters of the... https://t.co/O7uh70zpRM")</f>
        <v>PRIME MINISTER OF SOLAR, MONSEÑOR CABREJOS, GREGORIO ROJAS AND THE OMBUDSMAN HOLD DIALOGUE ABOUT THE LAS BAMBAS CONFLICT
On Sunday, March 31 at 6 p.m. They met at the Headquarters of the... https://t.co/O7uh70zpRM</v>
      </c>
      <c r="C257" s="2" t="s">
        <v>596</v>
      </c>
      <c r="D257" s="1" t="s">
        <v>594</v>
      </c>
    </row>
    <row r="258" spans="1:4" x14ac:dyDescent="0.15">
      <c r="A258" s="1" t="s">
        <v>597</v>
      </c>
      <c r="B258" s="3" t="str">
        <f ca="1">IFERROR(__xludf.DUMMYFUNCTION("GOOGLETRANSLATE(B258,""es"",""en"")"),"RT @jgodoym: Good editorial from @SEMANAeconomica about Las Bambas. We must kill the dog in the manger https://t.co/8TArvrmQMl")</f>
        <v>RT @jgodoym: Good editorial from @SEMANAeconomica about Las Bambas. We must kill the dog in the manger https://t.co/8TArvrmQMl</v>
      </c>
      <c r="C258" s="2" t="s">
        <v>598</v>
      </c>
      <c r="D258" s="1" t="s">
        <v>594</v>
      </c>
    </row>
    <row r="259" spans="1:4" x14ac:dyDescent="0.15">
      <c r="A259" s="1" t="s">
        <v>424</v>
      </c>
      <c r="B259" s="3" t="str">
        <f ca="1">IFERROR(__xludf.DUMMYFUNCTION("GOOGLETRANSLATE(B259,""es"",""en"")"),"Las Bambas: hearing against the Chávez Sotelo brothers was suspended https://t.co/37ONM6l4Pe https://t.co/LhVs5vNT2A")</f>
        <v>Las Bambas: hearing against the Chávez Sotelo brothers was suspended https://t.co/37ONM6l4Pe https://t.co/LhVs5vNT2A</v>
      </c>
      <c r="C259" s="2" t="s">
        <v>599</v>
      </c>
      <c r="D259" s="1" t="s">
        <v>600</v>
      </c>
    </row>
    <row r="260" spans="1:4" x14ac:dyDescent="0.15">
      <c r="A260" s="1" t="s">
        <v>335</v>
      </c>
      <c r="B260" s="3" t="str">
        <f ca="1">IFERROR(__xludf.DUMMYFUNCTION("GOOGLETRANSLATE(B260,""es"",""en"")"),"@LinceAntiTuco @Jorgedelama  
José De Echave talked about Las Bambas with Sol Carreño. He is a director of Cooperación, an anti-extractivist NGO that receives funds from the Open Society like its ""allies"". Abel Gilvonio, son of terrorists and communist,"&amp;" works there https://t.co/ozd5YVW8vL")</f>
        <v>@LinceAntiTuco @Jorgedelama  
José De Echave talked about Las Bambas with Sol Carreño. He is a director of Cooperación, an anti-extractivist NGO that receives funds from the Open Society like its "allies". Abel Gilvonio, son of terrorists and communist, works there https://t.co/ozd5YVW8vL</v>
      </c>
      <c r="C260" s="2" t="s">
        <v>601</v>
      </c>
      <c r="D260" s="1" t="s">
        <v>602</v>
      </c>
    </row>
    <row r="261" spans="1:4" x14ac:dyDescent="0.15">
      <c r="A261" s="1" t="s">
        <v>603</v>
      </c>
      <c r="B261" s="3" t="str">
        <f ca="1">IFERROR(__xludf.DUMMYFUNCTION("GOOGLETRANSLATE(B261,""es"",""en"")"),"“Las Bambas cannot be a harvest of dead people” https://t.co/sIKSFMck6d")</f>
        <v>“Las Bambas cannot be a harvest of dead people” https://t.co/sIKSFMck6d</v>
      </c>
      <c r="C261" s="2" t="s">
        <v>604</v>
      </c>
      <c r="D261" s="1" t="s">
        <v>602</v>
      </c>
    </row>
    <row r="262" spans="1:4" x14ac:dyDescent="0.15">
      <c r="A262" s="1" t="s">
        <v>605</v>
      </c>
      <c r="B262" s="3" t="str">
        <f ca="1">IFERROR(__xludf.DUMMYFUNCTION("GOOGLETRANSLATE(B262,""es"",""en"")"),"RT @jgodoym: Good editorial from @SEMANAeconomica about Las Bambas. We must kill the dog in the manger https://t.co/8TArvrmQMl")</f>
        <v>RT @jgodoym: Good editorial from @SEMANAeconomica about Las Bambas. We must kill the dog in the manger https://t.co/8TArvrmQMl</v>
      </c>
      <c r="C262" s="2" t="s">
        <v>606</v>
      </c>
      <c r="D262" s="1" t="s">
        <v>602</v>
      </c>
    </row>
    <row r="263" spans="1:4" x14ac:dyDescent="0.15">
      <c r="A263" s="1" t="s">
        <v>607</v>
      </c>
      <c r="B263" s="3" t="str">
        <f ca="1">IFERROR(__xludf.DUMMYFUNCTION("GOOGLETRANSLATE(B263,""es"",""en"")"),"RT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263" s="2" t="s">
        <v>608</v>
      </c>
      <c r="D263" s="1" t="s">
        <v>609</v>
      </c>
    </row>
    <row r="264" spans="1:4" x14ac:dyDescent="0.15">
      <c r="A264" s="1" t="s">
        <v>335</v>
      </c>
      <c r="B264" s="3" t="str">
        <f ca="1">IFERROR(__xludf.DUMMYFUNCTION("GOOGLETRANSLATE(B264,""es"",""en"")"),"@LinceAntiTuco @xafu:
 Members of FUDEPP, political arm of PCP-SENDERO LUMINOSO, marched in Lima, in SUPPORT of community members from Las BAMBAS, CHALHUAHUACHO, CHUMBIVILCAS. Also groups from La CANTUTA, People's Summit, MAS Party, G. Santos and FREDIREC"&amp;". https://t.co/qx8Eh0PlTj")</f>
        <v>@LinceAntiTuco @xafu:
 Members of FUDEPP, political arm of PCP-SENDERO LUMINOSO, marched in Lima, in SUPPORT of community members from Las BAMBAS, CHALHUAHUACHO, CHUMBIVILCAS. Also groups from La CANTUTA, People's Summit, MAS Party, G. Santos and FREDIREC. https://t.co/qx8Eh0PlTj</v>
      </c>
      <c r="C264" s="2" t="s">
        <v>610</v>
      </c>
      <c r="D264" s="1" t="s">
        <v>609</v>
      </c>
    </row>
    <row r="265" spans="1:4" x14ac:dyDescent="0.15">
      <c r="A265" s="1" t="s">
        <v>611</v>
      </c>
      <c r="B265" s="3" t="str">
        <f ca="1">IFERROR(__xludf.DUMMYFUNCTION("GOOGLETRANSLATE(B265,""es"",""en"")"),"RT @JAAbadSotomayor: The Solar Cabinet is facing a crisis a few days after assuming its functions with a Conflict in Las Bambas that has been going on for years, and there are people who do not want to dialogue like the community of Fuerabamba who are ask"&amp;"ing for 39 hectares USD 31 million")</f>
        <v>RT @JAAbadSotomayor: The Solar Cabinet is facing a crisis a few days after assuming its functions with a Conflict in Las Bambas that has been going on for years, and there are people who do not want to dialogue like the community of Fuerabamba who are asking for 39 hectares USD 31 million</v>
      </c>
      <c r="C265" s="2" t="s">
        <v>612</v>
      </c>
      <c r="D265" s="1" t="s">
        <v>609</v>
      </c>
    </row>
    <row r="266" spans="1:4" x14ac:dyDescent="0.15">
      <c r="A266" s="1" t="s">
        <v>613</v>
      </c>
      <c r="B266" s="3" t="str">
        <f ca="1">IFERROR(__xludf.DUMMYFUNCTION("GOOGLETRANSLATE(B266,""es"",""en"")"),"@reyconbarba Dear gentlemen, it would truly be the LAST for this cabinet to have an approval, when citizens die every day due to INSECURITY. The glass overflowed with FIORI (20 DEAD) and the Minister of Transport BUSY in Las Bambas?, Please ! He is INEPT.")</f>
        <v>@reyconbarba Dear gentlemen, it would truly be the LAST for this cabinet to have an approval, when citizens die every day due to INSECURITY. The glass overflowed with FIORI (20 DEAD) and the Minister of Transport BUSY in Las Bambas?, Please ! He is INEPT.</v>
      </c>
      <c r="C266" s="2" t="s">
        <v>614</v>
      </c>
      <c r="D266" s="1" t="s">
        <v>615</v>
      </c>
    </row>
    <row r="267" spans="1:4" x14ac:dyDescent="0.15">
      <c r="A267" s="1" t="s">
        <v>616</v>
      </c>
      <c r="B267" s="3" t="str">
        <f ca="1">IFERROR(__xludf.DUMMYFUNCTION("GOOGLETRANSLATE(B267,""es"",""en"")"),"RT @ExpresoPeru: ""It is very clear to me that, in the case of Las Bambas, as long as trucks continue to be used to remove the mineral within sight and patience of the communities, regardless of the pollution or the environmental impact, there will be pro"&amp;"blems.""
Read Madeleine Osterling: https://t.co/KIjfPRh0Xs")</f>
        <v>RT @ExpresoPeru: "It is very clear to me that, in the case of Las Bambas, as long as trucks continue to be used to remove the mineral within sight and patience of the communities, regardless of the pollution or the environmental impact, there will be problems."
Read Madeleine Osterling: https://t.co/KIjfPRh0Xs</v>
      </c>
      <c r="C267" s="2" t="s">
        <v>617</v>
      </c>
      <c r="D267" s="1" t="s">
        <v>618</v>
      </c>
    </row>
    <row r="268" spans="1:4" x14ac:dyDescent="0.15">
      <c r="A268" s="1" t="s">
        <v>619</v>
      </c>
      <c r="B268" s="3" t="str">
        <f ca="1">IFERROR(__xludf.DUMMYFUNCTION("GOOGLETRANSLATE(B268,""es"",""en"")"),"I share the Friday program of the weekly PRESENTE in which the issue of Las Bambas and the first year of the Vizcarra government was analyzed.
Here the link: https://t.co/qA46MgYEnb")</f>
        <v>I share the Friday program of the weekly PRESENTE in which the issue of Las Bambas and the first year of the Vizcarra government was analyzed.
Here the link: https://t.co/qA46MgYEnb</v>
      </c>
      <c r="C268" s="2" t="s">
        <v>620</v>
      </c>
      <c r="D268" s="1" t="s">
        <v>618</v>
      </c>
    </row>
    <row r="269" spans="1:4" x14ac:dyDescent="0.15">
      <c r="A269" s="1" t="s">
        <v>300</v>
      </c>
      <c r="B269" s="3" t="str">
        <f ca="1">IFERROR(__xludf.DUMMYFUNCTION("GOOGLETRANSLATE(B269,""es"",""en"")"),"Las Bambas: hearing against the Chávez Sotelo brothers is suspended #VIDEO
 ► https://t.co/DvEtZs8Oqe https://t.co/CICt09pftm")</f>
        <v>Las Bambas: hearing against the Chávez Sotelo brothers is suspended #VIDEO
 ► https://t.co/DvEtZs8Oqe https://t.co/CICt09pftm</v>
      </c>
      <c r="C269" s="2" t="s">
        <v>621</v>
      </c>
      <c r="D269" s="1" t="s">
        <v>618</v>
      </c>
    </row>
    <row r="270" spans="1:4" x14ac:dyDescent="0.15">
      <c r="A270" s="1" t="s">
        <v>335</v>
      </c>
      <c r="B270" s="3" t="str">
        <f ca="1">IFERROR(__xludf.DUMMYFUNCTION("GOOGLETRANSLATE(B270,""es"",""en"")"),"@LinceAntiTuco @margamedonzac: 
Mr. Pdte @ MartinVizcarraC confirm if your family business C y M Vizcarra S.A.C has contracts with the copper mining company LAS BAMBAS, we await your response @vozdelatierra @gatoencerrado2 @manifiesto_peru @Politico_pe ht"&amp;"tps://t.co/RR66H8FmzV")</f>
        <v>@LinceAntiTuco @margamedonzac: 
Mr. Pdte @ MartinVizcarraC confirm if your family business C y M Vizcarra S.A.C has contracts with the copper mining company LAS BAMBAS, we await your response @vozdelatierra @gatoencerrado2 @manifiesto_peru @Politico_pe https://t.co/RR66H8FmzV</v>
      </c>
      <c r="C270" s="2" t="s">
        <v>622</v>
      </c>
      <c r="D270" s="1" t="s">
        <v>618</v>
      </c>
    </row>
    <row r="271" spans="1:4" x14ac:dyDescent="0.15">
      <c r="A271" s="1" t="s">
        <v>623</v>
      </c>
      <c r="B271" s="3" t="str">
        <f ca="1">IFERROR(__xludf.DUMMYFUNCTION("GOOGLETRANSLATE(B271,""es"",""en"")"),"Las Bambas is that “something” that all investors worldwide are looking at and makes them doubt whether it is appropriate to see Peru as a healthy market.
#LasBambas #Vizcarra #PPK #Fuerabamba https://t.co/IIl9cJX19M")</f>
        <v>Las Bambas is that “something” that all investors worldwide are looking at and makes them doubt whether it is appropriate to see Peru as a healthy market.
#LasBambas #Vizcarra #PPK #Fuerabamba https://t.co/IIl9cJX19M</v>
      </c>
      <c r="C271" s="2" t="s">
        <v>624</v>
      </c>
      <c r="D271" s="1" t="s">
        <v>625</v>
      </c>
    </row>
    <row r="272" spans="1:4" x14ac:dyDescent="0.15">
      <c r="A272" s="1" t="s">
        <v>626</v>
      </c>
      <c r="B272" s="3" t="str">
        <f ca="1">IFERROR(__xludf.DUMMYFUNCTION("GOOGLETRANSLATE(B272,""es"",""en"")"),"@malditaternura The shit, the topic is trending, it is more important than the 12-point drop in Vizcarra, the deaths in Fiori, the fall of MIG29, the deaths in Las Bambas due to the ineptitude of the Ministry of Transportation, the control of prosecutors "&amp;".. good Beto, you did it once again.")</f>
        <v>@malditaternura The shit, the topic is trending, it is more important than the 12-point drop in Vizcarra, the deaths in Fiori, the fall of MIG29, the deaths in Las Bambas due to the ineptitude of the Ministry of Transportation, the control of prosecutors .. good Beto, you did it once again.</v>
      </c>
      <c r="C272" s="2" t="s">
        <v>627</v>
      </c>
      <c r="D272" s="1" t="s">
        <v>625</v>
      </c>
    </row>
    <row r="273" spans="1:4" x14ac:dyDescent="0.15">
      <c r="A273" s="1" t="s">
        <v>628</v>
      </c>
      <c r="B273" s="3" t="str">
        <f ca="1">IFERROR(__xludf.DUMMYFUNCTION("GOOGLETRANSLATE(B273,""es"",""en"")"),"Las Bambas: This Tuesday they will evaluate preventive detention against the Chávez Sotelo brothers https://t.co/3wsJZkUxR1")</f>
        <v>Las Bambas: This Tuesday they will evaluate preventive detention against the Chávez Sotelo brothers https://t.co/3wsJZkUxR1</v>
      </c>
      <c r="C273" s="2" t="s">
        <v>629</v>
      </c>
      <c r="D273" s="1" t="s">
        <v>630</v>
      </c>
    </row>
    <row r="274" spans="1:4" x14ac:dyDescent="0.15">
      <c r="A274" s="1" t="s">
        <v>631</v>
      </c>
      <c r="B274" s="3" t="str">
        <f ca="1">IFERROR(__xludf.DUMMYFUNCTION("GOOGLETRANSLATE(B274,""es"",""en"")"),"""The Las Bambas conflict has several inputs for analysis that should, once and for all with leadership and political decision, channel the problem towards sustainable solutions."" By @josepatino65 https://t.co/gnBK2ZPLwu @presidenciaperu @congresoperu")</f>
        <v>"The Las Bambas conflict has several inputs for analysis that should, once and for all with leadership and political decision, channel the problem towards sustainable solutions." By @josepatino65 https://t.co/gnBK2ZPLwu @presidenciaperu @congresoperu</v>
      </c>
      <c r="C274" s="2" t="s">
        <v>632</v>
      </c>
      <c r="D274" s="1" t="s">
        <v>630</v>
      </c>
    </row>
    <row r="275" spans="1:4" x14ac:dyDescent="0.15">
      <c r="A275" s="1" t="s">
        <v>633</v>
      </c>
      <c r="B275" s="3" t="str">
        <f ca="1">IFERROR(__xludf.DUMMYFUNCTION("GOOGLETRANSLATE(B275,""es"",""en"")"),"@julioguzmanperu Hey, what about the conflict in Las Bambas? Not a word?")</f>
        <v>@julioguzmanperu Hey, what about the conflict in Las Bambas? Not a word?</v>
      </c>
      <c r="C275" s="2" t="s">
        <v>634</v>
      </c>
      <c r="D275" s="1" t="s">
        <v>630</v>
      </c>
    </row>
    <row r="276" spans="1:4" x14ac:dyDescent="0.15">
      <c r="A276" s="1" t="s">
        <v>635</v>
      </c>
      <c r="B276" s="3" t="str">
        <f ca="1">IFERROR(__xludf.DUMMYFUNCTION("GOOGLETRANSLATE(B276,""es"",""en"")"),"RT @Jessica48396615: True @MazaBera errors by @MartinVizcarraC and fall in polls: Las Bambas; hire Fujiapristas; Tuesta Commission: Bicamerality and eliminate Prohibition; Put or ratify questioned MINSA, MINAG, MININTER, Produce, MEM, Environment Housing,"&amp;" AFP, Cuellos Blancos regroup https://t.co/WjOPLU1s9E")</f>
        <v>RT @Jessica48396615: True @MazaBera errors by @MartinVizcarraC and fall in polls: Las Bambas; hire Fujiapristas; Tuesta Commission: Bicamerality and eliminate Prohibition; Put or ratify questioned MINSA, MINAG, MININTER, Produce, MEM, Environment Housing, AFP, Cuellos Blancos regroup https://t.co/WjOPLU1s9E</v>
      </c>
      <c r="C276" s="2" t="s">
        <v>636</v>
      </c>
      <c r="D276" s="1" t="s">
        <v>637</v>
      </c>
    </row>
    <row r="277" spans="1:4" x14ac:dyDescent="0.15">
      <c r="A277" s="1" t="s">
        <v>638</v>
      </c>
      <c r="B277" s="3" t="str">
        <f ca="1">IFERROR(__xludf.DUMMYFUNCTION("GOOGLETRANSLATE(B277,""es"",""en"")"),"RT @lamula: #LasBambas Did you think that the community members in the mining project area did not have the right to receive a payment? Did you think that the land through which the blocked road passes was not theirs? Here we explain this and more about t"&amp;"his conflict --&amp;gt; https://t.co/x48ljAPQPM
#MiningConflicts https://t.co/yCMZXGVRFT")</f>
        <v>RT @lamula: #LasBambas Did you think that the community members in the mining project area did not have the right to receive a payment? Did you think that the land through which the blocked road passes was not theirs? Here we explain this and more about this conflict --&amp;gt; https://t.co/x48ljAPQPM
#MiningConflicts https://t.co/yCMZXGVRFT</v>
      </c>
      <c r="C277" s="2" t="s">
        <v>639</v>
      </c>
      <c r="D277" s="1" t="s">
        <v>640</v>
      </c>
    </row>
    <row r="278" spans="1:4" x14ac:dyDescent="0.15">
      <c r="A278" s="1" t="s">
        <v>641</v>
      </c>
      <c r="B278" s="3" t="str">
        <f ca="1">IFERROR(__xludf.DUMMYFUNCTION("GOOGLETRANSLATE(B278,""es"",""en"")"),"RT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278" s="2" t="s">
        <v>642</v>
      </c>
      <c r="D278" s="1" t="s">
        <v>640</v>
      </c>
    </row>
    <row r="279" spans="1:4" x14ac:dyDescent="0.15">
      <c r="A279" s="1" t="s">
        <v>631</v>
      </c>
      <c r="B279" s="3" t="str">
        <f ca="1">IFERROR(__xludf.DUMMYFUNCTION("GOOGLETRANSLATE(B279,""es"",""en"")"),"On March 28, a community member who belongs to the Fuerabamba community that is confronting the State and the Las Bambas mine declared that her protest is due to the fact that “HER PRIVATE PROPERTY IS NOT RESPECTED.” By Jaime Miranda Sousa ► https://t.co/"&amp;"Br9bjSysz4 @presidenciaperu")</f>
        <v>On March 28, a community member who belongs to the Fuerabamba community that is confronting the State and the Las Bambas mine declared that her protest is due to the fact that “HER PRIVATE PROPERTY IS NOT RESPECTED.” By Jaime Miranda Sousa ► https://t.co/Br9bjSysz4 @presidenciaperu</v>
      </c>
      <c r="C279" s="2" t="s">
        <v>643</v>
      </c>
      <c r="D279" s="1" t="s">
        <v>644</v>
      </c>
    </row>
    <row r="280" spans="1:4" x14ac:dyDescent="0.15">
      <c r="A280" s="1" t="s">
        <v>645</v>
      </c>
      <c r="B280" s="3" t="str">
        <f ca="1">IFERROR(__xludf.DUMMYFUNCTION("GOOGLETRANSLATE(B280,""es"",""en"")"),"RT @lamula: #LasBambas Did you think that the community members in the mining project area did not have the right to receive a payment? Did you think that the land through which the blocked road passes was not theirs? Here we explain this and more about t"&amp;"his conflict --&amp;gt; https://t.co/x48ljAPQPM
#MiningConflicts https://t.co/yCMZXGVRFT")</f>
        <v>RT @lamula: #LasBambas Did you think that the community members in the mining project area did not have the right to receive a payment? Did you think that the land through which the blocked road passes was not theirs? Here we explain this and more about this conflict --&amp;gt; https://t.co/x48ljAPQPM
#MiningConflicts https://t.co/yCMZXGVRFT</v>
      </c>
      <c r="C280" s="2" t="s">
        <v>646</v>
      </c>
      <c r="D280" s="1" t="s">
        <v>644</v>
      </c>
    </row>
    <row r="281" spans="1:4" x14ac:dyDescent="0.15">
      <c r="A281" s="1" t="s">
        <v>647</v>
      </c>
      <c r="B281" s="3" t="str">
        <f ca="1">IFERROR(__xludf.DUMMYFUNCTION("GOOGLETRANSLATE(B281,""es"",""en"")"),"Talks began to end the mining conflict in #LasBambas ► https://t.co/GFMmEDguKL https://t.co/vSM6x7yZfS")</f>
        <v>Talks began to end the mining conflict in #LasBambas ► https://t.co/GFMmEDguKL https://t.co/vSM6x7yZfS</v>
      </c>
      <c r="C281" s="2" t="s">
        <v>648</v>
      </c>
      <c r="D281" s="1" t="s">
        <v>644</v>
      </c>
    </row>
    <row r="282" spans="1:4" x14ac:dyDescent="0.15">
      <c r="A282" s="1" t="s">
        <v>649</v>
      </c>
      <c r="B282" s="3" t="str">
        <f ca="1">IFERROR(__xludf.DUMMYFUNCTION("GOOGLETRANSLATE(B282,""es"",""en"")"),"@elcomercio_peru ""Round of dialogue"", looks like the sneakers")</f>
        <v>@elcomercio_peru "Round of dialogue", looks like the sneakers</v>
      </c>
      <c r="C282" s="2" t="s">
        <v>650</v>
      </c>
      <c r="D282" s="1" t="s">
        <v>651</v>
      </c>
    </row>
    <row r="283" spans="1:4" x14ac:dyDescent="0.15">
      <c r="A283" s="1" t="s">
        <v>652</v>
      </c>
      <c r="B283" s="3" t="str">
        <f ca="1">IFERROR(__xludf.DUMMYFUNCTION("GOOGLETRANSLATE(B283,""es"",""en"")"),"RT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283" s="2" t="s">
        <v>653</v>
      </c>
      <c r="D283" s="1" t="s">
        <v>654</v>
      </c>
    </row>
    <row r="284" spans="1:4" x14ac:dyDescent="0.15">
      <c r="A284" s="1" t="s">
        <v>25</v>
      </c>
      <c r="B284" s="3" t="str">
        <f ca="1">IFERROR(__xludf.DUMMYFUNCTION("GOOGLETRANSLATE(B284,""es"",""en"")"),"@Neiraelmutante
Mining and absence of State
Follow us on:
FB: https://t.co/8BN6IGtfbu
Youtube: https://t.co/x2WH9Dyq6f
More Articles: https://t.co/4sbQL43f0Q
#Mining #Fuerabamba #GregorioRojas 
https://t.co/NKZgzH7Psd")</f>
        <v>@Neiraelmutante
Mining and absence of State
Follow us on:
FB: https://t.co/8BN6IGtfbu
Youtube: https://t.co/x2WH9Dyq6f
More Articles: https://t.co/4sbQL43f0Q
#Mining #Fuerabamba #GregorioRojas 
https://t.co/NKZgzH7Psd</v>
      </c>
      <c r="C284" s="2" t="s">
        <v>655</v>
      </c>
      <c r="D284" s="1" t="s">
        <v>656</v>
      </c>
    </row>
    <row r="285" spans="1:4" x14ac:dyDescent="0.15">
      <c r="A285" s="1" t="s">
        <v>657</v>
      </c>
      <c r="B285" s="3" t="str">
        <f ca="1">IFERROR(__xludf.DUMMYFUNCTION("GOOGLETRANSLATE(B285,""es"",""en"")"),"@PanamericanaTV And with great fanfare last time they swore and perjured that this news was false and there is nothing to be afraid of... So with a new directory, these antics happen, that's why there are, there will be and there will never cease to be mo"&amp;"re cases like the # Sneakers")</f>
        <v>@PanamericanaTV And with great fanfare last time they swore and perjured that this news was false and there is nothing to be afraid of... So with a new directory, these antics happen, that's why there are, there will be and there will never cease to be more cases like the # Sneakers</v>
      </c>
      <c r="C285" s="2" t="s">
        <v>658</v>
      </c>
      <c r="D285" s="1" t="s">
        <v>656</v>
      </c>
    </row>
    <row r="286" spans="1:4" x14ac:dyDescent="0.15">
      <c r="A286" s="1" t="s">
        <v>659</v>
      </c>
      <c r="B286" s="3" t="str">
        <f ca="1">IFERROR(__xludf.DUMMYFUNCTION("GOOGLETRANSLATE(B286,""es"",""en"")"),"RT @lamula: #LasBambas Did you think that the community members in the mining project area did not have the right to receive a payment? Did you think that the land through which the blocked road passes was not theirs? Here we explain this and more about t"&amp;"his conflict --&amp;gt; https://t.co/x48ljAPQPM
#MiningConflicts https://t.co/yCMZXGVRFT")</f>
        <v>RT @lamula: #LasBambas Did you think that the community members in the mining project area did not have the right to receive a payment? Did you think that the land through which the blocked road passes was not theirs? Here we explain this and more about this conflict --&amp;gt; https://t.co/x48ljAPQPM
#MiningConflicts https://t.co/yCMZXGVRFT</v>
      </c>
      <c r="C286" s="2" t="s">
        <v>660</v>
      </c>
      <c r="D286" s="1" t="s">
        <v>656</v>
      </c>
    </row>
    <row r="287" spans="1:4" x14ac:dyDescent="0.15">
      <c r="A287" s="1" t="s">
        <v>661</v>
      </c>
      <c r="B287" s="3" t="str">
        <f ca="1">IFERROR(__xludf.DUMMYFUNCTION("GOOGLETRANSLATE(B287,""es"",""en"")"),"On Saturday the 6th they will meet again in Lima with the leader of #Fuerabamba. On that occasion, he stated, it is expected to also have a representative from the mining company #MMG #LasBambas 
@pcmperu @Defensoria_Peru @Minsa_Peru @MTC_GobPeru
@MidisPe"&amp;"ru https://t.co/3vBONyKn93")</f>
        <v>On Saturday the 6th they will meet again in Lima with the leader of #Fuerabamba. On that occasion, he stated, it is expected to also have a representative from the mining company #MMG #LasBambas 
@pcmperu @Defensoria_Peru @Minsa_Peru @MTC_GobPeru
@MidisPeru https://t.co/3vBONyKn93</v>
      </c>
      <c r="C287" s="2" t="s">
        <v>662</v>
      </c>
      <c r="D287" s="1" t="s">
        <v>663</v>
      </c>
    </row>
    <row r="288" spans="1:4" x14ac:dyDescent="0.15">
      <c r="A288" s="1" t="s">
        <v>664</v>
      </c>
      <c r="B288" s="3" t="str">
        <f ca="1">IFERROR(__xludf.DUMMYFUNCTION("GOOGLETRANSLATE(B288,""es"",""en"")"),"RT @grandemendesJr: The public judgments about the innocent or quarrelsome, savage or civilized character of the community members of Las Bambas are disgusting. They are trapped in the irrationality of a racism that they are not even aware of.")</f>
        <v>RT @grandemendesJr: The public judgments about the innocent or quarrelsome, savage or civilized character of the community members of Las Bambas are disgusting. They are trapped in the irrationality of a racism that they are not even aware of.</v>
      </c>
      <c r="C288" s="2" t="s">
        <v>665</v>
      </c>
      <c r="D288" s="1" t="s">
        <v>663</v>
      </c>
    </row>
    <row r="289" spans="1:4" x14ac:dyDescent="0.15">
      <c r="A289" s="1" t="s">
        <v>666</v>
      </c>
      <c r="B289" s="3" t="str">
        <f ca="1">IFERROR(__xludf.DUMMYFUNCTION("GOOGLETRANSLATE(B289,""es"",""en"")"),"RT @meiermq: ""What happened in Las Bambas is not because of the absence of the State but rather because of its inadequate presence, something that the great thinker Hernando de Soto would call “bad formality” https://t.co/8xhHMa0KRJ")</f>
        <v>RT @meiermq: "What happened in Las Bambas is not because of the absence of the State but rather because of its inadequate presence, something that the great thinker Hernando de Soto would call “bad formality” https://t.co/8xhHMa0KRJ</v>
      </c>
      <c r="C289" s="2" t="s">
        <v>667</v>
      </c>
      <c r="D289" s="1" t="s">
        <v>668</v>
      </c>
    </row>
    <row r="290" spans="1:4" x14ac:dyDescent="0.15">
      <c r="A290" s="1" t="s">
        <v>669</v>
      </c>
      <c r="B290" s="3" t="str">
        <f ca="1">IFERROR(__xludf.DUMMYFUNCTION("GOOGLETRANSLATE(B290,""es"",""en"")"),"The Minister of Health said that they are waiting for the response of the communities for an eventual suspension of the strike https://t.co/216s66VhjG")</f>
        <v>The Minister of Health said that they are waiting for the response of the communities for an eventual suspension of the strike https://t.co/216s66VhjG</v>
      </c>
      <c r="C290" s="2" t="s">
        <v>670</v>
      </c>
      <c r="D290" s="1" t="s">
        <v>671</v>
      </c>
    </row>
    <row r="291" spans="1:4" x14ac:dyDescent="0.15">
      <c r="A291" s="1" t="s">
        <v>672</v>
      </c>
      <c r="B291" s="3" t="str">
        <f ca="1">IFERROR(__xludf.DUMMYFUNCTION("GOOGLETRANSLATE(B291,""es"",""en"")"),"@PanoramaPTV Panorama press sold They are against the peasants of the sneakers.  They only seek their rights...they are Peruvians, not discrimination. ..")</f>
        <v>@PanoramaPTV Panorama press sold They are against the peasants of the sneakers.  They only seek their rights...they are Peruvians, not discrimination. ..</v>
      </c>
      <c r="C291" s="2" t="s">
        <v>673</v>
      </c>
      <c r="D291" s="1" t="s">
        <v>674</v>
      </c>
    </row>
    <row r="292" spans="1:4" x14ac:dyDescent="0.15">
      <c r="A292" s="1" t="s">
        <v>631</v>
      </c>
      <c r="B292" s="3" t="str">
        <f ca="1">IFERROR(__xludf.DUMMYFUNCTION("GOOGLETRANSLATE(B292,""es"",""en"")"),"However, community members insist on the release of the Chávez Sotelo family. https://t.co/zLr3y0Qihc")</f>
        <v>However, community members insist on the release of the Chávez Sotelo family. https://t.co/zLr3y0Qihc</v>
      </c>
      <c r="C292" s="2" t="s">
        <v>675</v>
      </c>
      <c r="D292" s="1" t="s">
        <v>674</v>
      </c>
    </row>
    <row r="293" spans="1:4" x14ac:dyDescent="0.15">
      <c r="A293" s="1" t="s">
        <v>676</v>
      </c>
      <c r="B293" s="3" t="str">
        <f ca="1">IFERROR(__xludf.DUMMYFUNCTION("GOOGLETRANSLATE(B293,""es"",""en"")"),"PROSECUTOR'S OFFICE ADMITS THAT THEY RELEASED THE BAMBAS LEADER AFTER EVALUATING THE POLITICAL SITUATION. WHAT THE SHELL, IS THIS HOW THE LAWS ARE HANDLED IN PERU? KEIKO MUST BE RELEASED IMMEDIATELY. LET'S SEE WHAT CONCRESISTS OF F.P. DO.")</f>
        <v>PROSECUTOR'S OFFICE ADMITS THAT THEY RELEASED THE BAMBAS LEADER AFTER EVALUATING THE POLITICAL SITUATION. WHAT THE SHELL, IS THIS HOW THE LAWS ARE HANDLED IN PERU? KEIKO MUST BE RELEASED IMMEDIATELY. LET'S SEE WHAT CONCRESISTS OF F.P. DO.</v>
      </c>
      <c r="C293" s="2" t="s">
        <v>677</v>
      </c>
      <c r="D293" s="1" t="s">
        <v>678</v>
      </c>
    </row>
    <row r="294" spans="1:4" x14ac:dyDescent="0.15">
      <c r="A294" s="1" t="s">
        <v>676</v>
      </c>
      <c r="B294" s="3" t="str">
        <f ca="1">IFERROR(__xludf.DUMMYFUNCTION("GOOGLETRANSLATE(B294,""es"",""en"")"),"RT @luislchihuan: PROSECUTOR ADMITS THAT THEY RELEASED THE LEADER OF THE BAMBAS AFTER EVALUATING THE POLITICAL SITUATION. WHAT THE SHELL, IS THIS HOW THE LAWS ARE HANDLED IN PERU? KEIKO MUST BE RELEASED IMMEDIATELY. LET'S SEE WHAT CONCRESISTS OF F.P. DO.")</f>
        <v>RT @luislchihuan: PROSECUTOR ADMITS THAT THEY RELEASED THE LEADER OF THE BAMBAS AFTER EVALUATING THE POLITICAL SITUATION. WHAT THE SHELL, IS THIS HOW THE LAWS ARE HANDLED IN PERU? KEIKO MUST BE RELEASED IMMEDIATELY. LET'S SEE WHAT CONCRESISTS OF F.P. DO.</v>
      </c>
      <c r="C294" s="2" t="s">
        <v>679</v>
      </c>
      <c r="D294" s="1" t="s">
        <v>678</v>
      </c>
    </row>
    <row r="295" spans="1:4" x14ac:dyDescent="0.15">
      <c r="A295" s="1" t="s">
        <v>680</v>
      </c>
      <c r="B295" s="3" t="str">
        <f ca="1">IFERROR(__xludf.DUMMYFUNCTION("GOOGLETRANSLATE(B295,""es"",""en"")"),"@SergiMMX Yes, mine takes off her sneakers and says; Li ported the mess to the Dyson! 🤦‍♂️")</f>
        <v>@SergiMMX Yes, mine takes off her sneakers and says; Li ported the mess to the Dyson! 🤦‍♂️</v>
      </c>
      <c r="C295" s="2" t="s">
        <v>681</v>
      </c>
      <c r="D295" s="1" t="s">
        <v>678</v>
      </c>
    </row>
    <row r="296" spans="1:4" x14ac:dyDescent="0.15">
      <c r="A296" s="1" t="s">
        <v>682</v>
      </c>
      <c r="B296" s="3" t="str">
        <f ca="1">IFERROR(__xludf.DUMMYFUNCTION("GOOGLETRANSLATE(B296,""es"",""en"")"),"RT @luislchihuan: PROSECUTOR ADMITS THAT THEY RELEASED THE LEADER OF THE BAMBAS AFTER EVALUATING THE POLITICAL SITUATION. WHAT THE SHELL, IS THIS HOW THE LAWS ARE HANDLED IN PERU? KEIKO MUST BE RELEASED IMMEDIATELY. LET'S SEE WHAT CONCRESISTS OF F.P. DO.")</f>
        <v>RT @luislchihuan: PROSECUTOR ADMITS THAT THEY RELEASED THE LEADER OF THE BAMBAS AFTER EVALUATING THE POLITICAL SITUATION. WHAT THE SHELL, IS THIS HOW THE LAWS ARE HANDLED IN PERU? KEIKO MUST BE RELEASED IMMEDIATELY. LET'S SEE WHAT CONCRESISTS OF F.P. DO.</v>
      </c>
      <c r="C296" s="2" t="s">
        <v>683</v>
      </c>
      <c r="D296" s="1" t="s">
        <v>678</v>
      </c>
    </row>
    <row r="297" spans="1:4" x14ac:dyDescent="0.15">
      <c r="A297" s="1" t="s">
        <v>424</v>
      </c>
      <c r="B297" s="3" t="str">
        <f ca="1">IFERROR(__xludf.DUMMYFUNCTION("GOOGLETRANSLATE(B297,""es"",""en"")"),"Minsa on Las Bambas: ""With the community members we agree on non-violence"" https://t.co/MxeqFig1uD https://t.co/BfyxEvlWqV")</f>
        <v>Minsa on Las Bambas: "With the community members we agree on non-violence" https://t.co/MxeqFig1uD https://t.co/BfyxEvlWqV</v>
      </c>
      <c r="C297" s="2" t="s">
        <v>684</v>
      </c>
      <c r="D297" s="1" t="s">
        <v>678</v>
      </c>
    </row>
    <row r="298" spans="1:4" x14ac:dyDescent="0.15">
      <c r="A298" s="1" t="s">
        <v>685</v>
      </c>
      <c r="B298" s="3" t="str">
        <f ca="1">IFERROR(__xludf.DUMMYFUNCTION("GOOGLETRANSLATE(B298,""es"",""en"")"),"RT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298" s="2" t="s">
        <v>686</v>
      </c>
      <c r="D298" s="1" t="s">
        <v>687</v>
      </c>
    </row>
    <row r="299" spans="1:4" x14ac:dyDescent="0.15">
      <c r="A299" s="1" t="s">
        <v>688</v>
      </c>
      <c r="B299" s="3" t="str">
        <f ca="1">IFERROR(__xludf.DUMMYFUNCTION("GOOGLETRANSLATE(B299,""es"",""en"")"),"RT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299" s="2" t="s">
        <v>689</v>
      </c>
      <c r="D299" s="1" t="s">
        <v>687</v>
      </c>
    </row>
    <row r="300" spans="1:4" x14ac:dyDescent="0.15">
      <c r="A300" s="1" t="s">
        <v>690</v>
      </c>
      <c r="B300" s="3" t="str">
        <f ca="1">IFERROR(__xludf.DUMMYFUNCTION("GOOGLETRANSLATE(B300,""es"",""en"")"),"Las Bambas: State will pay up to S/ 350 million to end the conflict https://t.co/C0BWP0yt6B")</f>
        <v>Las Bambas: State will pay up to S/ 350 million to end the conflict https://t.co/C0BWP0yt6B</v>
      </c>
      <c r="C300" s="2" t="s">
        <v>691</v>
      </c>
      <c r="D300" s="1" t="s">
        <v>687</v>
      </c>
    </row>
    <row r="301" spans="1:4" x14ac:dyDescent="0.15">
      <c r="A301" s="1" t="s">
        <v>692</v>
      </c>
      <c r="B301" s="3" t="str">
        <f ca="1">IFERROR(__xludf.DUMMYFUNCTION("GOOGLETRANSLATE(B301,""es"",""en"")"),"RT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301" s="2" t="s">
        <v>693</v>
      </c>
      <c r="D301" s="1" t="s">
        <v>687</v>
      </c>
    </row>
    <row r="302" spans="1:4" x14ac:dyDescent="0.15">
      <c r="A302" s="1" t="s">
        <v>694</v>
      </c>
      <c r="B302" s="3" t="str">
        <f ca="1">IFERROR(__xludf.DUMMYFUNCTION("GOOGLETRANSLATE(B302,""es"",""en"")"),"RT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302" s="2" t="s">
        <v>695</v>
      </c>
      <c r="D302" s="1" t="s">
        <v>696</v>
      </c>
    </row>
    <row r="303" spans="1:4" x14ac:dyDescent="0.15">
      <c r="A303" s="1" t="s">
        <v>697</v>
      </c>
      <c r="B303" s="3" t="str">
        <f ca="1">IFERROR(__xludf.DUMMYFUNCTION("GOOGLETRANSLATE(B303,""es"",""en"")"),"Do you say sneakers or sneakers?")</f>
        <v>Do you say sneakers or sneakers?</v>
      </c>
      <c r="C303" s="2" t="s">
        <v>698</v>
      </c>
      <c r="D303" s="1" t="s">
        <v>696</v>
      </c>
    </row>
    <row r="304" spans="1:4" x14ac:dyDescent="0.15">
      <c r="A304" s="1" t="s">
        <v>699</v>
      </c>
      <c r="B304" s="3" t="str">
        <f ca="1">IFERROR(__xludf.DUMMYFUNCTION("GOOGLETRANSLATE(B304,""es"",""en"")"),"RT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304" s="2" t="s">
        <v>700</v>
      </c>
      <c r="D304" s="1" t="s">
        <v>701</v>
      </c>
    </row>
    <row r="305" spans="1:4" x14ac:dyDescent="0.15">
      <c r="A305" s="1" t="s">
        <v>702</v>
      </c>
      <c r="B305" s="3" t="str">
        <f ca="1">IFERROR(__xludf.DUMMYFUNCTION("GOOGLETRANSLATE(B305,""es"",""en"")"),"RT @Jorgedelama: José De Echave talked about Las Bambas with Sol Carreño. He is a director of Cooperación, an anti-extractivist NGO that receives funds from the Open Society like its ""allies"". Abel Gilvonio works there, son of terrorists and a communist"&amp;" who attacked Cardinal Cipriani on Twitter Photos👇 https://t.co/l8BHyMqeao")</f>
        <v>RT @Jorgedelama: José De Echave talked about Las Bambas with Sol Carreño. He is a director of Cooperación, an anti-extractivist NGO that receives funds from the Open Society like its "allies". Abel Gilvonio works there, son of terrorists and a communist who attacked Cardinal Cipriani on Twitter Photos👇 https://t.co/l8BHyMqeao</v>
      </c>
      <c r="C305" s="2" t="s">
        <v>703</v>
      </c>
      <c r="D305" s="1" t="s">
        <v>704</v>
      </c>
    </row>
    <row r="306" spans="1:4" x14ac:dyDescent="0.15">
      <c r="A306" s="1" t="s">
        <v>705</v>
      </c>
      <c r="B306" s="3" t="str">
        <f ca="1">IFERROR(__xludf.DUMMYFUNCTION("GOOGLETRANSLATE(B306,""es"",""en"")"),"......
https://t.co/OgdACkWI5O")</f>
        <v>......
https://t.co/OgdACkWI5O</v>
      </c>
      <c r="C306" s="2" t="s">
        <v>706</v>
      </c>
      <c r="D306" s="1" t="s">
        <v>707</v>
      </c>
    </row>
    <row r="307" spans="1:4" x14ac:dyDescent="0.15">
      <c r="A307" s="1" t="s">
        <v>708</v>
      </c>
      <c r="B307" s="3" t="str">
        <f ca="1">IFERROR(__xludf.DUMMYFUNCTION("GOOGLETRANSLATE(B307,""es"",""en"")"),"RT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307" s="2" t="s">
        <v>709</v>
      </c>
      <c r="D307" s="1" t="s">
        <v>707</v>
      </c>
    </row>
    <row r="308" spans="1:4" x14ac:dyDescent="0.15">
      <c r="A308" s="1" t="s">
        <v>710</v>
      </c>
      <c r="B308" s="3" t="str">
        <f ca="1">IFERROR(__xludf.DUMMYFUNCTION("GOOGLETRANSLATE(B308,""es"",""en"")"),"Prime Minister Del Solar, Monsignor Cabrejos, Gregorio Rojas and the Ombudsman's Office held a dialogue on the Las Bambas conflict | https://t.co/8heBEJXoNp")</f>
        <v>Prime Minister Del Solar, Monsignor Cabrejos, Gregorio Rojas and the Ombudsman's Office held a dialogue on the Las Bambas conflict | https://t.co/8heBEJXoNp</v>
      </c>
      <c r="C308" s="2" t="s">
        <v>711</v>
      </c>
      <c r="D308" s="1" t="s">
        <v>707</v>
      </c>
    </row>
    <row r="309" spans="1:4" x14ac:dyDescent="0.15">
      <c r="A309" s="1" t="s">
        <v>712</v>
      </c>
      <c r="B309" s="3" t="str">
        <f ca="1">IFERROR(__xludf.DUMMYFUNCTION("GOOGLETRANSLATE(B309,""es"",""en"")"),"Tailor-made national road: ""Trujillo also recognized that the road that the community of Fuerabamba keeps blocked in the area of ​​the Yavi Yavi farm (Cusco) is for the almost exclusive use of the company MMG Limited."" #The Bambas
https://t.co/9ZuSJUIZK"&amp;"c")</f>
        <v>Tailor-made national road: "Trujillo also recognized that the road that the community of Fuerabamba keeps blocked in the area of ​​the Yavi Yavi farm (Cusco) is for the almost exclusive use of the company MMG Limited." #The Bambas
https://t.co/9ZuSJUIZKc</v>
      </c>
      <c r="C309" s="2" t="s">
        <v>713</v>
      </c>
      <c r="D309" s="1" t="s">
        <v>714</v>
      </c>
    </row>
    <row r="310" spans="1:4" x14ac:dyDescent="0.15">
      <c r="A310" s="1" t="s">
        <v>715</v>
      </c>
      <c r="B310" s="3" t="str">
        <f ca="1">IFERROR(__xludf.DUMMYFUNCTION("GOOGLETRANSLATE(B310,""es"",""en"")"),"RT @snmpeperu: For our executive director, Pablo de la Flor, the way we resolve the #LasBambas conflict can mark a turning point.
Read the full interview here at @elcomercio_peru. https://t.co/foSpMG33OU")</f>
        <v>RT @snmpeperu: For our executive director, Pablo de la Flor, the way we resolve the #LasBambas conflict can mark a turning point.
Read the full interview here at @elcomercio_peru. https://t.co/foSpMG33OU</v>
      </c>
      <c r="C310" s="2" t="s">
        <v>716</v>
      </c>
      <c r="D310" s="1" t="s">
        <v>714</v>
      </c>
    </row>
    <row r="311" spans="1:4" x14ac:dyDescent="0.15">
      <c r="A311" s="1" t="s">
        <v>717</v>
      </c>
      <c r="B311" s="3" t="str">
        <f ca="1">IFERROR(__xludf.DUMMYFUNCTION("GOOGLETRANSLATE(B311,""es"",""en"")"),"RT @frankri14641759: DE LAS BAMBAS MAKES ME BELIEVE... THAT THIS PUPPET PPKAUSA FROM VIZCARRATA LET IT OVERFLOW TO... IN HIS TIME COVER UP ABOUT ODEBRECHT, COVER UP ABOUT MRS KEIKO'S PRISON AND MAKE HER MANAGEMENT A SONG TO THE DEMOCRACY..TOOD CAME OUT OF"&amp;" HIS BACK...HE WENT ON HIS FACE AND TODAY FLOATS AT 25%")</f>
        <v>RT @frankri14641759: DE LAS BAMBAS MAKES ME BELIEVE... THAT THIS PUPPET PPKAUSA FROM VIZCARRATA LET IT OVERFLOW TO... IN HIS TIME COVER UP ABOUT ODEBRECHT, COVER UP ABOUT MRS KEIKO'S PRISON AND MAKE HER MANAGEMENT A SONG TO THE DEMOCRACY..TOOD CAME OUT OF HIS BACK...HE WENT ON HIS FACE AND TODAY FLOATS AT 25%</v>
      </c>
      <c r="C311" s="2" t="s">
        <v>718</v>
      </c>
      <c r="D311" s="1" t="s">
        <v>719</v>
      </c>
    </row>
    <row r="312" spans="1:4" x14ac:dyDescent="0.15">
      <c r="A312" s="1" t="s">
        <v>720</v>
      </c>
      <c r="B312" s="3" t="str">
        <f ca="1">IFERROR(__xludf.DUMMYFUNCTION("GOOGLETRANSLATE(B312,""es"",""en"")"),"RT @lamula: #LasBambas Did you think that the community members in the mining project area did not have the right to receive a payment? Did you think that the land through which the blocked road passes was not theirs? Here we explain this and more about t"&amp;"his conflict --&amp;gt; https://t.co/x48ljAPQPM
#MiningConflicts https://t.co/yCMZXGVRFT")</f>
        <v>RT @lamula: #LasBambas Did you think that the community members in the mining project area did not have the right to receive a payment? Did you think that the land through which the blocked road passes was not theirs? Here we explain this and more about this conflict --&amp;gt; https://t.co/x48ljAPQPM
#MiningConflicts https://t.co/yCMZXGVRFT</v>
      </c>
      <c r="C312" s="2" t="s">
        <v>721</v>
      </c>
      <c r="D312" s="1" t="s">
        <v>719</v>
      </c>
    </row>
    <row r="313" spans="1:4" x14ac:dyDescent="0.15">
      <c r="A313" s="1" t="s">
        <v>722</v>
      </c>
      <c r="B313" s="3" t="str">
        <f ca="1">IFERROR(__xludf.DUMMYFUNCTION("GOOGLETRANSLATE(B313,""es"",""en"")"),"RT @FUIKAOMAR: And what do you call “basketball shoes”? - https://t.co/VPveB0dVkE https://t.co/Mq6zIqb3na")</f>
        <v>RT @FUIKAOMAR: And what do you call “basketball shoes”? - https://t.co/VPveB0dVkE https://t.co/Mq6zIqb3na</v>
      </c>
      <c r="C313" s="2" t="s">
        <v>723</v>
      </c>
      <c r="D313" s="1" t="s">
        <v>724</v>
      </c>
    </row>
    <row r="314" spans="1:4" x14ac:dyDescent="0.15">
      <c r="A314" s="1" t="s">
        <v>725</v>
      </c>
      <c r="B314" s="3" t="str">
        <f ca="1">IFERROR(__xludf.DUMMYFUNCTION("GOOGLETRANSLATE(B314,""es"",""en"")"),"RT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314" s="2" t="s">
        <v>726</v>
      </c>
      <c r="D314" s="1" t="s">
        <v>727</v>
      </c>
    </row>
    <row r="315" spans="1:4" x14ac:dyDescent="0.15">
      <c r="A315" s="1" t="s">
        <v>728</v>
      </c>
      <c r="B315" s="3" t="str">
        <f ca="1">IFERROR(__xludf.DUMMYFUNCTION("GOOGLETRANSLATE(B315,""es"",""en"")"),"RT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315" s="2" t="s">
        <v>729</v>
      </c>
      <c r="D315" s="1" t="s">
        <v>727</v>
      </c>
    </row>
    <row r="316" spans="1:4" x14ac:dyDescent="0.15">
      <c r="A316" s="1" t="s">
        <v>661</v>
      </c>
      <c r="B316" s="3" t="str">
        <f ca="1">IFERROR(__xludf.DUMMYFUNCTION("GOOGLETRANSLATE(B316,""es"",""en"")"),"#LasBambas recognize the government's efforts to solve the problems at the base of the dialogue
https://t.co/lAFsZjN6rO")</f>
        <v>#LasBambas recognize the government's efforts to solve the problems at the base of the dialogue
https://t.co/lAFsZjN6rO</v>
      </c>
      <c r="C316" s="2" t="s">
        <v>730</v>
      </c>
      <c r="D316" s="1" t="s">
        <v>731</v>
      </c>
    </row>
    <row r="317" spans="1:4" x14ac:dyDescent="0.15">
      <c r="A317" s="1" t="s">
        <v>732</v>
      </c>
      <c r="B317" s="3" t="str">
        <f ca="1">IFERROR(__xludf.DUMMYFUNCTION("GOOGLETRANSLATE(B317,""es"",""en"")"),"@ArturoOrdoez11 The State is not a partner of Las Bambas, a company owned by a Chinese state company through an Australian subsidiary. In a very broad sense the State can be considered a partner of Las Bambas through Income Tax and Royalties .")</f>
        <v>@ArturoOrdoez11 The State is not a partner of Las Bambas, a company owned by a Chinese state company through an Australian subsidiary. In a very broad sense the State can be considered a partner of Las Bambas through Income Tax and Royalties .</v>
      </c>
      <c r="C317" s="2" t="s">
        <v>733</v>
      </c>
      <c r="D317" s="1" t="s">
        <v>734</v>
      </c>
    </row>
    <row r="318" spans="1:4" x14ac:dyDescent="0.15">
      <c r="A318" s="1" t="s">
        <v>735</v>
      </c>
      <c r="B318" s="3" t="str">
        <f ca="1">IFERROR(__xludf.DUMMYFUNCTION("GOOGLETRANSLATE(B318,""es"",""en"")"),"Salvador del Solar requests the unblocking of the road to the Las Bambas mining company for the start of the official meeting https://t.co/lHdAqsTA14")</f>
        <v>Salvador del Solar requests the unblocking of the road to the Las Bambas mining company for the start of the official meeting https://t.co/lHdAqsTA14</v>
      </c>
      <c r="C318" s="2" t="s">
        <v>736</v>
      </c>
      <c r="D318" s="1" t="s">
        <v>737</v>
      </c>
    </row>
    <row r="319" spans="1:4" x14ac:dyDescent="0.15">
      <c r="A319" s="1" t="s">
        <v>738</v>
      </c>
      <c r="B319" s="3" t="str">
        <f ca="1">IFERROR(__xludf.DUMMYFUNCTION("GOOGLETRANSLATE(B319,""es"",""en"")"),"RT @dmacera: Now that the paralysis of Las Bambas operations is taking shape, let's put their contribution into perspective.
Who is benefiting from this conflict? https://t.co/EsVEWMpXXy")</f>
        <v>RT @dmacera: Now that the paralysis of Las Bambas operations is taking shape, let's put their contribution into perspective.
Who is benefiting from this conflict? https://t.co/EsVEWMpXXy</v>
      </c>
      <c r="C319" s="2" t="s">
        <v>739</v>
      </c>
      <c r="D319" s="1" t="s">
        <v>737</v>
      </c>
    </row>
    <row r="320" spans="1:4" x14ac:dyDescent="0.15">
      <c r="A320" s="1" t="s">
        <v>740</v>
      </c>
      <c r="B320" s="3" t="str">
        <f ca="1">IFERROR(__xludf.DUMMYFUNCTION("GOOGLETRANSLATE(B320,""es"",""en"")"),"RT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320" s="2" t="s">
        <v>741</v>
      </c>
      <c r="D320" s="1" t="s">
        <v>742</v>
      </c>
    </row>
    <row r="321" spans="1:4" x14ac:dyDescent="0.15">
      <c r="A321" s="1" t="s">
        <v>743</v>
      </c>
      <c r="B321" s="3" t="str">
        <f ca="1">IFERROR(__xludf.DUMMYFUNCTION("GOOGLETRANSLATE(B321,""es"",""en"")"),"Government estimates paying S/ 350 million to overcome conflict in Las Bambas https://t.co/zYKWtjqNau")</f>
        <v>Government estimates paying S/ 350 million to overcome conflict in Las Bambas https://t.co/zYKWtjqNau</v>
      </c>
      <c r="C321" s="2" t="s">
        <v>744</v>
      </c>
      <c r="D321" s="1" t="s">
        <v>742</v>
      </c>
    </row>
    <row r="322" spans="1:4" x14ac:dyDescent="0.15">
      <c r="A322" s="1" t="s">
        <v>745</v>
      </c>
      <c r="B322" s="3" t="str">
        <f ca="1">IFERROR(__xludf.DUMMYFUNCTION("GOOGLETRANSLATE(B322,""es"",""en"")"),"Edmer Trujillo as Minister of Transportation is with tremendous political success. In Las Bambas and now, in Fiori.")</f>
        <v>Edmer Trujillo as Minister of Transportation is with tremendous political success. In Las Bambas and now, in Fiori.</v>
      </c>
      <c r="C322" s="2" t="s">
        <v>746</v>
      </c>
      <c r="D322" s="1" t="s">
        <v>747</v>
      </c>
    </row>
    <row r="323" spans="1:4" x14ac:dyDescent="0.15">
      <c r="A323" s="1" t="s">
        <v>748</v>
      </c>
      <c r="B323" s="3" t="str">
        <f ca="1">IFERROR(__xludf.DUMMYFUNCTION("GOOGLETRANSLATE(B323,""es"",""en"")"),"RT @Politica_LR: Las Bambas: they suspend hearing against the Chávez Sotelo brothers #VIDEO
 ► https://t.co/DvEtZs8Oqe https://t.co/CICt09pftm")</f>
        <v>RT @Politica_LR: Las Bambas: they suspend hearing against the Chávez Sotelo brothers #VIDEO
 ► https://t.co/DvEtZs8Oqe https://t.co/CICt09pftm</v>
      </c>
      <c r="C323" s="2" t="s">
        <v>749</v>
      </c>
      <c r="D323" s="1" t="s">
        <v>747</v>
      </c>
    </row>
    <row r="324" spans="1:4" x14ac:dyDescent="0.15">
      <c r="A324" s="1" t="s">
        <v>750</v>
      </c>
      <c r="B324" s="3" t="str">
        <f ca="1">IFERROR(__xludf.DUMMYFUNCTION("GOOGLETRANSLATE(B324,""es"",""en"")"),"RT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324" s="2" t="s">
        <v>751</v>
      </c>
      <c r="D324" s="1" t="s">
        <v>752</v>
      </c>
    </row>
    <row r="325" spans="1:4" x14ac:dyDescent="0.15">
      <c r="A325" s="1" t="s">
        <v>101</v>
      </c>
      <c r="B325" s="3" t="str">
        <f ca="1">IFERROR(__xludf.DUMMYFUNCTION("GOOGLETRANSLATE(B325,""es"",""en"")"),"[VIDEO] The Las Bambas conflict explained in 3 minutes What is really happening with the communities affected by the Las Bambas mining project? Lawyer Mirtha Vasquez explains it to you in #3Minutos⏱ | #TensiónEnLasBambas The entrance... https://t.co/V8gYh"&amp;"OdYBl #PerúNoticias")</f>
        <v>[VIDEO] The Las Bambas conflict explained in 3 minutes What is really happening with the communities affected by the Las Bambas mining project? Lawyer Mirtha Vasquez explains it to you in #3Minutos⏱ | #TensiónEnLasBambas The entrance... https://t.co/V8gYhOdYBl #PerúNoticias</v>
      </c>
      <c r="C325" s="2" t="s">
        <v>753</v>
      </c>
      <c r="D325" s="1" t="s">
        <v>754</v>
      </c>
    </row>
    <row r="326" spans="1:4" x14ac:dyDescent="0.15">
      <c r="A326" s="1" t="s">
        <v>755</v>
      </c>
      <c r="B326" s="3" t="str">
        <f ca="1">IFERROR(__xludf.DUMMYFUNCTION("GOOGLETRANSLATE(B326,""es"",""en"")"),"What news...and the Sneakers https://t.co/tc6L9vM6w3")</f>
        <v>What news...and the Sneakers https://t.co/tc6L9vM6w3</v>
      </c>
      <c r="C326" s="2" t="s">
        <v>756</v>
      </c>
      <c r="D326" s="1" t="s">
        <v>757</v>
      </c>
    </row>
    <row r="327" spans="1:4" x14ac:dyDescent="0.15">
      <c r="A327" s="1" t="s">
        <v>758</v>
      </c>
      <c r="B327" s="3" t="str">
        <f ca="1">IFERROR(__xludf.DUMMYFUNCTION("GOOGLETRANSLATE(B327,""es"",""en"")"),"@yonhy_lescano The state has to look after the lives of the community members and safeguard them because that contract that exists in Las Bambas is degrading to our country, how could this have happened in prison for those corrupt people who gave away Las"&amp;" Bambas... what kind of politicians do we have? they are miserable")</f>
        <v>@yonhy_lescano The state has to look after the lives of the community members and safeguard them because that contract that exists in Las Bambas is degrading to our country, how could this have happened in prison for those corrupt people who gave away Las Bambas... what kind of politicians do we have? they are miserable</v>
      </c>
      <c r="C327" s="2" t="s">
        <v>759</v>
      </c>
      <c r="D327" s="1" t="s">
        <v>757</v>
      </c>
    </row>
    <row r="328" spans="1:4" x14ac:dyDescent="0.15">
      <c r="A328" s="1" t="s">
        <v>760</v>
      </c>
      <c r="B328" s="3" t="str">
        <f ca="1">IFERROR(__xludf.DUMMYFUNCTION("GOOGLETRANSLATE(B328,""es"",""en"")"),"RT @elmontonero_pe: @Neiraelmutante
Mining and absence of State
Follow us on:
FB: https://t.co/8BN6IGbDMU
Youtube: https://t.co/x2WH9DgOHF
More Articles: https://t.co/4sbQL4kPSo
#HugoNeira #LasBambas #Conflicts 
https://t.co/NKZgzHpqjL")</f>
        <v>RT @elmontonero_pe: @Neiraelmutante
Mining and absence of State
Follow us on:
FB: https://t.co/8BN6IGbDMU
Youtube: https://t.co/x2WH9DgOHF
More Articles: https://t.co/4sbQL4kPSo
#HugoNeira #LasBambas #Conflicts 
https://t.co/NKZgzHpqjL</v>
      </c>
      <c r="C328" s="2" t="s">
        <v>761</v>
      </c>
      <c r="D328" s="1" t="s">
        <v>757</v>
      </c>
    </row>
    <row r="329" spans="1:4" x14ac:dyDescent="0.15">
      <c r="A329" s="1" t="s">
        <v>762</v>
      </c>
      <c r="B329" s="3" t="str">
        <f ca="1">IFERROR(__xludf.DUMMYFUNCTION("GOOGLETRANSLATE(B329,""es"",""en"")"),"RT @jctafur: Let's see if Las Bambas wakes up a government that has lost its compass and that if it persists in that mood, it will condemn the brand new Del Solar cabinet to being a failed bet. On the subject, I invite you to read my Sunday column in La R"&amp;"epública https://t.co/W52lbRPE52")</f>
        <v>RT @jctafur: Let's see if Las Bambas wakes up a government that has lost its compass and that if it persists in that mood, it will condemn the brand new Del Solar cabinet to being a failed bet. On the subject, I invite you to read my Sunday column in La República https://t.co/W52lbRPE52</v>
      </c>
      <c r="C329" s="2" t="s">
        <v>763</v>
      </c>
      <c r="D329" s="1" t="s">
        <v>757</v>
      </c>
    </row>
    <row r="330" spans="1:4" x14ac:dyDescent="0.15">
      <c r="A330" s="1" t="s">
        <v>764</v>
      </c>
      <c r="B330" s="3" t="str">
        <f ca="1">IFERROR(__xludf.DUMMYFUNCTION("GOOGLETRANSLATE(B330,""es"",""en"")"),"RT @MilagrosLeivaG: TOMORROW in #EdicionMatinal by @atvpe We arrived at the town of Pumamarca affected by the activities of the Las Bambas mining company. In extreme poverty, with a school on the verge of collapsing, its only post without staff or medicin"&amp;"es and what is worse with sick and poorly fed children...")</f>
        <v>RT @MilagrosLeivaG: TOMORROW in #EdicionMatinal by @atvpe We arrived at the town of Pumamarca affected by the activities of the Las Bambas mining company. In extreme poverty, with a school on the verge of collapsing, its only post without staff or medicines and what is worse with sick and poorly fed children...</v>
      </c>
      <c r="C330" s="2" t="s">
        <v>765</v>
      </c>
      <c r="D330" s="1" t="s">
        <v>766</v>
      </c>
    </row>
    <row r="331" spans="1:4" x14ac:dyDescent="0.15">
      <c r="A331" s="1" t="s">
        <v>767</v>
      </c>
      <c r="B331" s="3" t="str">
        <f ca="1">IFERROR(__xludf.DUMMYFUNCTION("GOOGLETRANSLATE(B331,""es"",""en"")"),"What mayor? Lima does not have a mayor, it has an idiot who is the clone of Susana Villlaran who only served to bribe OAS and loot the mayor's office with his bambas consultancies, and this miserable person is just the same https://t.co/PiNCmVUL3J")</f>
        <v>What mayor? Lima does not have a mayor, it has an idiot who is the clone of Susana Villlaran who only served to bribe OAS and loot the mayor's office with his bambas consultancies, and this miserable person is just the same https://t.co/PiNCmVUL3J</v>
      </c>
      <c r="C331" s="2" t="s">
        <v>768</v>
      </c>
      <c r="D331" s="1" t="s">
        <v>766</v>
      </c>
    </row>
    <row r="332" spans="1:4" x14ac:dyDescent="0.15">
      <c r="A332" s="1" t="s">
        <v>769</v>
      </c>
      <c r="B332" s="3" t="str">
        <f ca="1">IFERROR(__xludf.DUMMYFUNCTION("GOOGLETRANSLATE(B332,""es"",""en"")"),"#BRIEF: Approval of Vizcarra goes from 56% to 44%, and the alarming thing is that data was collected before the conflict escalated in Las Bambas. Furthermore, only 28% approve of Premier Del Solar, almost like Villanueva when he left office: 27%! https://"&amp;"t.co/fdwOHAKd5w https://t.co/ISYbScnWyu")</f>
        <v>#BRIEF: Approval of Vizcarra goes from 56% to 44%, and the alarming thing is that data was collected before the conflict escalated in Las Bambas. Furthermore, only 28% approve of Premier Del Solar, almost like Villanueva when he left office: 27%! https://t.co/fdwOHAKd5w https://t.co/ISYbScnWyu</v>
      </c>
      <c r="C332" s="2" t="s">
        <v>770</v>
      </c>
      <c r="D332" s="1" t="s">
        <v>771</v>
      </c>
    </row>
    <row r="333" spans="1:4" x14ac:dyDescent="0.15">
      <c r="A333" s="1" t="s">
        <v>772</v>
      </c>
      <c r="B333" s="3" t="str">
        <f ca="1">IFERROR(__xludf.DUMMYFUNCTION("GOOGLETRANSLATE(B333,""es"",""en"")"),"@Vero_Mendoza_F You want to get on the Bambas train...")</f>
        <v>@Vero_Mendoza_F You want to get on the Bambas train...</v>
      </c>
      <c r="C333" s="2" t="s">
        <v>773</v>
      </c>
      <c r="D333" s="1" t="s">
        <v>774</v>
      </c>
    </row>
    <row r="334" spans="1:4" x14ac:dyDescent="0.15">
      <c r="A334" s="1" t="s">
        <v>775</v>
      </c>
      <c r="B334" s="3" t="str">
        <f ca="1">IFERROR(__xludf.DUMMYFUNCTION("GOOGLETRANSLATE(B334,""es"",""en"")"),"@Fantasyfans_net Kommer Berisha signeringen til å hampen effekt på Sneakers minutter? Spesielt mtp spissrush i runde 2.")</f>
        <v>@Fantasyfans_net Kommer Berisha signeringen til å hampen effekt på Sneakers minutter? Spesielt mtp spissrush i runde 2.</v>
      </c>
      <c r="C334" s="2" t="s">
        <v>776</v>
      </c>
      <c r="D334" s="1" t="s">
        <v>774</v>
      </c>
    </row>
    <row r="335" spans="1:4" x14ac:dyDescent="0.15">
      <c r="A335" s="1" t="s">
        <v>777</v>
      </c>
      <c r="B335" s="3" t="str">
        <f ca="1">IFERROR(__xludf.DUMMYFUNCTION("GOOGLETRANSLATE(B335,""es"",""en"")"),"RT @jctafur: Let's see if Las Bambas wakes up a government that has lost its compass and that if it persists in that mood, it will condemn the brand new Del Solar cabinet to being a failed bet. On the subject, I invite you to read my Sunday column in La R"&amp;"epública https://t.co/W52lbRPE52")</f>
        <v>RT @jctafur: Let's see if Las Bambas wakes up a government that has lost its compass and that if it persists in that mood, it will condemn the brand new Del Solar cabinet to being a failed bet. On the subject, I invite you to read my Sunday column in La República https://t.co/W52lbRPE52</v>
      </c>
      <c r="C335" s="2" t="s">
        <v>778</v>
      </c>
      <c r="D335" s="1" t="s">
        <v>779</v>
      </c>
    </row>
    <row r="336" spans="1:4" x14ac:dyDescent="0.15">
      <c r="A336" s="1" t="s">
        <v>780</v>
      </c>
      <c r="B336" s="3" t="str">
        <f ca="1">IFERROR(__xludf.DUMMYFUNCTION("GOOGLETRANSLATE(B336,""es"",""en"")"),"RT @cnddhh: 🔴[#ATTENTION] We share the statement issued today on @larepublica_pe 
🔼ABOUT THE LAS BAMBAS CONFLICT:
ELEMENTS FOR A DIALOGUE, PEACEFUL AND DURABLE EXIT. https://t.co/SaN1D026DH")</f>
        <v>RT @cnddhh: 🔴[#ATTENTION] We share the statement issued today on @larepublica_pe 
🔼ABOUT THE LAS BAMBAS CONFLICT:
ELEMENTS FOR A DIALOGUE, PEACEFUL AND DURABLE EXIT. https://t.co/SaN1D026DH</v>
      </c>
      <c r="C336" s="2" t="s">
        <v>781</v>
      </c>
      <c r="D336" s="1" t="s">
        <v>782</v>
      </c>
    </row>
    <row r="337" spans="1:4" x14ac:dyDescent="0.15">
      <c r="A337" s="1" t="s">
        <v>783</v>
      </c>
      <c r="B337" s="3" t="str">
        <f ca="1">IFERROR(__xludf.DUMMYFUNCTION("GOOGLETRANSLATE(B337,""es"",""en"")"),"By dialogue or by force, by Alfredo Torres* https://t.co/95wNstH711 via @elcomercio_peru")</f>
        <v>By dialogue or by force, by Alfredo Torres* https://t.co/95wNstH711 via @elcomercio_peru</v>
      </c>
      <c r="C337" s="2" t="s">
        <v>784</v>
      </c>
      <c r="D337" s="1" t="s">
        <v>785</v>
      </c>
    </row>
    <row r="338" spans="1:4" x14ac:dyDescent="0.15">
      <c r="A338" s="1" t="s">
        <v>786</v>
      </c>
      <c r="B338" s="3" t="str">
        <f ca="1">IFERROR(__xludf.DUMMYFUNCTION("GOOGLETRANSLATE(B338,""es"",""en"")"),"@matuk @rmapalacios Be careful Las Bambas bought and paid for that land, the former owners are going to complain. The new Fuerabamba owners do complain about non-payment for road use. Yavi Yavi is 117km route from Nueva Fuerabamba.")</f>
        <v>@matuk @rmapalacios Be careful Las Bambas bought and paid for that land, the former owners are going to complain. The new Fuerabamba owners do complain about non-payment for road use. Yavi Yavi is 117km route from Nueva Fuerabamba.</v>
      </c>
      <c r="C338" s="2" t="s">
        <v>787</v>
      </c>
      <c r="D338" s="1" t="s">
        <v>785</v>
      </c>
    </row>
    <row r="339" spans="1:4" x14ac:dyDescent="0.15">
      <c r="A339" s="1" t="s">
        <v>788</v>
      </c>
      <c r="B339" s="3" t="str">
        <f ca="1">IFERROR(__xludf.DUMMYFUNCTION("GOOGLETRANSLATE(B339,""es"",""en"")"),"Que saudade que eu tava de sair da Academia com las pernas bambas")</f>
        <v>Que saudade que eu tava de sair da Academia com las pernas bambas</v>
      </c>
      <c r="C339" s="2" t="s">
        <v>789</v>
      </c>
      <c r="D339" s="1" t="s">
        <v>790</v>
      </c>
    </row>
    <row r="340" spans="1:4" x14ac:dyDescent="0.15">
      <c r="A340" s="1" t="s">
        <v>791</v>
      </c>
      <c r="B340" s="3" t="str">
        <f ca="1">IFERROR(__xludf.DUMMYFUNCTION("GOOGLETRANSLATE(B340,""es"",""en"")"),"RT @Antonio3Peru: @reyconbarba @reyreysincorona @JBCPERU 
Outrageous that in Nueva Fuerabamba there is a very modern and well-equipped school made by Las Bambas and that the rioters discriminate against children from another community who live 500m away a"&amp;"nd do not allow them to enroll there.")</f>
        <v>RT @Antonio3Peru: @reyconbarba @reyreysincorona @JBCPERU 
Outrageous that in Nueva Fuerabamba there is a very modern and well-equipped school made by Las Bambas and that the rioters discriminate against children from another community who live 500m away and do not allow them to enroll there.</v>
      </c>
      <c r="C340" s="2" t="s">
        <v>792</v>
      </c>
      <c r="D340" s="1" t="s">
        <v>790</v>
      </c>
    </row>
    <row r="341" spans="1:4" x14ac:dyDescent="0.15">
      <c r="A341" s="1" t="s">
        <v>793</v>
      </c>
      <c r="B341" s="3" t="str">
        <f ca="1">IFERROR(__xludf.DUMMYFUNCTION("GOOGLETRANSLATE(B341,""es"",""en"")"),"@RadioNacionalFM @MTC_GobPeru Mr. Edmer Trujillo, I resigned due to your inability to manage and the death of humble Peruvians and dismissals of workers due to the issue of social conflict in Las Bambas")</f>
        <v>@RadioNacionalFM @MTC_GobPeru Mr. Edmer Trujillo, I resigned due to your inability to manage and the death of humble Peruvians and dismissals of workers due to the issue of social conflict in Las Bambas</v>
      </c>
      <c r="C341" s="2" t="s">
        <v>794</v>
      </c>
      <c r="D341" s="1" t="s">
        <v>790</v>
      </c>
    </row>
    <row r="342" spans="1:4" x14ac:dyDescent="0.15">
      <c r="A342" s="1" t="s">
        <v>795</v>
      </c>
      <c r="B342" s="3" t="str">
        <f ca="1">IFERROR(__xludf.DUMMYFUNCTION("GOOGLETRANSLATE(B342,""es"",""en"")"),"Will the Peruvian state pay??? 
No gentlemen, ALL PERUVIANS WILL PAY!!! with our taxes 😡👎🏼🇵🇪.   Las Bambas: State willing to pay more than S/ 300 million to communities | https://t.co/CgDD7LI57n https://t.co/UliEk7zcRy")</f>
        <v>Will the Peruvian state pay??? 
No gentlemen, ALL PERUVIANS WILL PAY!!! with our taxes 😡👎🏼🇵🇪.   Las Bambas: State willing to pay more than S/ 300 million to communities | https://t.co/CgDD7LI57n https://t.co/UliEk7zcRy</v>
      </c>
      <c r="C342" s="2" t="s">
        <v>796</v>
      </c>
      <c r="D342" s="1" t="s">
        <v>797</v>
      </c>
    </row>
    <row r="343" spans="1:4" x14ac:dyDescent="0.15">
      <c r="A343" s="1" t="s">
        <v>798</v>
      </c>
      <c r="B343" s="3" t="str">
        <f ca="1">IFERROR(__xludf.DUMMYFUNCTION("GOOGLETRANSLATE(B343,""es"",""en"")"),"RT @Politico_pe: #BRIEF: Approval of Vizcarra goes from 56% to 44%, and the alarming thing is that data was collected before the conflict in Las Bambas escalated. Furthermore, only 28% approve of Premier Del Solar, almost like Villanueva when he left offi"&amp;"ce: 27%! https://t.co/fdwOHAKd5w https://t.co/ISYbScnWyu")</f>
        <v>RT @Politico_pe: #BRIEF: Approval of Vizcarra goes from 56% to 44%, and the alarming thing is that data was collected before the conflict in Las Bambas escalated. Furthermore, only 28% approve of Premier Del Solar, almost like Villanueva when he left office: 27%! https://t.co/fdwOHAKd5w https://t.co/ISYbScnWyu</v>
      </c>
      <c r="C343" s="2" t="s">
        <v>799</v>
      </c>
      <c r="D343" s="1" t="s">
        <v>797</v>
      </c>
    </row>
    <row r="344" spans="1:4" x14ac:dyDescent="0.15">
      <c r="A344" s="1" t="s">
        <v>800</v>
      </c>
      <c r="B344" s="3" t="str">
        <f ca="1">IFERROR(__xludf.DUMMYFUNCTION("GOOGLETRANSLATE(B344,""es"",""en"")"),"RT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344" s="2" t="s">
        <v>801</v>
      </c>
      <c r="D344" s="1" t="s">
        <v>797</v>
      </c>
    </row>
    <row r="345" spans="1:4" x14ac:dyDescent="0.15">
      <c r="A345" s="1" t="s">
        <v>802</v>
      </c>
      <c r="B345" s="3" t="str">
        <f ca="1">IFERROR(__xludf.DUMMYFUNCTION("GOOGLETRANSLATE(B345,""es"",""en"")"),"RT @ExpresoPeru: ""The Las Bambas conflict has several inputs for analysis that should, once and for all with leadership and political decision, channel the problem towards sustainable solutions."" By @josepatino65 https://t.co/gnBK2ZPLwu @presidenciaperu"&amp;" @congresoperu")</f>
        <v>RT @ExpresoPeru: "The Las Bambas conflict has several inputs for analysis that should, once and for all with leadership and political decision, channel the problem towards sustainable solutions." By @josepatino65 https://t.co/gnBK2ZPLwu @presidenciaperu @congresoperu</v>
      </c>
      <c r="C345" s="2" t="s">
        <v>803</v>
      </c>
      <c r="D345" s="1" t="s">
        <v>804</v>
      </c>
    </row>
    <row r="346" spans="1:4" x14ac:dyDescent="0.15">
      <c r="A346" s="1" t="s">
        <v>805</v>
      </c>
      <c r="B346" s="3" t="str">
        <f ca="1">IFERROR(__xludf.DUMMYFUNCTION("GOOGLETRANSLATE(B346,""es"",""en"")"),"Anyway, I don't work here, I'm going to hit the elevator and I'm talking to @mohindi!! As pernas tão sneakers ainda")</f>
        <v>Anyway, I don't work here, I'm going to hit the elevator and I'm talking to @mohindi!! As pernas tão sneakers ainda</v>
      </c>
      <c r="C346" s="2" t="s">
        <v>806</v>
      </c>
      <c r="D346" s="1" t="s">
        <v>807</v>
      </c>
    </row>
    <row r="347" spans="1:4" x14ac:dyDescent="0.15">
      <c r="A347" s="1" t="s">
        <v>559</v>
      </c>
      <c r="B347" s="3" t="str">
        <f ca="1">IFERROR(__xludf.DUMMYFUNCTION("GOOGLETRANSLATE(B347,""es"",""en"")"),"RT @peruenlanoticia: Las Bambas: Vicente Zeballos clarifies that the Executive had no interference in arrests https://t.co/6RqxqRLNpB https://t.co/fZ5aAUSsJs")</f>
        <v>RT @peruenlanoticia: Las Bambas: Vicente Zeballos clarifies that the Executive had no interference in arrests https://t.co/6RqxqRLNpB https://t.co/fZ5aAUSsJs</v>
      </c>
      <c r="C347" s="2" t="s">
        <v>808</v>
      </c>
      <c r="D347" s="1" t="s">
        <v>809</v>
      </c>
    </row>
    <row r="348" spans="1:4" x14ac:dyDescent="0.15">
      <c r="A348" s="1" t="s">
        <v>457</v>
      </c>
      <c r="B348" s="3" t="str">
        <f ca="1">IFERROR(__xludf.DUMMYFUNCTION("GOOGLETRANSLATE(B348,""es"",""en"")"),"The spokesperson for the Perunos por el Kambio (PPK) bench, Jorge Meléndez, highlights Vizcarra's decision to opt for dialogue in Las Bambas https://t.co/RWZlsZb3Bq https://t.co/Qwk3NWbDiM")</f>
        <v>The spokesperson for the Perunos por el Kambio (PPK) bench, Jorge Meléndez, highlights Vizcarra's decision to opt for dialogue in Las Bambas https://t.co/RWZlsZb3Bq https://t.co/Qwk3NWbDiM</v>
      </c>
      <c r="C348" s="2" t="s">
        <v>810</v>
      </c>
      <c r="D348" s="1" t="s">
        <v>811</v>
      </c>
    </row>
    <row r="349" spans="1:4" x14ac:dyDescent="0.15">
      <c r="A349" s="1" t="s">
        <v>812</v>
      </c>
      <c r="B349" s="3" t="str">
        <f ca="1">IFERROR(__xludf.DUMMYFUNCTION("GOOGLETRANSLATE(B349,""es"",""en"")"),"RT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349" s="2" t="s">
        <v>813</v>
      </c>
      <c r="D349" s="1" t="s">
        <v>814</v>
      </c>
    </row>
    <row r="350" spans="1:4" x14ac:dyDescent="0.15">
      <c r="A350" s="1" t="s">
        <v>815</v>
      </c>
      <c r="B350" s="3" t="str">
        <f ca="1">IFERROR(__xludf.DUMMYFUNCTION("GOOGLETRANSLATE(B350,""es"",""en"")"),"as pernas chega ficam sneakers https://t.co/l5ngT7taHS")</f>
        <v>as pernas chega ficam sneakers https://t.co/l5ngT7taHS</v>
      </c>
      <c r="C350" s="2" t="s">
        <v>816</v>
      </c>
      <c r="D350" s="1" t="s">
        <v>814</v>
      </c>
    </row>
    <row r="351" spans="1:4" x14ac:dyDescent="0.15">
      <c r="A351" s="1" t="s">
        <v>817</v>
      </c>
      <c r="B351" s="3" t="str">
        <f ca="1">IFERROR(__xludf.DUMMYFUNCTION("GOOGLETRANSLATE(B351,""es"",""en"")"),"I know someone who is going to love it when he sees these Mickey Mouse sneakers. (I want them for me too 😁) #mickeymouse #sambas https://t.co/2Kpmsqwyxn")</f>
        <v>I know someone who is going to love it when he sees these Mickey Mouse sneakers. (I want them for me too 😁) #mickeymouse #sambas https://t.co/2Kpmsqwyxn</v>
      </c>
      <c r="C351" s="2" t="s">
        <v>818</v>
      </c>
      <c r="D351" s="1" t="s">
        <v>819</v>
      </c>
    </row>
    <row r="352" spans="1:4" x14ac:dyDescent="0.15">
      <c r="A352" s="1" t="s">
        <v>820</v>
      </c>
      <c r="B352" s="3" t="str">
        <f ca="1">IFERROR(__xludf.DUMMYFUNCTION("GOOGLETRANSLATE(B352,""es"",""en"")"),"RT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352" s="2" t="s">
        <v>821</v>
      </c>
      <c r="D352" s="1" t="s">
        <v>822</v>
      </c>
    </row>
    <row r="353" spans="1:4" x14ac:dyDescent="0.15">
      <c r="A353" s="1" t="s">
        <v>823</v>
      </c>
      <c r="B353" s="3" t="str">
        <f ca="1">IFERROR(__xludf.DUMMYFUNCTION("GOOGLETRANSLATE(B353,""es"",""en"")"),"RT @camcesar: The Del Solar cabinet must receive the investiture vote, regardless of how the Las Bambas case unfolds. I comment on it at https://t.co/6MoxaiwBRn")</f>
        <v>RT @camcesar: The Del Solar cabinet must receive the investiture vote, regardless of how the Las Bambas case unfolds. I comment on it at https://t.co/6MoxaiwBRn</v>
      </c>
      <c r="C353" s="2" t="s">
        <v>824</v>
      </c>
      <c r="D353" s="1" t="s">
        <v>822</v>
      </c>
    </row>
    <row r="354" spans="1:4" x14ac:dyDescent="0.15">
      <c r="A354" s="1" t="s">
        <v>758</v>
      </c>
      <c r="B354" s="3" t="str">
        <f ca="1">IFERROR(__xludf.DUMMYFUNCTION("GOOGLETRANSLATE(B354,""es"",""en"")"),"I am worried about the Bambas about how politicians do not solve anything against the people")</f>
        <v>I am worried about the Bambas about how politicians do not solve anything against the people</v>
      </c>
      <c r="C354" s="2" t="s">
        <v>825</v>
      </c>
      <c r="D354" s="1" t="s">
        <v>826</v>
      </c>
    </row>
    <row r="355" spans="1:4" x14ac:dyDescent="0.15">
      <c r="A355" s="1" t="s">
        <v>827</v>
      </c>
      <c r="B355" s="3" t="str">
        <f ca="1">IFERROR(__xludf.DUMMYFUNCTION("GOOGLETRANSLATE(B355,""es"",""en"")"),"IN THIS PROBLEM OF THE BAMBAS THE ONLY BENEFIT IS CORRUPTION AND PEOPLE ARE CONCERNED ABOUT THIS IN SHEYLA AND PABLO MORAL ETC. AND THE FREE CORRUPT FOLLOW")</f>
        <v>IN THIS PROBLEM OF THE BAMBAS THE ONLY BENEFIT IS CORRUPTION AND PEOPLE ARE CONCERNED ABOUT THIS IN SHEYLA AND PABLO MORAL ETC. AND THE FREE CORRUPT FOLLOW</v>
      </c>
      <c r="C355" s="2" t="s">
        <v>828</v>
      </c>
      <c r="D355" s="1" t="s">
        <v>826</v>
      </c>
    </row>
    <row r="356" spans="1:4" x14ac:dyDescent="0.15">
      <c r="A356" s="1" t="s">
        <v>829</v>
      </c>
      <c r="B356" s="3" t="str">
        <f ca="1">IFERROR(__xludf.DUMMYFUNCTION("GOOGLETRANSLATE(B356,""es"",""en"")"),"RT @jsaldanacuba: Brilliant article by Alfredo Torres about Las Bambas. He summarizes everything in the final sentence: ""The author is executive president of Ipsos Perú. The company has carried out studies for Las Bambas."" 
If I started there, there wa"&amp;"s no need to waste time reading more.
https://t.co/MB24a8kEgQ")</f>
        <v>RT @jsaldanacuba: Brilliant article by Alfredo Torres about Las Bambas. He summarizes everything in the final sentence: "The author is executive president of Ipsos Perú. The company has carried out studies for Las Bambas." 
If I started there, there was no need to waste time reading more.
https://t.co/MB24a8kEgQ</v>
      </c>
      <c r="C356" s="2" t="s">
        <v>830</v>
      </c>
      <c r="D356" s="1" t="s">
        <v>826</v>
      </c>
    </row>
    <row r="357" spans="1:4" x14ac:dyDescent="0.15">
      <c r="A357" s="1" t="s">
        <v>831</v>
      </c>
      <c r="B357" s="3" t="str">
        <f ca="1">IFERROR(__xludf.DUMMYFUNCTION("GOOGLETRANSLATE(B357,""es"",""en"")"),"ALDO MARIÁTEGUI:01APR19
""If there is someone responsible from the State for this situation in Las Bambas, it has been the glorious ""nationalist government"" of Humala, which came to us from the local left.""
Tell them “VHC” https://t.co/tSNQeJlBI9 via @"&amp;"peru21noticias")</f>
        <v>ALDO MARIÁTEGUI:01APR19
"If there is someone responsible from the State for this situation in Las Bambas, it has been the glorious "nationalist government" of Humala, which came to us from the local left."
Tell them “VHC” https://t.co/tSNQeJlBI9 via @peru21noticias</v>
      </c>
      <c r="C357" s="2" t="s">
        <v>832</v>
      </c>
      <c r="D357" s="1" t="s">
        <v>833</v>
      </c>
    </row>
    <row r="358" spans="1:4" x14ac:dyDescent="0.15">
      <c r="A358" s="1" t="s">
        <v>834</v>
      </c>
      <c r="B358" s="3" t="str">
        <f ca="1">IFERROR(__xludf.DUMMYFUNCTION("GOOGLETRANSLATE(B358,""es"",""en"")"),"RT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358" s="2" t="s">
        <v>835</v>
      </c>
      <c r="D358" s="1" t="s">
        <v>836</v>
      </c>
    </row>
    <row r="359" spans="1:4" x14ac:dyDescent="0.15">
      <c r="A359" s="1" t="s">
        <v>837</v>
      </c>
      <c r="B359" s="3" t="str">
        <f ca="1">IFERROR(__xludf.DUMMYFUNCTION("GOOGLETRANSLATE(B359,""es"",""en"")"),"Del Solar and Rojas begin dialogue for Las Bambas - https://t.co/1Tw5weeRU1 https://t.co/NeV89f5Qd8")</f>
        <v>Del Solar and Rojas begin dialogue for Las Bambas - https://t.co/1Tw5weeRU1 https://t.co/NeV89f5Qd8</v>
      </c>
      <c r="C359" s="2" t="s">
        <v>838</v>
      </c>
      <c r="D359" s="1" t="s">
        <v>839</v>
      </c>
    </row>
    <row r="360" spans="1:4" x14ac:dyDescent="0.15">
      <c r="A360" s="1" t="s">
        <v>840</v>
      </c>
      <c r="B360" s="3" t="str">
        <f ca="1">IFERROR(__xludf.DUMMYFUNCTION("GOOGLETRANSLATE(B360,""es"",""en"")"),"@Gestionpe The criminal @MartinVizcarraC is responsible for the crimes and everything that happens to our peasant brothers from the BAMBAS.
@caretas, @DiarioUnoPeru, @cnddhh.")</f>
        <v>@Gestionpe The criminal @MartinVizcarraC is responsible for the crimes and everything that happens to our peasant brothers from the BAMBAS.
@caretas, @DiarioUnoPeru, @cnddhh.</v>
      </c>
      <c r="C360" s="2" t="s">
        <v>841</v>
      </c>
      <c r="D360" s="1" t="s">
        <v>839</v>
      </c>
    </row>
    <row r="361" spans="1:4" x14ac:dyDescent="0.15">
      <c r="A361" s="1" t="s">
        <v>842</v>
      </c>
      <c r="B361" s="3" t="str">
        <f ca="1">IFERROR(__xludf.DUMMYFUNCTION("GOOGLETRANSLATE(B361,""es"",""en"")"),"RT @amadosandovalb1: When will the second-class lawyer factories stop? The owners of these establishments become millionaires with what they charge in the Bambas admission exams, with the monthly payment and with the sale of cards (worthless titles)")</f>
        <v>RT @amadosandovalb1: When will the second-class lawyer factories stop? The owners of these establishments become millionaires with what they charge in the Bambas admission exams, with the monthly payment and with the sale of cards (worthless titles)</v>
      </c>
      <c r="C361" s="2" t="s">
        <v>843</v>
      </c>
      <c r="D361" s="1" t="s">
        <v>844</v>
      </c>
    </row>
    <row r="362" spans="1:4" x14ac:dyDescent="0.15">
      <c r="A362" s="1" t="s">
        <v>845</v>
      </c>
      <c r="B362" s="3" t="str">
        <f ca="1">IFERROR(__xludf.DUMMYFUNCTION("GOOGLETRANSLATE(B362,""es"",""en"")"),"RT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362" s="2" t="s">
        <v>846</v>
      </c>
      <c r="D362" s="1" t="s">
        <v>844</v>
      </c>
    </row>
    <row r="363" spans="1:4" x14ac:dyDescent="0.15">
      <c r="A363" s="1" t="s">
        <v>847</v>
      </c>
      <c r="B363" s="3" t="str">
        <f ca="1">IFERROR(__xludf.DUMMYFUNCTION("GOOGLETRANSLATE(B363,""es"",""en"")"),"RT @manifiesto_peru: PROSECUTOR ADMITS THAT THEY RELEASED THE LEADER EVALUATING THE POLITICAL SITUATION
They detained Gregorio Rojas after 6 months of investigation and wiretapping, but only then did they realize that protesters were asking him for dialo"&amp;"gue in Las Bambas ▶️ https://t.co/XtKUcgKWvW https://t.co/Sn1c9rY2Ra")</f>
        <v>RT @manifiesto_peru: PROSECUTOR ADMITS THAT THEY RELEASED THE LEADER EVALUATING THE POLITICAL SITUATION
They detained Gregorio Rojas after 6 months of investigation and wiretapping, but only then did they realize that protesters were asking him for dialogue in Las Bambas ▶️ https://t.co/XtKUcgKWvW https://t.co/Sn1c9rY2Ra</v>
      </c>
      <c r="C363" s="2" t="s">
        <v>848</v>
      </c>
      <c r="D363" s="1" t="s">
        <v>849</v>
      </c>
    </row>
    <row r="364" spans="1:4" x14ac:dyDescent="0.15">
      <c r="A364" s="1" t="s">
        <v>850</v>
      </c>
      <c r="B364" s="3" t="str">
        <f ca="1">IFERROR(__xludf.DUMMYFUNCTION("GOOGLETRANSLATE(B364,""es"",""en"")"),"Loves that or sneakers owe me 💙🦅 https://t.co/g70DivmgnC")</f>
        <v>Loves that or sneakers owe me 💙🦅 https://t.co/g70DivmgnC</v>
      </c>
      <c r="C364" s="2" t="s">
        <v>851</v>
      </c>
      <c r="D364" s="1" t="s">
        <v>852</v>
      </c>
    </row>
    <row r="365" spans="1:4" x14ac:dyDescent="0.15">
      <c r="A365" s="1" t="s">
        <v>853</v>
      </c>
      <c r="B365" s="3" t="str">
        <f ca="1">IFERROR(__xludf.DUMMYFUNCTION("GOOGLETRANSLATE(B365,""es"",""en"")"),"RT @jsaldanacuba: Brilliant article by Alfredo Torres about Las Bambas. He summarizes everything in the final sentence: ""The author is executive president of Ipsos Perú. The company has carried out studies for Las Bambas."" 
If I started there, there wa"&amp;"s no need to waste time reading more.
https://t.co/MB24a8kEgQ")</f>
        <v>RT @jsaldanacuba: Brilliant article by Alfredo Torres about Las Bambas. He summarizes everything in the final sentence: "The author is executive president of Ipsos Perú. The company has carried out studies for Las Bambas." 
If I started there, there was no need to waste time reading more.
https://t.co/MB24a8kEgQ</v>
      </c>
      <c r="C365" s="2" t="s">
        <v>854</v>
      </c>
      <c r="D365" s="1" t="s">
        <v>852</v>
      </c>
    </row>
    <row r="366" spans="1:4" x14ac:dyDescent="0.15">
      <c r="A366" s="1" t="s">
        <v>855</v>
      </c>
      <c r="B366" s="3" t="str">
        <f ca="1">IFERROR(__xludf.DUMMYFUNCTION("GOOGLETRANSLATE(B366,""es"",""en"")"),"RT @AlfredoMTorres: What's new about Las Bambas is that the Police did intelligence work that detected the extortion and the Prosecutor's Office has acted. It must be clear that blocking roads and extortion are crimes with legal consequences. https://t.co"&amp;"/YIdKntz3RG via @elcomercio_peru")</f>
        <v>RT @AlfredoMTorres: What's new about Las Bambas is that the Police did intelligence work that detected the extortion and the Prosecutor's Office has acted. It must be clear that blocking roads and extortion are crimes with legal consequences. https://t.co/YIdKntz3RG via @elcomercio_peru</v>
      </c>
      <c r="C366" s="2" t="s">
        <v>856</v>
      </c>
      <c r="D366" s="1" t="s">
        <v>852</v>
      </c>
    </row>
    <row r="367" spans="1:4" x14ac:dyDescent="0.15">
      <c r="A367" s="1" t="s">
        <v>857</v>
      </c>
      <c r="B367" s="3" t="str">
        <f ca="1">IFERROR(__xludf.DUMMYFUNCTION("GOOGLETRANSLATE(B367,""es"",""en"")"),"RT @Ojo_Publico: #LasBambas Fuerabamba, which was registered as a Quechua town until 2015, the year in which it was withdrawn. By not appearing on this list, the government did not carry out the Prior Consultation process for the construction of a highway"&amp;" in its territory. https://t.co/UCH9ljxxuZ")</f>
        <v>RT @Ojo_Publico: #LasBambas Fuerabamba, which was registered as a Quechua town until 2015, the year in which it was withdrawn. By not appearing on this list, the government did not carry out the Prior Consultation process for the construction of a highway in its territory. https://t.co/UCH9ljxxuZ</v>
      </c>
      <c r="C367" s="2" t="s">
        <v>858</v>
      </c>
      <c r="D367" s="1" t="s">
        <v>859</v>
      </c>
    </row>
    <row r="368" spans="1:4" x14ac:dyDescent="0.15">
      <c r="A368" s="1" t="s">
        <v>860</v>
      </c>
      <c r="B368" s="3" t="str">
        <f ca="1">IFERROR(__xludf.DUMMYFUNCTION("GOOGLETRANSLATE(B368,""es"",""en"")"),"From page to page ""Chorografia do Maranhão - 54 sneakers do Choro in interviews"", authored by Ricarte Almeida Santos, @rivaniosantos and @zemaribeiro Ribeiro, go on to do part… https://t.co/D7FsgE93Ey")</f>
        <v>From page to page "Chorografia do Maranhão - 54 sneakers do Choro in interviews", authored by Ricarte Almeida Santos, @rivaniosantos and @zemaribeiro Ribeiro, go on to do part… https://t.co/D7FsgE93Ey</v>
      </c>
      <c r="C368" s="2" t="s">
        <v>861</v>
      </c>
      <c r="D368" s="1" t="s">
        <v>862</v>
      </c>
    </row>
    <row r="369" spans="1:4" x14ac:dyDescent="0.15">
      <c r="A369" s="1" t="s">
        <v>418</v>
      </c>
      <c r="B369" s="3" t="str">
        <f ca="1">IFERROR(__xludf.DUMMYFUNCTION("GOOGLETRANSLATE(B369,""es"",""en"")"),"RT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369" s="2" t="s">
        <v>863</v>
      </c>
      <c r="D369" s="1" t="s">
        <v>862</v>
      </c>
    </row>
    <row r="370" spans="1:4" x14ac:dyDescent="0.15">
      <c r="A370" s="1" t="s">
        <v>864</v>
      </c>
      <c r="B370" s="3" t="str">
        <f ca="1">IFERROR(__xludf.DUMMYFUNCTION("GOOGLETRANSLATE(B370,""es"",""en"")"),"@irazz83 @anna__hard @_0ta_ @sidneykh For me the sneakers are the converse style 🤗")</f>
        <v>@irazz83 @anna__hard @_0ta_ @sidneykh For me the sneakers are the converse style 🤗</v>
      </c>
      <c r="C370" s="2" t="s">
        <v>865</v>
      </c>
      <c r="D370" s="1" t="s">
        <v>866</v>
      </c>
    </row>
    <row r="371" spans="1:4" x14ac:dyDescent="0.15">
      <c r="A371" s="1" t="s">
        <v>867</v>
      </c>
      <c r="B371" s="3" t="str">
        <f ca="1">IFERROR(__xludf.DUMMYFUNCTION("GOOGLETRANSLATE(B371,""es"",""en"")"),"@MijaelGLP @recisneros Mijael, kid, where do you get that the Iranian plot has to do with Las Bambas? Take off the pacifier because you're not going to make us suck our thumb. He continues being an ayayero. That's your role.")</f>
        <v>@MijaelGLP @recisneros Mijael, kid, where do you get that the Iranian plot has to do with Las Bambas? Take off the pacifier because you're not going to make us suck our thumb. He continues being an ayayero. That's your role.</v>
      </c>
      <c r="C371" s="2" t="s">
        <v>868</v>
      </c>
      <c r="D371" s="1" t="s">
        <v>869</v>
      </c>
    </row>
    <row r="372" spans="1:4" x14ac:dyDescent="0.15">
      <c r="A372" s="1" t="s">
        <v>864</v>
      </c>
      <c r="B372" s="3" t="str">
        <f ca="1">IFERROR(__xludf.DUMMYFUNCTION("GOOGLETRANSLATE(B372,""es"",""en"")"),"@anna__hard @irazz83 @_0ta_ @sidneykh I call sneakers tennis or zapas (sneakers), sneakers for me are converse-style sneakers")</f>
        <v>@anna__hard @irazz83 @_0ta_ @sidneykh I call sneakers tennis or zapas (sneakers), sneakers for me are converse-style sneakers</v>
      </c>
      <c r="C372" s="2" t="s">
        <v>870</v>
      </c>
      <c r="D372" s="1" t="s">
        <v>869</v>
      </c>
    </row>
    <row r="373" spans="1:4" x14ac:dyDescent="0.15">
      <c r="A373" s="1" t="s">
        <v>860</v>
      </c>
      <c r="B373" s="3" t="str">
        <f ca="1">IFERROR(__xludf.DUMMYFUNCTION("GOOGLETRANSLATE(B373,""es"",""en"")"),"From leaf to piece ""Chorografia do Maranhão - 54 sneakers do Choro in interviews"", authored by Ricarte Almeida Santos, @rivaniosantos and @zemaribeiro Ribeiro, go on to do part… https://t.co/MwcFBpubHQ")</f>
        <v>From leaf to piece "Chorografia do Maranhão - 54 sneakers do Choro in interviews", authored by Ricarte Almeida Santos, @rivaniosantos and @zemaribeiro Ribeiro, go on to do part… https://t.co/MwcFBpubHQ</v>
      </c>
      <c r="C373" s="2" t="s">
        <v>871</v>
      </c>
      <c r="D373" s="1" t="s">
        <v>872</v>
      </c>
    </row>
    <row r="374" spans="1:4" x14ac:dyDescent="0.15">
      <c r="A374" s="1" t="s">
        <v>873</v>
      </c>
      <c r="B374" s="3" t="str">
        <f ca="1">IFERROR(__xludf.DUMMYFUNCTION("GOOGLETRANSLATE(B374,""es"",""en"")"),"RT @tonyventur: @LinceAntiTuco @DeSafio:
Did the red-lobbyist co-government that relaxed ecological control and give away taxes to MMG Las Bambas, change the eco-duct, through the corruption club highway, through the YAVI Community for the profit of PPK, "&amp;"MVC, ZAVALA companies and more? https://t.co/tqaQBP5Wvi https://t.co/9TPBIqcjb8")</f>
        <v>RT @tonyventur: @LinceAntiTuco @DeSafio:
Did the red-lobbyist co-government that relaxed ecological control and give away taxes to MMG Las Bambas, change the eco-duct, through the corruption club highway, through the YAVI Community for the profit of PPK, MVC, ZAVALA companies and more? https://t.co/tqaQBP5Wvi https://t.co/9TPBIqcjb8</v>
      </c>
      <c r="C374" s="2" t="s">
        <v>874</v>
      </c>
      <c r="D374" s="1" t="s">
        <v>875</v>
      </c>
    </row>
    <row r="375" spans="1:4" x14ac:dyDescent="0.15">
      <c r="A375" s="1" t="s">
        <v>876</v>
      </c>
      <c r="B375" s="3" t="str">
        <f ca="1">IFERROR(__xludf.DUMMYFUNCTION("GOOGLETRANSLATE(B375,""es"",""en"")"),"RT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375" s="2" t="s">
        <v>877</v>
      </c>
      <c r="D375" s="1" t="s">
        <v>875</v>
      </c>
    </row>
    <row r="376" spans="1:4" x14ac:dyDescent="0.15">
      <c r="A376" s="1" t="s">
        <v>878</v>
      </c>
      <c r="B376" s="3" t="str">
        <f ca="1">IFERROR(__xludf.DUMMYFUNCTION("GOOGLETRANSLATE(B376,""es"",""en"")"),"RT @Jorgedelama: José De Echave talked about Las Bambas with Sol Carreño. He is a director of Cooperación, an anti-extractivist NGO that receives funds from the Open Society like its ""allies"". Abel Gilvonio works there, son of terrorists and a communist"&amp;" who attacked Cardinal Cipriani on Twitter Photos👇 https://t.co/l8BHyMqeao")</f>
        <v>RT @Jorgedelama: José De Echave talked about Las Bambas with Sol Carreño. He is a director of Cooperación, an anti-extractivist NGO that receives funds from the Open Society like its "allies". Abel Gilvonio works there, son of terrorists and a communist who attacked Cardinal Cipriani on Twitter Photos👇 https://t.co/l8BHyMqeao</v>
      </c>
      <c r="C376" s="2" t="s">
        <v>879</v>
      </c>
      <c r="D376" s="1" t="s">
        <v>880</v>
      </c>
    </row>
    <row r="377" spans="1:4" x14ac:dyDescent="0.15">
      <c r="A377" s="1" t="s">
        <v>873</v>
      </c>
      <c r="B377" s="3" t="str">
        <f ca="1">IFERROR(__xludf.DUMMYFUNCTION("GOOGLETRANSLATE(B377,""es"",""en"")"),"RT @tonyventur: @LinceAntiTuco @Plinio2009:
Everything would have been avoided if Verónika Mendoza (PPK guarantor) had not OPPOSED, along with her pro-PCP-SL comrade Oscar MOLLOHUANCA, the installation of the Mining Pipeline. Why did she do it? Days ago h"&amp;"e encouraged the ""chavelos"" to speak in Congress. https://t.co/c1COaIqOqI")</f>
        <v>RT @tonyventur: @LinceAntiTuco @Plinio2009:
Everything would have been avoided if Verónika Mendoza (PPK guarantor) had not OPPOSED, along with her pro-PCP-SL comrade Oscar MOLLOHUANCA, the installation of the Mining Pipeline. Why did she do it? Days ago he encouraged the "chavelos" to speak in Congress. https://t.co/c1COaIqOqI</v>
      </c>
      <c r="C377" s="2" t="s">
        <v>881</v>
      </c>
      <c r="D377" s="1" t="s">
        <v>880</v>
      </c>
    </row>
    <row r="378" spans="1:4" x14ac:dyDescent="0.15">
      <c r="A378" s="1" t="s">
        <v>882</v>
      </c>
      <c r="B378" s="3" t="str">
        <f ca="1">IFERROR(__xludf.DUMMYFUNCTION("GOOGLETRANSLATE(B378,""es"",""en"")"),"RT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378" s="2" t="s">
        <v>883</v>
      </c>
      <c r="D378" s="1" t="s">
        <v>880</v>
      </c>
    </row>
    <row r="379" spans="1:4" x14ac:dyDescent="0.15">
      <c r="A379" s="1" t="s">
        <v>884</v>
      </c>
      <c r="B379" s="3" t="str">
        <f ca="1">IFERROR(__xludf.DUMMYFUNCTION("GOOGLETRANSLATE(B379,""es"",""en"")"),"@saldelsol And the water and blood tests on the children of Pumamarca and other villages surrounding Las Bambas.... when?")</f>
        <v>@saldelsol And the water and blood tests on the children of Pumamarca and other villages surrounding Las Bambas.... when?</v>
      </c>
      <c r="C379" s="2" t="s">
        <v>885</v>
      </c>
      <c r="D379" s="1" t="s">
        <v>886</v>
      </c>
    </row>
    <row r="380" spans="1:4" x14ac:dyDescent="0.15">
      <c r="A380" s="1" t="s">
        <v>887</v>
      </c>
      <c r="B380" s="3" t="str">
        <f ca="1">IFERROR(__xludf.DUMMYFUNCTION("GOOGLETRANSLATE(B380,""es"",""en"")"),"RT @ricartealmeida: From page to page ""Chorografia do Maranhão - 54 sneakers do Choro in interviews"", authored by Ricarte Almeida Santos, @rivaniosantos and @zemaribeiro Ribeiro, go on to do part… https://t.co/ D7FsgE93Ey")</f>
        <v>RT @ricartealmeida: From page to page "Chorografia do Maranhão - 54 sneakers do Choro in interviews", authored by Ricarte Almeida Santos, @rivaniosantos and @zemaribeiro Ribeiro, go on to do part… https://t.co/ D7FsgE93Ey</v>
      </c>
      <c r="C380" s="2" t="s">
        <v>888</v>
      </c>
      <c r="D380" s="1" t="s">
        <v>886</v>
      </c>
    </row>
    <row r="381" spans="1:4" x14ac:dyDescent="0.15">
      <c r="A381" s="1" t="s">
        <v>889</v>
      </c>
      <c r="B381" s="3" t="str">
        <f ca="1">IFERROR(__xludf.DUMMYFUNCTION("GOOGLETRANSLATE(B381,""es"",""en"")"),"RT @osiasrg: Mr. Pdte @MartinVizcarraC, @saldelsol @MindefPeru and @MininterPeru while you have Police in Fuerabamba to solve the Las Bambas problem, in Lima @JorgeDCG intends to file PL 1192 validating larceny in FOVIME. Please instruct @PPKbancada NOT T"&amp;"O SUPPORT ARCHIVING. https://t.co/eflAfqTWke")</f>
        <v>RT @osiasrg: Mr. Pdte @MartinVizcarraC, @saldelsol @MindefPeru and @MininterPeru while you have Police in Fuerabamba to solve the Las Bambas problem, in Lima @JorgeDCG intends to file PL 1192 validating larceny in FOVIME. Please instruct @PPKbancada NOT TO SUPPORT ARCHIVING. https://t.co/eflAfqTWke</v>
      </c>
      <c r="C381" s="2" t="s">
        <v>890</v>
      </c>
      <c r="D381" s="1" t="s">
        <v>891</v>
      </c>
    </row>
    <row r="382" spans="1:4" x14ac:dyDescent="0.15">
      <c r="A382" s="1" t="s">
        <v>892</v>
      </c>
      <c r="B382" s="3" t="str">
        <f ca="1">IFERROR(__xludf.DUMMYFUNCTION("GOOGLETRANSLATE(B382,""es"",""en"")"),"RT @tonyventur: @LinceAntiTuco @margamedonzac: 
Mr. Pdte @ MartinVizcarraC confirm if your family business C y M Vizcarra S.A.C has contracts with the copper mining company LAS BAMBAS, we await your response @vozdelatierra @gatoencerrado2 @manifiesto_peru"&amp;" @Politico_pe https://t.co/RR66H8FmzV")</f>
        <v>RT @tonyventur: @LinceAntiTuco @margamedonzac: 
Mr. Pdte @ MartinVizcarraC confirm if your family business C y M Vizcarra S.A.C has contracts with the copper mining company LAS BAMBAS, we await your response @vozdelatierra @gatoencerrado2 @manifiesto_peru @Politico_pe https://t.co/RR66H8FmzV</v>
      </c>
      <c r="C382" s="2" t="s">
        <v>893</v>
      </c>
      <c r="D382" s="1" t="s">
        <v>891</v>
      </c>
    </row>
    <row r="383" spans="1:4" x14ac:dyDescent="0.15">
      <c r="A383" s="1" t="s">
        <v>894</v>
      </c>
      <c r="B383" s="3" t="str">
        <f ca="1">IFERROR(__xludf.DUMMYFUNCTION("GOOGLETRANSLATE(B383,""es"",""en"")"),"Kilometers of misunderstandings, a chronicle by Fernando Vivas https://t.co/ePEtXrvFkF https://t.co/Dp5nrMM8e8")</f>
        <v>Kilometers of misunderstandings, a chronicle by Fernando Vivas https://t.co/ePEtXrvFkF https://t.co/Dp5nrMM8e8</v>
      </c>
      <c r="C383" s="2" t="s">
        <v>895</v>
      </c>
      <c r="D383" s="1" t="s">
        <v>891</v>
      </c>
    </row>
    <row r="384" spans="1:4" x14ac:dyDescent="0.15">
      <c r="A384" s="1" t="s">
        <v>896</v>
      </c>
      <c r="B384" s="3" t="str">
        <f ca="1">IFERROR(__xludf.DUMMYFUNCTION("GOOGLETRANSLATE(B384,""es"",""en"")"),"@Enneh_4 friend, wear normal sneakers and run")</f>
        <v>@Enneh_4 friend, wear normal sneakers and run</v>
      </c>
      <c r="C384" s="2" t="s">
        <v>897</v>
      </c>
      <c r="D384" s="1" t="s">
        <v>891</v>
      </c>
    </row>
    <row r="385" spans="1:4" x14ac:dyDescent="0.15">
      <c r="A385" s="1" t="s">
        <v>628</v>
      </c>
      <c r="B385" s="3" t="str">
        <f ca="1">IFERROR(__xludf.DUMMYFUNCTION("GOOGLETRANSLATE(B385,""es"",""en"")"),"Government estimates paying S/ 350 million to overcome conflict in Las Bambas https://t.co/cmxMyxnT01")</f>
        <v>Government estimates paying S/ 350 million to overcome conflict in Las Bambas https://t.co/cmxMyxnT01</v>
      </c>
      <c r="C385" s="2" t="s">
        <v>898</v>
      </c>
      <c r="D385" s="1" t="s">
        <v>899</v>
      </c>
    </row>
    <row r="386" spans="1:4" x14ac:dyDescent="0.15">
      <c r="A386" s="1" t="s">
        <v>900</v>
      </c>
      <c r="B386" s="3" t="str">
        <f ca="1">IFERROR(__xludf.DUMMYFUNCTION("GOOGLETRANSLATE(B386,""es"",""en"")"),"@atvmasnoticias You, sleep in peace while the Bambas cry for their lands expropriated and looted by the mining companies")</f>
        <v>@atvmasnoticias You, sleep in peace while the Bambas cry for their lands expropriated and looted by the mining companies</v>
      </c>
      <c r="C386" s="2" t="s">
        <v>901</v>
      </c>
      <c r="D386" s="1" t="s">
        <v>902</v>
      </c>
    </row>
    <row r="387" spans="1:4" x14ac:dyDescent="0.15">
      <c r="A387" s="1" t="s">
        <v>903</v>
      </c>
      <c r="B387" s="3" t="str">
        <f ca="1">IFERROR(__xludf.DUMMYFUNCTION("GOOGLETRANSLATE(B387,""es"",""en"")"),"RT @Agencia_Andina: The spokesperson for the Perunos por el Kambio (PPK) group, Jorge Meléndez, highlights Vizcarra's decision to opt for dialogue in Las Bambas https://t.co/RWZlsZb3Bq https://t.co /Qwk3NWbDiM")</f>
        <v>RT @Agencia_Andina: The spokesperson for the Perunos por el Kambio (PPK) group, Jorge Meléndez, highlights Vizcarra's decision to opt for dialogue in Las Bambas https://t.co/RWZlsZb3Bq https://t.co /Qwk3NWbDiM</v>
      </c>
      <c r="C387" s="2" t="s">
        <v>904</v>
      </c>
      <c r="D387" s="1" t="s">
        <v>902</v>
      </c>
    </row>
    <row r="388" spans="1:4" x14ac:dyDescent="0.15">
      <c r="A388" s="1" t="s">
        <v>905</v>
      </c>
      <c r="B388" s="3" t="str">
        <f ca="1">IFERROR(__xludf.DUMMYFUNCTION("GOOGLETRANSLATE(B388,""es"",""en"")"),"RT @Agencia_Andina: The spokesperson for the Perunos por el Kambio (PPK) group, Jorge Meléndez, highlights Vizcarra's decision to opt for dialogue in Las Bambas https://t.co/RWZlsZb3Bq https://t.co /Qwk3NWbDiM")</f>
        <v>RT @Agencia_Andina: The spokesperson for the Perunos por el Kambio (PPK) group, Jorge Meléndez, highlights Vizcarra's decision to opt for dialogue in Las Bambas https://t.co/RWZlsZb3Bq https://t.co /Qwk3NWbDiM</v>
      </c>
      <c r="C388" s="2" t="s">
        <v>906</v>
      </c>
      <c r="D388" s="1" t="s">
        <v>907</v>
      </c>
    </row>
    <row r="389" spans="1:4" x14ac:dyDescent="0.15">
      <c r="A389" s="1" t="s">
        <v>908</v>
      </c>
      <c r="B389" s="3" t="str">
        <f ca="1">IFERROR(__xludf.DUMMYFUNCTION("GOOGLETRANSLATE(B389,""es"",""en"")"),"RT @Gestionpe: Las Bambas: State willing to pay more than S/ 300 million to communities https://t.co/HoCbdHF9jp via @Gestionpe https://t.co/TvFzaRUmS6")</f>
        <v>RT @Gestionpe: Las Bambas: State willing to pay more than S/ 300 million to communities https://t.co/HoCbdHF9jp via @Gestionpe https://t.co/TvFzaRUmS6</v>
      </c>
      <c r="C389" s="2" t="s">
        <v>909</v>
      </c>
      <c r="D389" s="1" t="s">
        <v>910</v>
      </c>
    </row>
    <row r="390" spans="1:4" x14ac:dyDescent="0.15">
      <c r="A390" s="1" t="s">
        <v>911</v>
      </c>
      <c r="B390" s="3" t="str">
        <f ca="1">IFERROR(__xludf.DUMMYFUNCTION("GOOGLETRANSLATE(B390,""es"",""en"")"),"RT @Agencia_Andina: The spokesperson for the Perunos por el Kambio (PPK) group, Jorge Meléndez, highlights Vizcarra's decision to opt for dialogue in Las Bambas https://t.co/RWZlsZb3Bq https://t.co /Qwk3NWbDiM")</f>
        <v>RT @Agencia_Andina: The spokesperson for the Perunos por el Kambio (PPK) group, Jorge Meléndez, highlights Vizcarra's decision to opt for dialogue in Las Bambas https://t.co/RWZlsZb3Bq https://t.co /Qwk3NWbDiM</v>
      </c>
      <c r="C390" s="2" t="s">
        <v>912</v>
      </c>
      <c r="D390" s="1" t="s">
        <v>913</v>
      </c>
    </row>
    <row r="391" spans="1:4" x14ac:dyDescent="0.15">
      <c r="A391" s="1" t="s">
        <v>914</v>
      </c>
      <c r="B391" s="3" t="str">
        <f ca="1">IFERROR(__xludf.DUMMYFUNCTION("GOOGLETRANSLATE(B391,""es"",""en"")"),"RT @Agencia_Andina: The spokesperson for the Perunos por el Kambio (PPK) group, Jorge Meléndez, highlights Vizcarra's decision to opt for dialogue in Las Bambas https://t.co/RWZlsZb3Bq https://t.co /Qwk3NWbDiM")</f>
        <v>RT @Agencia_Andina: The spokesperson for the Perunos por el Kambio (PPK) group, Jorge Meléndez, highlights Vizcarra's decision to opt for dialogue in Las Bambas https://t.co/RWZlsZb3Bq https://t.co /Qwk3NWbDiM</v>
      </c>
      <c r="C391" s="2" t="s">
        <v>915</v>
      </c>
      <c r="D391" s="1" t="s">
        <v>913</v>
      </c>
    </row>
    <row r="392" spans="1:4" x14ac:dyDescent="0.15">
      <c r="A392" s="1" t="s">
        <v>916</v>
      </c>
      <c r="B392" s="3" t="str">
        <f ca="1">IFERROR(__xludf.DUMMYFUNCTION("GOOGLETRANSLATE(B392,""es"",""en"")"),"RT @Agencia_Andina: The spokesperson for the Perunos por el Kambio (PPK) group, Jorge Meléndez, highlights Vizcarra's decision to opt for dialogue in Las Bambas https://t.co/RWZlsZb3Bq https://t.co /Qwk3NWbDiM")</f>
        <v>RT @Agencia_Andina: The spokesperson for the Perunos por el Kambio (PPK) group, Jorge Meléndez, highlights Vizcarra's decision to opt for dialogue in Las Bambas https://t.co/RWZlsZb3Bq https://t.co /Qwk3NWbDiM</v>
      </c>
      <c r="C392" s="2" t="s">
        <v>917</v>
      </c>
      <c r="D392" s="1" t="s">
        <v>918</v>
      </c>
    </row>
    <row r="393" spans="1:4" x14ac:dyDescent="0.15">
      <c r="A393" s="1" t="s">
        <v>919</v>
      </c>
      <c r="B393" s="3" t="str">
        <f ca="1">IFERROR(__xludf.DUMMYFUNCTION("GOOGLETRANSLATE(B393,""es"",""en"")"),"RT @Agencia_Andina: The spokesperson for the Perunos por el Kambio (PPK) group, Jorge Meléndez, highlights Vizcarra's decision to opt for dialogue in Las Bambas https://t.co/RWZlsZb3Bq https://t.co /Qwk3NWbDiM")</f>
        <v>RT @Agencia_Andina: The spokesperson for the Perunos por el Kambio (PPK) group, Jorge Meléndez, highlights Vizcarra's decision to opt for dialogue in Las Bambas https://t.co/RWZlsZb3Bq https://t.co /Qwk3NWbDiM</v>
      </c>
      <c r="C393" s="2" t="s">
        <v>920</v>
      </c>
      <c r="D393" s="1" t="s">
        <v>921</v>
      </c>
    </row>
    <row r="394" spans="1:4" x14ac:dyDescent="0.15">
      <c r="A394" s="1" t="s">
        <v>922</v>
      </c>
      <c r="B394" s="3" t="str">
        <f ca="1">IFERROR(__xludf.DUMMYFUNCTION("GOOGLETRANSLATE(B394,""es"",""en"")"),"New additions of wholesale children's footwear
#babyshoes https://t.co/2tML2y9SeC
#Childrenslonasneakers
https://t.co/yBwi0DOuX8
#Children's Sports https://t.co/HIxn7HFkoc
#Children's sandals #flip flops #crab shoes https://t.co/XwFLTXvNtL
#Men's Footwear"&amp;" and #Women's Footwear https://t.co/bYwbUyKhFY")</f>
        <v>New additions of wholesale children's footwear
#babyshoes https://t.co/2tML2y9SeC
#Childrenslonasneakers
https://t.co/yBwi0DOuX8
#Children's Sports https://t.co/HIxn7HFkoc
#Children's sandals #flip flops #crab shoes https://t.co/XwFLTXvNtL
#Men's Footwear and #Women's Footwear https://t.co/bYwbUyKhFY</v>
      </c>
      <c r="C394" s="2" t="s">
        <v>923</v>
      </c>
      <c r="D394" s="1" t="s">
        <v>921</v>
      </c>
    </row>
    <row r="395" spans="1:4" x14ac:dyDescent="0.15">
      <c r="A395" s="1" t="s">
        <v>222</v>
      </c>
      <c r="B395" s="3" t="str">
        <f ca="1">IFERROR(__xludf.DUMMYFUNCTION("GOOGLETRANSLATE(B395,""es"",""en"")"),"RT @agildemeisterrrh: And once again, the Catholic Church saving the Peruvian government's skin, intervening as a mediator this time in Las Bambas! At this rate... better that the Church govern or give it the Ministry of the Presidency! From Ripley!")</f>
        <v>RT @agildemeisterrrh: And once again, the Catholic Church saving the Peruvian government's skin, intervening as a mediator this time in Las Bambas! At this rate... better that the Church govern or give it the Ministry of the Presidency! From Ripley!</v>
      </c>
      <c r="C395" s="2" t="s">
        <v>924</v>
      </c>
      <c r="D395" s="1" t="s">
        <v>925</v>
      </c>
    </row>
    <row r="396" spans="1:4" x14ac:dyDescent="0.15">
      <c r="A396" s="1" t="s">
        <v>926</v>
      </c>
      <c r="B396" s="3" t="str">
        <f ca="1">IFERROR(__xludf.DUMMYFUNCTION("GOOGLETRANSLATE(B396,""es"",""en"")"),"The executive points out that if the roads are unblocked, the state of emergency in the area would be lifted. The Episcopal Conference acts as mediator.
Learn more at ► https://t.co/FAi2p8AP90 https://t.co/FAi2p8AP90")</f>
        <v>The executive points out that if the roads are unblocked, the state of emergency in the area would be lifted. The Episcopal Conference acts as mediator.
Learn more at ► https://t.co/FAi2p8AP90 https://t.co/FAi2p8AP90</v>
      </c>
      <c r="C396" s="2" t="s">
        <v>927</v>
      </c>
      <c r="D396" s="1" t="s">
        <v>928</v>
      </c>
    </row>
    <row r="397" spans="1:4" x14ac:dyDescent="0.15">
      <c r="A397" s="1" t="s">
        <v>929</v>
      </c>
      <c r="B397" s="3" t="str">
        <f ca="1">IFERROR(__xludf.DUMMYFUNCTION("GOOGLETRANSLATE(B397,""es"",""en"")"),"""LAS BAMBAS"" TWO MONTHS OF CONVULSION! THE PROBLEM IS ECONOMIC! IT IS NOT ENVIRONMENTAL! BUT NOW THEY CHANGE! THEY NO LONGER WANT MONEY! THEY ASK FOR THE MINE TO GO! BE CAREFUL IT COULD BE ""ANOTHER CONGA"" MAYBE ""THE GOVERNMENT'S BAGUAZO!""")</f>
        <v>"LAS BAMBAS" TWO MONTHS OF CONVULSION! THE PROBLEM IS ECONOMIC! IT IS NOT ENVIRONMENTAL! BUT NOW THEY CHANGE! THEY NO LONGER WANT MONEY! THEY ASK FOR THE MINE TO GO! BE CAREFUL IT COULD BE "ANOTHER CONGA" MAYBE "THE GOVERNMENT'S BAGUAZO!"</v>
      </c>
      <c r="C397" s="2" t="s">
        <v>930</v>
      </c>
      <c r="D397" s="1" t="s">
        <v>928</v>
      </c>
    </row>
    <row r="398" spans="1:4" x14ac:dyDescent="0.15">
      <c r="A398" s="1" t="s">
        <v>931</v>
      </c>
      <c r="B398" s="3" t="str">
        <f ca="1">IFERROR(__xludf.DUMMYFUNCTION("GOOGLETRANSLATE(B398,""es"",""en"")"),"RT @ucinoticias_pe: 🔴 #LasBambas | Salvador del Solar met with the leader of Fuerabamba, Gregorio Rojas, who was released last Friday. 
https://t.co/TxZ7fgfllJ")</f>
        <v>RT @ucinoticias_pe: 🔴 #LasBambas | Salvador del Solar met with the leader of Fuerabamba, Gregorio Rojas, who was released last Friday. 
https://t.co/TxZ7fgfllJ</v>
      </c>
      <c r="C398" s="2" t="s">
        <v>932</v>
      </c>
      <c r="D398" s="1" t="s">
        <v>933</v>
      </c>
    </row>
    <row r="399" spans="1:4" x14ac:dyDescent="0.15">
      <c r="A399" s="1" t="s">
        <v>929</v>
      </c>
      <c r="B399" s="3" t="str">
        <f ca="1">IFERROR(__xludf.DUMMYFUNCTION("GOOGLETRANSLATE(B399,""es"",""en"")"),"DRUNK RUNS OVER POLICE OFFICER AND LEAVES FREE!!! CAUSE OF THIS ""ARMORED""!!! IS VICE-PDTE OF ""LAS BAMBAS""!!! WEAKNESS OF THE GOVERNMENT?..WHY NOT APPLY THE LAW ?...BAD PRECEDENT")</f>
        <v>DRUNK RUNS OVER POLICE OFFICER AND LEAVES FREE!!! CAUSE OF THIS "ARMORED"!!! IS VICE-PDTE OF "LAS BAMBAS"!!! WEAKNESS OF THE GOVERNMENT?..WHY NOT APPLY THE LAW ?...BAD PRECEDENT</v>
      </c>
      <c r="C399" s="2" t="s">
        <v>934</v>
      </c>
      <c r="D399" s="1" t="s">
        <v>935</v>
      </c>
    </row>
    <row r="400" spans="1:4" x14ac:dyDescent="0.15">
      <c r="A400" s="1" t="s">
        <v>936</v>
      </c>
      <c r="B400" s="3" t="str">
        <f ca="1">IFERROR(__xludf.DUMMYFUNCTION("GOOGLETRANSLATE(B400,""es"",""en"")"),"RT @leo_valra: Appointment of Zoraida Ávalos, left Vizcarra like a dog with two tails. He freed the leader of the extortion in Las Bambas and the second of the criminal gang, who while driving drunk ran over police officers, who were then stoned by his fo"&amp;"llowers.
@FiscaliaPeru protect criminals?")</f>
        <v>RT @leo_valra: Appointment of Zoraida Ávalos, left Vizcarra like a dog with two tails. He freed the leader of the extortion in Las Bambas and the second of the criminal gang, who while driving drunk ran over police officers, who were then stoned by his followers.
@FiscaliaPeru protect criminals?</v>
      </c>
      <c r="C400" s="2" t="s">
        <v>937</v>
      </c>
      <c r="D400" s="1" t="s">
        <v>935</v>
      </c>
    </row>
    <row r="401" spans="1:4" x14ac:dyDescent="0.15">
      <c r="A401" s="1" t="s">
        <v>938</v>
      </c>
      <c r="B401" s="3" t="str">
        <f ca="1">IFERROR(__xludf.DUMMYFUNCTION("GOOGLETRANSLATE(B401,""es"",""en"")"),"@mestoycabreando @Nachonaran @Nike_Spain @Geox @munichsports Well yes, before his sneakers were too small, but since they started playing f***ing football, they don't last... 😩")</f>
        <v>@mestoycabreando @Nachonaran @Nike_Spain @Geox @munichsports Well yes, before his sneakers were too small, but since they started playing f***ing football, they don't last... 😩</v>
      </c>
      <c r="C401" s="2" t="s">
        <v>939</v>
      </c>
      <c r="D401" s="1" t="s">
        <v>935</v>
      </c>
    </row>
    <row r="402" spans="1:4" x14ac:dyDescent="0.15">
      <c r="A402" s="1" t="s">
        <v>936</v>
      </c>
      <c r="B402" s="3" t="str">
        <f ca="1">IFERROR(__xludf.DUMMYFUNCTION("GOOGLETRANSLATE(B402,""es"",""en"")"),"RT @luislchihuan: PROSECUTOR ADMITS THAT THEY RELEASED THE LEADER OF THE BAMBAS AFTER EVALUATING THE POLITICAL SITUATION. WHAT THE SHELL, IS THIS HOW THE LAWS ARE HANDLED IN PERU? KEIKO MUST BE RELEASED IMMEDIATELY. LET'S SEE WHAT CONCRESISTS OF F.P. DO.")</f>
        <v>RT @luislchihuan: PROSECUTOR ADMITS THAT THEY RELEASED THE LEADER OF THE BAMBAS AFTER EVALUATING THE POLITICAL SITUATION. WHAT THE SHELL, IS THIS HOW THE LAWS ARE HANDLED IN PERU? KEIKO MUST BE RELEASED IMMEDIATELY. LET'S SEE WHAT CONCRESISTS OF F.P. DO.</v>
      </c>
      <c r="C402" s="2" t="s">
        <v>940</v>
      </c>
      <c r="D402" s="1" t="s">
        <v>941</v>
      </c>
    </row>
    <row r="403" spans="1:4" x14ac:dyDescent="0.15">
      <c r="A403" s="1" t="s">
        <v>873</v>
      </c>
      <c r="B403" s="3" t="str">
        <f ca="1">IFERROR(__xludf.DUMMYFUNCTION("GOOGLETRANSLATE(B403,""es"",""en"")"),"WHAT ONE COMES TO KNOW, José De Echave spoke about Las Bambas with Sol Carreño. He is a director of Cooperación, an anti-extractivist NGO that receives funds from the Open Society like its ""allies"". Abel Gilvonio, son of terrorists and communist, works "&amp;"there https://t.co/WWKeqGvIeK")</f>
        <v>WHAT ONE COMES TO KNOW, José De Echave spoke about Las Bambas with Sol Carreño. He is a director of Cooperación, an anti-extractivist NGO that receives funds from the Open Society like its "allies". Abel Gilvonio, son of terrorists and communist, works there https://t.co/WWKeqGvIeK</v>
      </c>
      <c r="C403" s="2" t="s">
        <v>942</v>
      </c>
      <c r="D403" s="1" t="s">
        <v>943</v>
      </c>
    </row>
    <row r="404" spans="1:4" x14ac:dyDescent="0.15">
      <c r="A404" s="1" t="s">
        <v>944</v>
      </c>
      <c r="B404" s="3" t="str">
        <f ca="1">IFERROR(__xludf.DUMMYFUNCTION("GOOGLETRANSLATE(B404,""es"",""en"")"),"RT @gonzalesposadal: Government, judges and prosecutors retreat in the face of violence. Yesterday they released the community member responsible for blocking a national highway in Las Bambas; today they do the same with another leader who, drunk, rammed "&amp;"his car into police officers. Where is the authority? https://t.co/D2diWMRS6t")</f>
        <v>RT @gonzalesposadal: Government, judges and prosecutors retreat in the face of violence. Yesterday they released the community member responsible for blocking a national highway in Las Bambas; today they do the same with another leader who, drunk, rammed his car into police officers. Where is the authority? https://t.co/D2diWMRS6t</v>
      </c>
      <c r="C404" s="2" t="s">
        <v>945</v>
      </c>
      <c r="D404" s="1" t="s">
        <v>946</v>
      </c>
    </row>
    <row r="405" spans="1:4" x14ac:dyDescent="0.15">
      <c r="A405" s="1" t="s">
        <v>947</v>
      </c>
      <c r="B405" s="3" t="str">
        <f ca="1">IFERROR(__xludf.DUMMYFUNCTION("GOOGLETRANSLATE(B405,""es"",""en"")"),"The editorial of Semana Económica is very good. The evocation of García's simplistic ""dog in the manger"" thesis is good, a clear example of his little knowledge of the country. https://t.co/DoQSCiOqJI")</f>
        <v>The editorial of Semana Económica is very good. The evocation of García's simplistic "dog in the manger" thesis is good, a clear example of his little knowledge of the country. https://t.co/DoQSCiOqJI</v>
      </c>
      <c r="C405" s="2" t="s">
        <v>948</v>
      </c>
      <c r="D405" s="1" t="s">
        <v>949</v>
      </c>
    </row>
    <row r="406" spans="1:4" x14ac:dyDescent="0.15">
      <c r="A406" s="1" t="s">
        <v>950</v>
      </c>
      <c r="B406" s="3" t="str">
        <f ca="1">IFERROR(__xludf.DUMMYFUNCTION("GOOGLETRANSLATE(B406,""es"",""en"")"),"Or I will give you a blow to deixar with a pair of sneakers kkk — kkkk eu amu https://t.co/yjAiAr8qJE")</f>
        <v>Or I will give you a blow to deixar with a pair of sneakers kkk — kkkk eu amu https://t.co/yjAiAr8qJE</v>
      </c>
      <c r="C406" s="2" t="s">
        <v>951</v>
      </c>
      <c r="D406" s="1" t="s">
        <v>949</v>
      </c>
    </row>
    <row r="407" spans="1:4" x14ac:dyDescent="0.15">
      <c r="A407" s="1" t="s">
        <v>873</v>
      </c>
      <c r="B407" s="3" t="str">
        <f ca="1">IFERROR(__xludf.DUMMYFUNCTION("GOOGLETRANSLATE(B407,""es"",""en"")"),"RT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407" s="2" t="s">
        <v>952</v>
      </c>
      <c r="D407" s="1" t="s">
        <v>953</v>
      </c>
    </row>
    <row r="408" spans="1:4" x14ac:dyDescent="0.15">
      <c r="A408" s="1" t="s">
        <v>25</v>
      </c>
      <c r="B408" s="3" t="str">
        <f ca="1">IFERROR(__xludf.DUMMYFUNCTION("GOOGLETRANSLATE(B408,""es"",""en"")"),"#PoliticaEM #ElMontonero
Business and communities should unite in demands
Follow us on:
FB: https://t.co/8BN6IGbDMU
Youtube: https://t.co/x2WH9DgOHF
More Articles: https://t.co/4sbQL4kPSo
#Apurimac #Roads #SouthernMiningCorrester 
https://t.co/o22NPeiPHK")</f>
        <v>#PoliticaEM #ElMontonero
Business and communities should unite in demands
Follow us on:
FB: https://t.co/8BN6IGbDMU
Youtube: https://t.co/x2WH9DgOHF
More Articles: https://t.co/4sbQL4kPSo
#Apurimac #Roads #SouthernMiningCorrester 
https://t.co/o22NPeiPHK</v>
      </c>
      <c r="C408" s="2" t="s">
        <v>954</v>
      </c>
      <c r="D408" s="1" t="s">
        <v>955</v>
      </c>
    </row>
    <row r="409" spans="1:4" x14ac:dyDescent="0.15">
      <c r="A409" s="1" t="s">
        <v>956</v>
      </c>
      <c r="B409" s="3" t="str">
        <f ca="1">IFERROR(__xludf.DUMMYFUNCTION("GOOGLETRANSLATE(B409,""es"",""en"")"),"RT @manifiesto_peru: PROSECUTOR ADMITS THAT THEY RELEASED THE LEADER EVALUATING THE POLITICAL SITUATION
They detained Gregorio Rojas after 6 months of investigation and wiretapping, but only then did they realize that protesters were asking him for dialo"&amp;"gue in Las Bambas ▶️ https://t.co/XtKUcgKWvW https://t.co/Sn1c9rY2Ra")</f>
        <v>RT @manifiesto_peru: PROSECUTOR ADMITS THAT THEY RELEASED THE LEADER EVALUATING THE POLITICAL SITUATION
They detained Gregorio Rojas after 6 months of investigation and wiretapping, but only then did they realize that protesters were asking him for dialogue in Las Bambas ▶️ https://t.co/XtKUcgKWvW https://t.co/Sn1c9rY2Ra</v>
      </c>
      <c r="C409" s="2" t="s">
        <v>957</v>
      </c>
      <c r="D409" s="1" t="s">
        <v>955</v>
      </c>
    </row>
    <row r="410" spans="1:4" x14ac:dyDescent="0.15">
      <c r="A410" s="1" t="s">
        <v>958</v>
      </c>
      <c r="B410" s="3" t="str">
        <f ca="1">IFERROR(__xludf.DUMMYFUNCTION("GOOGLETRANSLATE(B410,""es"",""en"")"),"Las Bambas: This Tuesday they will evaluate preventive detention against the Chávez Sotelo brothers https://t.co/i5xn3Bl94d https://t.co/pnMAu4f9IV")</f>
        <v>Las Bambas: This Tuesday they will evaluate preventive detention against the Chávez Sotelo brothers https://t.co/i5xn3Bl94d https://t.co/pnMAu4f9IV</v>
      </c>
      <c r="C410" s="2" t="s">
        <v>959</v>
      </c>
      <c r="D410" s="1" t="s">
        <v>960</v>
      </c>
    </row>
    <row r="411" spans="1:4" x14ac:dyDescent="0.15">
      <c r="A411" s="1" t="s">
        <v>961</v>
      </c>
      <c r="B411" s="3" t="str">
        <f ca="1">IFERROR(__xludf.DUMMYFUNCTION("GOOGLETRANSLATE(B411,""es"",""en"")"),"@AlcortaLourdes Aunt, why don't you act like this on Thursday? I give you some topics: 1,650 million in consultancies, ministers with anticuchos, Premier who does not show his face in Las Bambas, reconstruction, marches in Piura, etc... help the governmen"&amp;"t by pointing out its errors so that they can correct them, they are on time")</f>
        <v>@AlcortaLourdes Aunt, why don't you act like this on Thursday? I give you some topics: 1,650 million in consultancies, ministers with anticuchos, Premier who does not show his face in Las Bambas, reconstruction, marches in Piura, etc... help the government by pointing out its errors so that they can correct them, they are on time</v>
      </c>
      <c r="C411" s="2" t="s">
        <v>962</v>
      </c>
      <c r="D411" s="1" t="s">
        <v>963</v>
      </c>
    </row>
    <row r="412" spans="1:4" x14ac:dyDescent="0.15">
      <c r="A412" s="1" t="s">
        <v>964</v>
      </c>
      <c r="B412" s="3" t="str">
        <f ca="1">IFERROR(__xludf.DUMMYFUNCTION("GOOGLETRANSLATE(B412,""es"",""en"")"),"RT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412" s="2" t="s">
        <v>965</v>
      </c>
      <c r="D412" s="1" t="s">
        <v>966</v>
      </c>
    </row>
    <row r="413" spans="1:4" x14ac:dyDescent="0.15">
      <c r="A413" s="1" t="s">
        <v>967</v>
      </c>
      <c r="B413" s="3" t="str">
        <f ca="1">IFERROR(__xludf.DUMMYFUNCTION("GOOGLETRANSLATE(B413,""es"",""en"")"),"How cool!! Now I see ads for Kia cars and pink and beige sneakers so I can go out dancing... I feel calmer without seeing the ads for Roche malages and their ads for colon cancer pills.")</f>
        <v>How cool!! Now I see ads for Kia cars and pink and beige sneakers so I can go out dancing... I feel calmer without seeing the ads for Roche malages and their ads for colon cancer pills.</v>
      </c>
      <c r="C413" s="2" t="s">
        <v>968</v>
      </c>
      <c r="D413" s="1" t="s">
        <v>966</v>
      </c>
    </row>
    <row r="414" spans="1:4" x14ac:dyDescent="0.15">
      <c r="A414" s="1" t="s">
        <v>969</v>
      </c>
      <c r="B414" s="3" t="str">
        <f ca="1">IFERROR(__xludf.DUMMYFUNCTION("GOOGLETRANSLATE(B414,""es"",""en"")"),"RT @comitedelectura: Very good article by David Rivera in @larepublica_pe about what the conflict in Las Bambas has revealed, once again, regarding the structural deficiencies of the Peruvian State. https://t.co/V05NN5Kp3s")</f>
        <v>RT @comitedelectura: Very good article by David Rivera in @larepublica_pe about what the conflict in Las Bambas has revealed, once again, regarding the structural deficiencies of the Peruvian State. https://t.co/V05NN5Kp3s</v>
      </c>
      <c r="C414" s="2" t="s">
        <v>970</v>
      </c>
      <c r="D414" s="1" t="s">
        <v>971</v>
      </c>
    </row>
    <row r="415" spans="1:4" x14ac:dyDescent="0.15">
      <c r="A415" s="1" t="s">
        <v>972</v>
      </c>
      <c r="B415" s="3" t="str">
        <f ca="1">IFERROR(__xludf.DUMMYFUNCTION("GOOGLETRANSLATE(B415,""es"",""en"")"),"#Peru #Mining #LasBambas 
Interesting interview to understand the conflict in Las Bambas: ""A community is not a criminal organization"" https://t.co/j072K5WSsJ")</f>
        <v>#Peru #Mining #LasBambas 
Interesting interview to understand the conflict in Las Bambas: "A community is not a criminal organization" https://t.co/j072K5WSsJ</v>
      </c>
      <c r="C415" s="2" t="s">
        <v>973</v>
      </c>
      <c r="D415" s="1" t="s">
        <v>974</v>
      </c>
    </row>
    <row r="416" spans="1:4" x14ac:dyDescent="0.15">
      <c r="A416" s="1" t="s">
        <v>975</v>
      </c>
      <c r="B416" s="3" t="str">
        <f ca="1">IFERROR(__xludf.DUMMYFUNCTION("GOOGLETRANSLATE(B416,""es"",""en"")"),"The same old story, according to Antonio Raymondi.   Las Bambas (El Perú): he is a beggar sitting on a golden bench... ..things don't change.    #rpp #peru")</f>
        <v>The same old story, according to Antonio Raymondi.   Las Bambas (El Perú): he is a beggar sitting on a golden bench... ..things don't change.    #rpp #peru</v>
      </c>
      <c r="C416" s="2" t="s">
        <v>976</v>
      </c>
      <c r="D416" s="1" t="s">
        <v>974</v>
      </c>
    </row>
    <row r="417" spans="1:4" x14ac:dyDescent="0.15">
      <c r="A417" s="1" t="s">
        <v>977</v>
      </c>
      <c r="B417" s="3" t="str">
        <f ca="1">IFERROR(__xludf.DUMMYFUNCTION("GOOGLETRANSLATE(B417,""es"",""en"")"),"Government estimates paying S/ 350 million to overcome conflict in Las Bambas ➤ https://t.co/fWcAD9ciqz https://t.co/w5CwPl8vQY")</f>
        <v>Government estimates paying S/ 350 million to overcome conflict in Las Bambas ➤ https://t.co/fWcAD9ciqz https://t.co/w5CwPl8vQY</v>
      </c>
      <c r="C417" s="2" t="s">
        <v>978</v>
      </c>
      <c r="D417" s="1" t="s">
        <v>979</v>
      </c>
    </row>
    <row r="418" spans="1:4" x14ac:dyDescent="0.15">
      <c r="A418" s="1" t="s">
        <v>980</v>
      </c>
      <c r="B418" s="3" t="str">
        <f ca="1">IFERROR(__xludf.DUMMYFUNCTION("GOOGLETRANSLATE(B418,""es"",""en"")"),"RT @jgodoym: Good editorial from @SEMANAeconomica about Las Bambas. We must kill the dog in the manger https://t.co/8TArvrmQMl")</f>
        <v>RT @jgodoym: Good editorial from @SEMANAeconomica about Las Bambas. We must kill the dog in the manger https://t.co/8TArvrmQMl</v>
      </c>
      <c r="C418" s="2" t="s">
        <v>981</v>
      </c>
      <c r="D418" s="1" t="s">
        <v>982</v>
      </c>
    </row>
    <row r="419" spans="1:4" x14ac:dyDescent="0.15">
      <c r="A419" s="1" t="s">
        <v>983</v>
      </c>
      <c r="B419" s="3" t="str">
        <f ca="1">IFERROR(__xludf.DUMMYFUNCTION("GOOGLETRANSLATE(B419,""es"",""en"")"),"""Canção launch, mas canções tire me and as
Balançam legs sneakers of body and soul
Ator gives calm
""See here, see the green, see the fauna""")</f>
        <v>"Canção launch, mas canções tire me and as
Balançam legs sneakers of body and soul
Ator gives calm
"See here, see the green, see the fauna"</v>
      </c>
      <c r="C419" s="2" t="s">
        <v>984</v>
      </c>
      <c r="D419" s="1" t="s">
        <v>985</v>
      </c>
    </row>
    <row r="420" spans="1:4" x14ac:dyDescent="0.15">
      <c r="A420" s="1" t="s">
        <v>986</v>
      </c>
      <c r="B420" s="3" t="str">
        <f ca="1">IFERROR(__xludf.DUMMYFUNCTION("GOOGLETRANSLATE(B420,""es"",""en"")"),"RT @jgodoym: Good editorial from @SEMANAeconomica about Las Bambas. We must kill the dog in the manger https://t.co/8TArvrmQMl")</f>
        <v>RT @jgodoym: Good editorial from @SEMANAeconomica about Las Bambas. We must kill the dog in the manger https://t.co/8TArvrmQMl</v>
      </c>
      <c r="C420" s="2" t="s">
        <v>987</v>
      </c>
      <c r="D420" s="1" t="s">
        <v>988</v>
      </c>
    </row>
    <row r="421" spans="1:4" x14ac:dyDescent="0.15">
      <c r="A421" s="1" t="s">
        <v>989</v>
      </c>
      <c r="B421" s="3" t="str">
        <f ca="1">IFERROR(__xludf.DUMMYFUNCTION("GOOGLETRANSLATE(B421,""es"",""en"")"),"RT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421" s="2" t="s">
        <v>990</v>
      </c>
      <c r="D421" s="1" t="s">
        <v>991</v>
      </c>
    </row>
    <row r="422" spans="1:4" x14ac:dyDescent="0.15">
      <c r="A422" s="1" t="s">
        <v>992</v>
      </c>
      <c r="B422" s="3" t="str">
        <f ca="1">IFERROR(__xludf.DUMMYFUNCTION("GOOGLETRANSLATE(B422,""es"",""en"")"),"RT @LinceAntiTuco: WHAT ONE COMES TO KNOW, José De Echave spoke about Las Bambas with Sol Carreño. He is a director of Cooperación, an anti-extractivist NGO that receives funds from the Open Society like its ""allies"". Abel Gilvonio, son of terrorists an"&amp;"d communist, works there https://t.co/WWKeqGvIeK")</f>
        <v>RT @LinceAntiTuco: WHAT ONE COMES TO KNOW, José De Echave spoke about Las Bambas with Sol Carreño. He is a director of Cooperación, an anti-extractivist NGO that receives funds from the Open Society like its "allies". Abel Gilvonio, son of terrorists and communist, works there https://t.co/WWKeqGvIeK</v>
      </c>
      <c r="C422" s="2" t="s">
        <v>993</v>
      </c>
      <c r="D422" s="1" t="s">
        <v>994</v>
      </c>
    </row>
    <row r="423" spans="1:4" x14ac:dyDescent="0.15">
      <c r="A423" s="1" t="s">
        <v>995</v>
      </c>
      <c r="B423" s="3" t="str">
        <f ca="1">IFERROR(__xludf.DUMMYFUNCTION("GOOGLETRANSLATE(B423,""es"",""en"")"),"RT @maroonata: хы https://t.co/iiaQfGAb8w")</f>
        <v>RT @maroonata: хы https://t.co/iiaQfGAb8w</v>
      </c>
      <c r="C423" s="2" t="s">
        <v>996</v>
      </c>
      <c r="D423" s="1" t="s">
        <v>994</v>
      </c>
    </row>
    <row r="424" spans="1:4" x14ac:dyDescent="0.15">
      <c r="A424" s="1" t="s">
        <v>997</v>
      </c>
      <c r="B424" s="3" t="str">
        <f ca="1">IFERROR(__xludf.DUMMYFUNCTION("GOOGLETRANSLATE(B424,""es"",""en"")"),"@elhigadodmarita The country is the way it is because no one cares about anything, it's like the Las Bambas issue, all governments leave things for the next one to see how to solve it. and there are people who just type, very comfortable without taking ac"&amp;"tion, they just write... good afternoon")</f>
        <v>@elhigadodmarita The country is the way it is because no one cares about anything, it's like the Las Bambas issue, all governments leave things for the next one to see how to solve it. and there are people who just type, very comfortable without taking action, they just write... good afternoon</v>
      </c>
      <c r="C424" s="2" t="s">
        <v>998</v>
      </c>
      <c r="D424" s="1" t="s">
        <v>999</v>
      </c>
    </row>
    <row r="425" spans="1:4" x14ac:dyDescent="0.15">
      <c r="A425" s="1" t="s">
        <v>1000</v>
      </c>
      <c r="B425" s="3" t="str">
        <f ca="1">IFERROR(__xludf.DUMMYFUNCTION("GOOGLETRANSLATE(B425,""es"",""en"")"),"Las Bambas: Gregorio Rojas will consult the community about the lifting of the force measure https://t.co/JvOHF6tR4r")</f>
        <v>Las Bambas: Gregorio Rojas will consult the community about the lifting of the force measure https://t.co/JvOHF6tR4r</v>
      </c>
      <c r="C425" s="2" t="s">
        <v>1001</v>
      </c>
      <c r="D425" s="1" t="s">
        <v>999</v>
      </c>
    </row>
    <row r="426" spans="1:4" x14ac:dyDescent="0.15">
      <c r="A426" s="1" t="s">
        <v>186</v>
      </c>
      <c r="B426" s="3" t="str">
        <f ca="1">IFERROR(__xludf.DUMMYFUNCTION("GOOGLETRANSLATE(B426,""es"",""en"")"),"Children who walk two or three hours to go to school. Unsheltered, only with their flip flops. And so we say that in Las Bambas you live like in Switzerland? 😞😡 https://t.co/JzlgU905xt")</f>
        <v>Children who walk two or three hours to go to school. Unsheltered, only with their flip flops. And so we say that in Las Bambas you live like in Switzerland? 😞😡 https://t.co/JzlgU905xt</v>
      </c>
      <c r="C426" s="2" t="s">
        <v>1002</v>
      </c>
      <c r="D426" s="1" t="s">
        <v>999</v>
      </c>
    </row>
    <row r="427" spans="1:4" x14ac:dyDescent="0.15">
      <c r="A427" s="1" t="s">
        <v>1003</v>
      </c>
      <c r="B427" s="3" t="str">
        <f ca="1">IFERROR(__xludf.DUMMYFUNCTION("GOOGLETRANSLATE(B427,""es"",""en"")"),"PERU: Govt. and community reach prior agreement for blockade in Las Bambas")</f>
        <v>PERU: Govt. and community reach prior agreement for blockade in Las Bambas</v>
      </c>
      <c r="C427" s="2" t="s">
        <v>1004</v>
      </c>
      <c r="D427" s="1" t="s">
        <v>1005</v>
      </c>
    </row>
    <row r="428" spans="1:4" x14ac:dyDescent="0.15">
      <c r="A428" s="1" t="s">
        <v>1006</v>
      </c>
      <c r="B428" s="3" t="str">
        <f ca="1">IFERROR(__xludf.DUMMYFUNCTION("GOOGLETRANSLATE(B428,""es"",""en"")"),"RT @lamula: ""Commit to the community to relieve the truck system within a given period... Start the construction of the mineral pipeline, they have only lost 3 of 20 recoverable years..."" | @PepeMoquillaza proposes solutions to the #LasBambas conflict h"&amp;"ttps://t.co/x0YM2i0bIk")</f>
        <v>RT @lamula: "Commit to the community to relieve the truck system within a given period... Start the construction of the mineral pipeline, they have only lost 3 of 20 recoverable years..." | @PepeMoquillaza proposes solutions to the #LasBambas conflict https://t.co/x0YM2i0bIk</v>
      </c>
      <c r="C428" s="2" t="s">
        <v>1007</v>
      </c>
      <c r="D428" s="1" t="s">
        <v>1005</v>
      </c>
    </row>
    <row r="429" spans="1:4" x14ac:dyDescent="0.15">
      <c r="A429" s="1" t="s">
        <v>1008</v>
      </c>
      <c r="B429" s="3" t="str">
        <f ca="1">IFERROR(__xludf.DUMMYFUNCTION("GOOGLETRANSLATE(B429,""es"",""en"")"),"RT @MilagrosLeivaG: Children who walk two or three hours to go to school. Unsheltered, only with their flip flops. And so we say that in Las Bambas you live like in Switzerland? 😞😡 https://t.co/JzlgU905xt")</f>
        <v>RT @MilagrosLeivaG: Children who walk two or three hours to go to school. Unsheltered, only with their flip flops. And so we say that in Las Bambas you live like in Switzerland? 😞😡 https://t.co/JzlgU905xt</v>
      </c>
      <c r="C429" s="2" t="s">
        <v>1009</v>
      </c>
      <c r="D429" s="1" t="s">
        <v>1005</v>
      </c>
    </row>
    <row r="430" spans="1:4" x14ac:dyDescent="0.15">
      <c r="A430" s="1" t="s">
        <v>1010</v>
      </c>
      <c r="B430" s="3" t="str">
        <f ca="1">IFERROR(__xludf.DUMMYFUNCTION("GOOGLETRANSLATE(B430,""es"",""en"")"),"RT @MilagrosLeivaG: Children who walk two or three hours to go to school. Unsheltered, only with their flip flops. And so we say that in Las Bambas you live like in Switzerland? 😞😡 https://t.co/JzlgU905xt")</f>
        <v>RT @MilagrosLeivaG: Children who walk two or three hours to go to school. Unsheltered, only with their flip flops. And so we say that in Las Bambas you live like in Switzerland? 😞😡 https://t.co/JzlgU905xt</v>
      </c>
      <c r="C430" s="2" t="s">
        <v>1011</v>
      </c>
      <c r="D430" s="1" t="s">
        <v>1005</v>
      </c>
    </row>
    <row r="431" spans="1:4" x14ac:dyDescent="0.15">
      <c r="A431" s="1" t="s">
        <v>1012</v>
      </c>
      <c r="B431" s="3" t="str">
        <f ca="1">IFERROR(__xludf.DUMMYFUNCTION("GOOGLETRANSLATE(B431,""es"",""en"")"),"RT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431" s="2" t="s">
        <v>1013</v>
      </c>
      <c r="D431" s="1" t="s">
        <v>1014</v>
      </c>
    </row>
    <row r="432" spans="1:4" x14ac:dyDescent="0.15">
      <c r="A432" s="1" t="s">
        <v>1015</v>
      </c>
      <c r="B432" s="3" t="str">
        <f ca="1">IFERROR(__xludf.DUMMYFUNCTION("GOOGLETRANSLATE(B432,""es"",""en"")"),"RT @tema0902: I don't understand how @AlanGarciaPeru CRITICIZES THE GOVERNMENT, with what morals if it has crime, money laundering, delinquency, No reconstruction in Pisco, Narco Pardons, Massacre in the Frontón, El Baguazo, Dólar Muc, bribes from ODB, Pe"&amp;"troaudios. DO YOU LIKE TROLLING?
https://t.co/fWoMHDzIHG")</f>
        <v>RT @tema0902: I don't understand how @AlanGarciaPeru CRITICIZES THE GOVERNMENT, with what morals if it has crime, money laundering, delinquency, No reconstruction in Pisco, Narco Pardons, Massacre in the Frontón, El Baguazo, Dólar Muc, bribes from ODB, Petroaudios. DO YOU LIKE TROLLING?
https://t.co/fWoMHDzIHG</v>
      </c>
      <c r="C432" s="2" t="s">
        <v>1016</v>
      </c>
      <c r="D432" s="1" t="s">
        <v>1017</v>
      </c>
    </row>
    <row r="433" spans="1:4" x14ac:dyDescent="0.15">
      <c r="A433" s="1" t="s">
        <v>1018</v>
      </c>
      <c r="B433" s="3" t="str">
        <f ca="1">IFERROR(__xludf.DUMMYFUNCTION("GOOGLETRANSLATE(B433,""es"",""en"")"),"RT @MilagrosLeivaG: Children who walk two or three hours to go to school. Unsheltered, only with their flip flops. And so we say that in Las Bambas you live like in Switzerland? 😞😡 https://t.co/JzlgU905xt")</f>
        <v>RT @MilagrosLeivaG: Children who walk two or three hours to go to school. Unsheltered, only with their flip flops. And so we say that in Las Bambas you live like in Switzerland? 😞😡 https://t.co/JzlgU905xt</v>
      </c>
      <c r="C433" s="2" t="s">
        <v>1019</v>
      </c>
      <c r="D433" s="1" t="s">
        <v>1020</v>
      </c>
    </row>
    <row r="434" spans="1:4" x14ac:dyDescent="0.15">
      <c r="A434" s="1" t="s">
        <v>1021</v>
      </c>
      <c r="B434" s="3" t="str">
        <f ca="1">IFERROR(__xludf.DUMMYFUNCTION("GOOGLETRANSLATE(B434,""es"",""en"")"),"RT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434" s="2" t="s">
        <v>1022</v>
      </c>
      <c r="D434" s="1" t="s">
        <v>1020</v>
      </c>
    </row>
    <row r="435" spans="1:4" x14ac:dyDescent="0.15">
      <c r="A435" s="1" t="s">
        <v>1023</v>
      </c>
      <c r="B435" s="3" t="str">
        <f ca="1">IFERROR(__xludf.DUMMYFUNCTION("GOOGLETRANSLATE(B435,""es"",""en"")"),"An analysis of the entire conflict that is being experienced in Las Bambas. The State is the most absent. From @SEMANAeconomica https://t.co/w4DEJnMDp6")</f>
        <v>An analysis of the entire conflict that is being experienced in Las Bambas. The State is the most absent. From @SEMANAeconomica https://t.co/w4DEJnMDp6</v>
      </c>
      <c r="C435" s="2" t="s">
        <v>1024</v>
      </c>
      <c r="D435" s="1" t="s">
        <v>1025</v>
      </c>
    </row>
    <row r="436" spans="1:4" x14ac:dyDescent="0.15">
      <c r="A436" s="1" t="s">
        <v>1026</v>
      </c>
      <c r="B436" s="3" t="str">
        <f ca="1">IFERROR(__xludf.DUMMYFUNCTION("GOOGLETRANSLATE(B436,""es"",""en"")"),"RT @MilagrosLeivaG: Children who walk two or three hours to go to school. Unsheltered, only with their flip flops. And so we say that in Las Bambas you live like in Switzerland? 😞😡 https://t.co/JzlgU905xt")</f>
        <v>RT @MilagrosLeivaG: Children who walk two or three hours to go to school. Unsheltered, only with their flip flops. And so we say that in Las Bambas you live like in Switzerland? 😞😡 https://t.co/JzlgU905xt</v>
      </c>
      <c r="C436" s="2" t="s">
        <v>1027</v>
      </c>
      <c r="D436" s="1" t="s">
        <v>1028</v>
      </c>
    </row>
    <row r="437" spans="1:4" x14ac:dyDescent="0.15">
      <c r="A437" s="1" t="s">
        <v>1029</v>
      </c>
      <c r="B437" s="3" t="str">
        <f ca="1">IFERROR(__xludf.DUMMYFUNCTION("GOOGLETRANSLATE(B437,""es"",""en"")"),"Nike sweatshirt: €50 chiclin
Nike pants: €40 chiclin
Adidas sneakers: €70 chiclin
That my girlfriend is the girl reading this: priceless")</f>
        <v>Nike sweatshirt: €50 chiclin
Nike pants: €40 chiclin
Adidas sneakers: €70 chiclin
That my girlfriend is the girl reading this: priceless</v>
      </c>
      <c r="C437" s="2" t="s">
        <v>1030</v>
      </c>
      <c r="D437" s="1" t="s">
        <v>1031</v>
      </c>
    </row>
    <row r="438" spans="1:4" x14ac:dyDescent="0.15">
      <c r="A438" s="1" t="s">
        <v>1032</v>
      </c>
      <c r="B438" s="3" t="str">
        <f ca="1">IFERROR(__xludf.DUMMYFUNCTION("GOOGLETRANSLATE(B438,""es"",""en"")"),"RT @EduarPlasencia: Mulder's ghost worker discovered
.And I worked. ghost of Jorge del Castillo.
They capture daredevils of the Velasquez Quesquén crime.
They capture Venezuelan criminals from Aragua who brought fujiapristas and killed police officers.
Po"&amp;"lice kill 3 farmers from Las Bambas https://t.co/P7virOmxjk")</f>
        <v>RT @EduarPlasencia: Mulder's ghost worker discovered
.And I worked. ghost of Jorge del Castillo.
They capture daredevils of the Velasquez Quesquén crime.
They capture Venezuelan criminals from Aragua who brought fujiapristas and killed police officers.
Police kill 3 farmers from Las Bambas https://t.co/P7virOmxjk</v>
      </c>
      <c r="C438" s="2" t="s">
        <v>1033</v>
      </c>
      <c r="D438" s="1" t="s">
        <v>1034</v>
      </c>
    </row>
    <row r="439" spans="1:4" x14ac:dyDescent="0.15">
      <c r="A439" s="1" t="s">
        <v>1035</v>
      </c>
      <c r="B439" s="3" t="str">
        <f ca="1">IFERROR(__xludf.DUMMYFUNCTION("GOOGLETRANSLATE(B439,""es"",""en"")"),"I don't know how my body will deal with not going out in sweats but going out in sneakers is not paid.")</f>
        <v>I don't know how my body will deal with not going out in sweats but going out in sneakers is not paid.</v>
      </c>
      <c r="C439" s="2" t="s">
        <v>1036</v>
      </c>
      <c r="D439" s="1" t="s">
        <v>1037</v>
      </c>
    </row>
    <row r="440" spans="1:4" x14ac:dyDescent="0.15">
      <c r="A440" s="1" t="s">
        <v>1038</v>
      </c>
      <c r="B440" s="3" t="str">
        <f ca="1">IFERROR(__xludf.DUMMYFUNCTION("GOOGLETRANSLATE(B440,""es"",""en"")"),"RT @jgodoym: Good editorial from @SEMANAeconomica about Las Bambas. We must kill the dog in the manger https://t.co/8TArvrmQMl")</f>
        <v>RT @jgodoym: Good editorial from @SEMANAeconomica about Las Bambas. We must kill the dog in the manger https://t.co/8TArvrmQMl</v>
      </c>
      <c r="C440" s="2" t="s">
        <v>1039</v>
      </c>
      <c r="D440" s="1" t="s">
        <v>1040</v>
      </c>
    </row>
    <row r="441" spans="1:4" x14ac:dyDescent="0.15">
      <c r="A441" s="1" t="s">
        <v>1041</v>
      </c>
      <c r="B441" s="3" t="str">
        <f ca="1">IFERROR(__xludf.DUMMYFUNCTION("GOOGLETRANSLATE(B441,""es"",""en"")"),"RT @canalN_: Both are legal advisors to the community of Fuerabamba, which has blocked the road at the entrance to the Las Bambas mine for more than 50 days https://t.co/EYKEHZWqBQ")</f>
        <v>RT @canalN_: Both are legal advisors to the community of Fuerabamba, which has blocked the road at the entrance to the Las Bambas mine for more than 50 days https://t.co/EYKEHZWqBQ</v>
      </c>
      <c r="C441" s="2" t="s">
        <v>1042</v>
      </c>
      <c r="D441" s="1" t="s">
        <v>1043</v>
      </c>
    </row>
    <row r="442" spans="1:4" x14ac:dyDescent="0.15">
      <c r="A442" s="1" t="s">
        <v>1044</v>
      </c>
      <c r="B442" s="3" t="str">
        <f ca="1">IFERROR(__xludf.DUMMYFUNCTION("GOOGLETRANSLATE(B442,""es"",""en"")"),"Happy Sunday:
""We're going to compromise so much that you're going to end up with barely any shoes.""
3min after you have enjoyed")</f>
        <v>Happy Sunday:
"We're going to compromise so much that you're going to end up with barely any shoes."
3min after you have enjoyed</v>
      </c>
      <c r="C442" s="2" t="s">
        <v>1045</v>
      </c>
      <c r="D442" s="1" t="s">
        <v>1043</v>
      </c>
    </row>
    <row r="443" spans="1:4" x14ac:dyDescent="0.15">
      <c r="A443" s="1" t="s">
        <v>1046</v>
      </c>
      <c r="B443" s="3" t="str">
        <f ca="1">IFERROR(__xludf.DUMMYFUNCTION("GOOGLETRANSLATE(B443,""es"",""en"")"),"RT @lamula: #LasBambas Did you think that the community members in the mining project area did not have the right to receive a payment? Did you think that the land through which the blocked road passes was not theirs? Here we explain this and more about t"&amp;"his conflict --&amp;gt; https://t.co/x48ljAPQPM
#MiningConflicts https://t.co/yCMZXGVRFT")</f>
        <v>RT @lamula: #LasBambas Did you think that the community members in the mining project area did not have the right to receive a payment? Did you think that the land through which the blocked road passes was not theirs? Here we explain this and more about this conflict --&amp;gt; https://t.co/x48ljAPQPM
#MiningConflicts https://t.co/yCMZXGVRFT</v>
      </c>
      <c r="C443" s="2" t="s">
        <v>1047</v>
      </c>
      <c r="D443" s="1" t="s">
        <v>1048</v>
      </c>
    </row>
    <row r="444" spans="1:4" x14ac:dyDescent="0.15">
      <c r="A444" s="1" t="s">
        <v>1049</v>
      </c>
      <c r="B444" s="3" t="str">
        <f ca="1">IFERROR(__xludf.DUMMYFUNCTION("GOOGLETRANSLATE(B444,""es"",""en"")"),"RT @jsaldanacuba: Brilliant article by Alfredo Torres about Las Bambas. He summarizes everything in the final sentence: ""The author is executive president of Ipsos Perú. The company has carried out studies for Las Bambas."" 
If I started there, there wa"&amp;"s no need to waste time reading more.
https://t.co/MB24a8kEgQ")</f>
        <v>RT @jsaldanacuba: Brilliant article by Alfredo Torres about Las Bambas. He summarizes everything in the final sentence: "The author is executive president of Ipsos Perú. The company has carried out studies for Las Bambas." 
If I started there, there was no need to waste time reading more.
https://t.co/MB24a8kEgQ</v>
      </c>
      <c r="C444" s="2" t="s">
        <v>1050</v>
      </c>
      <c r="D444" s="1" t="s">
        <v>1051</v>
      </c>
    </row>
    <row r="445" spans="1:4" x14ac:dyDescent="0.15">
      <c r="A445" s="1" t="s">
        <v>1052</v>
      </c>
      <c r="B445" s="3" t="str">
        <f ca="1">IFERROR(__xludf.DUMMYFUNCTION("GOOGLETRANSLATE(B445,""es"",""en"")"),"“Yes, it is undeniable that the Chávez Sotelo are two mercenaries, but focusing everything on them means ignoring the underlying problems.” “#LasBambas: let's kill the dog in the manger” is the editorial of @SEMANAeconomica. https://t.co/QLIILmTH7Y")</f>
        <v>“Yes, it is undeniable that the Chávez Sotelo are two mercenaries, but focusing everything on them means ignoring the underlying problems.” “#LasBambas: let's kill the dog in the manger” is the editorial of @SEMANAeconomica. https://t.co/QLIILmTH7Y</v>
      </c>
      <c r="C445" s="2" t="s">
        <v>1053</v>
      </c>
      <c r="D445" s="1" t="s">
        <v>1054</v>
      </c>
    </row>
    <row r="446" spans="1:4" x14ac:dyDescent="0.15">
      <c r="A446" s="1" t="s">
        <v>1055</v>
      </c>
      <c r="B446" s="3" t="str">
        <f ca="1">IFERROR(__xludf.DUMMYFUNCTION("GOOGLETRANSLATE(B446,""es"",""en"")"),"RT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446" s="2" t="s">
        <v>1056</v>
      </c>
      <c r="D446" s="1" t="s">
        <v>1057</v>
      </c>
    </row>
    <row r="447" spans="1:4" x14ac:dyDescent="0.15">
      <c r="A447" s="1" t="s">
        <v>1058</v>
      </c>
      <c r="B447" s="3" t="str">
        <f ca="1">IFERROR(__xludf.DUMMYFUNCTION("GOOGLETRANSLATE(B447,""es"",""en"")"),"@rodrigomorbey More: The keyboard/trackpad layer + kickstand set of the Surface Pro/Go is underrated until death. The biggest problem with the Surface Book is no kickstand. Faz ele ser o por device da família. Tinha everything to be or inverse
The Surfac"&amp;"e Studio is especially important to leave the shoes on")</f>
        <v>@rodrigomorbey More: The keyboard/trackpad layer + kickstand set of the Surface Pro/Go is underrated until death. The biggest problem with the Surface Book is no kickstand. Faz ele ser o por device da família. Tinha everything to be or inverse
The Surface Studio is especially important to leave the shoes on</v>
      </c>
      <c r="C447" s="2" t="s">
        <v>1059</v>
      </c>
      <c r="D447" s="1" t="s">
        <v>1060</v>
      </c>
    </row>
    <row r="448" spans="1:4" x14ac:dyDescent="0.15">
      <c r="A448" s="1" t="s">
        <v>1061</v>
      </c>
      <c r="B448" s="3" t="str">
        <f ca="1">IFERROR(__xludf.DUMMYFUNCTION("GOOGLETRANSLATE(B448,""es"",""en"")"),"RT @MilagrosLeivaG: Children who walk two or three hours to go to school. Unsheltered, only with their flip flops. And so we say that in Las Bambas you live like in Switzerland? 😞😡 https://t.co/JzlgU905xt")</f>
        <v>RT @MilagrosLeivaG: Children who walk two or three hours to go to school. Unsheltered, only with their flip flops. And so we say that in Las Bambas you live like in Switzerland? 😞😡 https://t.co/JzlgU905xt</v>
      </c>
      <c r="C448" s="2" t="s">
        <v>1062</v>
      </c>
      <c r="D448" s="1" t="s">
        <v>1060</v>
      </c>
    </row>
    <row r="449" spans="1:4" x14ac:dyDescent="0.15">
      <c r="A449" s="1" t="s">
        <v>200</v>
      </c>
      <c r="B449" s="3" t="str">
        <f ca="1">IFERROR(__xludf.DUMMYFUNCTION("GOOGLETRANSLATE(B449,""es"",""en"")"),"RT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449" s="2" t="s">
        <v>1063</v>
      </c>
      <c r="D449" s="1" t="s">
        <v>1064</v>
      </c>
    </row>
    <row r="450" spans="1:4" x14ac:dyDescent="0.15">
      <c r="A450" s="1" t="s">
        <v>1065</v>
      </c>
      <c r="B450" s="3" t="str">
        <f ca="1">IFERROR(__xludf.DUMMYFUNCTION("GOOGLETRANSLATE(B450,""es"",""en"")"),"With how inept they are, in the end they are going to give in to everything and then point less for Peru that paid millions per family to community members.
Now they want the Bambas to disappear. Extreme foolishness of deceitful lawyers who confront other"&amp;"s for money. https://t.co/vv0yajy4bV")</f>
        <v>With how inept they are, in the end they are going to give in to everything and then point less for Peru that paid millions per family to community members.
Now they want the Bambas to disappear. Extreme foolishness of deceitful lawyers who confront others for money. https://t.co/vv0yajy4bV</v>
      </c>
      <c r="C450" s="2" t="s">
        <v>1066</v>
      </c>
      <c r="D450" s="1" t="s">
        <v>1067</v>
      </c>
    </row>
    <row r="451" spans="1:4" x14ac:dyDescent="0.15">
      <c r="A451" s="1" t="s">
        <v>1068</v>
      </c>
      <c r="B451" s="3" t="str">
        <f ca="1">IFERROR(__xludf.DUMMYFUNCTION("GOOGLETRANSLATE(B451,""es"",""en"")"),"Las Bambas: Glencore ruled out construction of a mineral pipeline, according to MMG https://t.co/xxBzw3CwMy https://t.co/f9gI7z1cF0")</f>
        <v>Las Bambas: Glencore ruled out construction of a mineral pipeline, according to MMG https://t.co/xxBzw3CwMy https://t.co/f9gI7z1cF0</v>
      </c>
      <c r="C451" s="2" t="s">
        <v>1069</v>
      </c>
      <c r="D451" s="1" t="s">
        <v>1067</v>
      </c>
    </row>
    <row r="452" spans="1:4" x14ac:dyDescent="0.15">
      <c r="A452" s="1" t="s">
        <v>1070</v>
      </c>
      <c r="B452" s="3" t="str">
        <f ca="1">IFERROR(__xludf.DUMMYFUNCTION("GOOGLETRANSLATE(B452,""es"",""en"")"),"RT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452" s="2" t="s">
        <v>1071</v>
      </c>
      <c r="D452" s="1" t="s">
        <v>1067</v>
      </c>
    </row>
    <row r="453" spans="1:4" x14ac:dyDescent="0.15">
      <c r="A453" s="1" t="s">
        <v>1072</v>
      </c>
      <c r="B453" s="3" t="str">
        <f ca="1">IFERROR(__xludf.DUMMYFUNCTION("GOOGLETRANSLATE(B453,""es"",""en"")"),"RT @Politica_LR: Las Bambas: they suspend hearing against the Chávez Sotelo brothers #VIDEO
 ► https://t.co/DvEtZs8Oqe https://t.co/CICt09pftm")</f>
        <v>RT @Politica_LR: Las Bambas: they suspend hearing against the Chávez Sotelo brothers #VIDEO
 ► https://t.co/DvEtZs8Oqe https://t.co/CICt09pftm</v>
      </c>
      <c r="C453" s="2" t="s">
        <v>1073</v>
      </c>
      <c r="D453" s="1" t="s">
        <v>1074</v>
      </c>
    </row>
    <row r="454" spans="1:4" x14ac:dyDescent="0.15">
      <c r="A454" s="1" t="s">
        <v>1075</v>
      </c>
      <c r="B454" s="3" t="str">
        <f ca="1">IFERROR(__xludf.DUMMYFUNCTION("GOOGLETRANSLATE(B454,""es"",""en"")"),"RT @matuk: @rmapalacios 1) Road that crosses Yavi-Yavi did not exist before the purchase of Las Bambas 
2) Easement did not exist when Las Bambas bought Yavi-Yavi
3) Easement is registered when Las Bambas is the owner of Yavi-Yavi
4) Las Bambas delivers Y"&amp;"avi-Yavi with bondage
5) Yavi-Yavi = Trojan Horse")</f>
        <v>RT @matuk: @rmapalacios 1) Road that crosses Yavi-Yavi did not exist before the purchase of Las Bambas 
2) Easement did not exist when Las Bambas bought Yavi-Yavi
3) Easement is registered when Las Bambas is the owner of Yavi-Yavi
4) Las Bambas delivers Yavi-Yavi with bondage
5) Yavi-Yavi = Trojan Horse</v>
      </c>
      <c r="C454" s="2" t="s">
        <v>1076</v>
      </c>
      <c r="D454" s="1" t="s">
        <v>1077</v>
      </c>
    </row>
    <row r="455" spans="1:4" x14ac:dyDescent="0.15">
      <c r="A455" s="1" t="s">
        <v>1078</v>
      </c>
      <c r="B455" s="3" t="str">
        <f ca="1">IFERROR(__xludf.DUMMYFUNCTION("GOOGLETRANSLATE(B455,""es"",""en"")"),"@DalasDiosa @Alessandro__Lol I love your body, your sneakers and everything 😍 WHY DID THEY TELL YOU FAT????? THEY DON'T LOOK GOOD FROM WHAT I SEE. SEND THEM TO FUCK THEM ASS 🤬🤬🤬🤬")</f>
        <v>@DalasDiosa @Alessandro__Lol I love your body, your sneakers and everything 😍 WHY DID THEY TELL YOU FAT????? THEY DON'T LOOK GOOD FROM WHAT I SEE. SEND THEM TO FUCK THEM ASS 🤬🤬🤬🤬</v>
      </c>
      <c r="C455" s="2" t="s">
        <v>1079</v>
      </c>
      <c r="D455" s="1" t="s">
        <v>1077</v>
      </c>
    </row>
    <row r="456" spans="1:4" x14ac:dyDescent="0.15">
      <c r="A456" s="1" t="s">
        <v>1080</v>
      </c>
      <c r="B456" s="3" t="str">
        <f ca="1">IFERROR(__xludf.DUMMYFUNCTION("GOOGLETRANSLATE(B456,""es"",""en"")"),"@MARTINANTONIO @HiromiHiga @MilagrosLeivaG @atvpe review ignobestia https://t.co/PzVjYFru5M")</f>
        <v>@MARTINANTONIO @HiromiHiga @MilagrosLeivaG @atvpe review ignobestia https://t.co/PzVjYFru5M</v>
      </c>
      <c r="C456" s="2" t="s">
        <v>1081</v>
      </c>
      <c r="D456" s="1" t="s">
        <v>1082</v>
      </c>
    </row>
    <row r="457" spans="1:4" x14ac:dyDescent="0.15">
      <c r="A457" s="1" t="s">
        <v>1083</v>
      </c>
      <c r="B457" s="3" t="str">
        <f ca="1">IFERROR(__xludf.DUMMYFUNCTION("GOOGLETRANSLATE(B457,""es"",""en"")"),"RT @pruperu: How many of us would be freed if we drunks ran over police officers?
That “we are all equal before the law” is a simple saying that has nothing to do with reality https://t.co/1r2itujVVi")</f>
        <v>RT @pruperu: How many of us would be freed if we drunks ran over police officers?
That “we are all equal before the law” is a simple saying that has nothing to do with reality https://t.co/1r2itujVVi</v>
      </c>
      <c r="C457" s="2" t="s">
        <v>1084</v>
      </c>
      <c r="D457" s="1" t="s">
        <v>1082</v>
      </c>
    </row>
    <row r="458" spans="1:4" x14ac:dyDescent="0.15">
      <c r="A458" s="1" t="s">
        <v>1085</v>
      </c>
      <c r="B458" s="3" t="str">
        <f ca="1">IFERROR(__xludf.DUMMYFUNCTION("GOOGLETRANSLATE(B458,""es"",""en"")"),"RT @JaimeteleSUR: #Perú With the intermediation of the church and the Ombudsman's Office. State, MMG Las Bambas mining company and Fuerabamba community will resume dialogue after releasing their leader Gregorio Rojas 
@ConexiontlSUR https://t.co/6T70TUk4T"&amp;"o")</f>
        <v>RT @JaimeteleSUR: #Perú With the intermediation of the church and the Ombudsman's Office. State, MMG Las Bambas mining company and Fuerabamba community will resume dialogue after releasing their leader Gregorio Rojas 
@ConexiontlSUR https://t.co/6T70TUk4To</v>
      </c>
      <c r="C458" s="2" t="s">
        <v>1086</v>
      </c>
      <c r="D458" s="1" t="s">
        <v>1082</v>
      </c>
    </row>
    <row r="459" spans="1:4" x14ac:dyDescent="0.15">
      <c r="A459" s="1" t="s">
        <v>115</v>
      </c>
      <c r="B459" s="3" t="str">
        <f ca="1">IFERROR(__xludf.DUMMYFUNCTION("GOOGLETRANSLATE(B459,""es"",""en"")"),"RT @pruperu: How many of us would be freed if we drunks ran over police officers?
That “we are all equal before the law” is a simple saying that has nothing to do with reality https://t.co/1r2itujVVi")</f>
        <v>RT @pruperu: How many of us would be freed if we drunks ran over police officers?
That “we are all equal before the law” is a simple saying that has nothing to do with reality https://t.co/1r2itujVVi</v>
      </c>
      <c r="C459" s="2" t="s">
        <v>1087</v>
      </c>
      <c r="D459" s="1" t="s">
        <v>1088</v>
      </c>
    </row>
    <row r="460" spans="1:4" x14ac:dyDescent="0.15">
      <c r="A460" s="1" t="s">
        <v>1089</v>
      </c>
      <c r="B460" s="3" t="str">
        <f ca="1">IFERROR(__xludf.DUMMYFUNCTION("GOOGLETRANSLATE(B460,""es"",""en"")"),"@MilagrosLeivaG Who said that in sneakers you live like you do in Switzerland? 
Nueva Fuerabamba has been compared to Switzerland due to the similarity of its houses, which is true.
Are you a journalist or a troll?")</f>
        <v>@MilagrosLeivaG Who said that in sneakers you live like you do in Switzerland? 
Nueva Fuerabamba has been compared to Switzerland due to the similarity of its houses, which is true.
Are you a journalist or a troll?</v>
      </c>
      <c r="C460" s="2" t="s">
        <v>1090</v>
      </c>
      <c r="D460" s="1" t="s">
        <v>1091</v>
      </c>
    </row>
    <row r="461" spans="1:4" x14ac:dyDescent="0.15">
      <c r="A461" s="1" t="s">
        <v>135</v>
      </c>
      <c r="B461" s="3" t="str">
        <f ca="1">IFERROR(__xludf.DUMMYFUNCTION("GOOGLETRANSLATE(B461,""es"",""en"")"),"RT @cnddhh: 🔴[#ATTENTION] We share the statement issued today on @larepublica_pe 
🔼ABOUT THE LAS BAMBAS CONFLICT:
ELEMENTS FOR A DIALOGUE, PEACEFUL AND DURABLE EXIT. https://t.co/SaN1D026DH")</f>
        <v>RT @cnddhh: 🔴[#ATTENTION] We share the statement issued today on @larepublica_pe 
🔼ABOUT THE LAS BAMBAS CONFLICT:
ELEMENTS FOR A DIALOGUE, PEACEFUL AND DURABLE EXIT. https://t.co/SaN1D026DH</v>
      </c>
      <c r="C461" s="2" t="s">
        <v>1092</v>
      </c>
      <c r="D461" s="1" t="s">
        <v>1093</v>
      </c>
    </row>
    <row r="462" spans="1:4" x14ac:dyDescent="0.15">
      <c r="A462" s="1" t="s">
        <v>1094</v>
      </c>
      <c r="B462" s="3" t="str">
        <f ca="1">IFERROR(__xludf.DUMMYFUNCTION("GOOGLETRANSLATE(B462,""es"",""en"")"),"RT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462" s="2" t="s">
        <v>1095</v>
      </c>
      <c r="D462" s="1" t="s">
        <v>1093</v>
      </c>
    </row>
    <row r="463" spans="1:4" x14ac:dyDescent="0.15">
      <c r="A463" s="1" t="s">
        <v>1096</v>
      </c>
      <c r="B463" s="3" t="str">
        <f ca="1">IFERROR(__xludf.DUMMYFUNCTION("GOOGLETRANSLATE(B463,""es"",""en"")"),"RT @godtaehx: de acordo com o seu mês de aniversário, pra quem você daria até até nas pernas ficarem sneakers?
jan-taehyung 
fev-jimin
mar- jungkook
abr- namjoon
mai-hoseok
jun-jin
jul- bts inteiro 
ago-yoongi 
set- hoseok
out-taehyung 
Nov - Jungkook 
d"&amp;"ez-jimin")</f>
        <v>RT @godtaehx: de acordo com o seu mês de aniversário, pra quem você daria até até nas pernas ficarem sneakers?
jan-taehyung 
fev-jimin
mar- jungkook
abr- namjoon
mai-hoseok
jun-jin
jul- bts inteiro 
ago-yoongi 
set- hoseok
out-taehyung 
Nov - Jungkook 
dez-jimin</v>
      </c>
      <c r="C463" s="2" t="s">
        <v>1097</v>
      </c>
      <c r="D463" s="1" t="s">
        <v>1098</v>
      </c>
    </row>
    <row r="464" spans="1:4" x14ac:dyDescent="0.15">
      <c r="A464" s="1" t="s">
        <v>1099</v>
      </c>
      <c r="B464" s="3" t="str">
        <f ca="1">IFERROR(__xludf.DUMMYFUNCTION("GOOGLETRANSLATE(B464,""es"",""en"")"),"@MilagrosLeivaG Until now I haven't heard anything about the Sneakers from any Congressman, they are quiet... xk it will be ‼️")</f>
        <v>@MilagrosLeivaG Until now I haven't heard anything about the Sneakers from any Congressman, they are quiet... xk it will be ‼️</v>
      </c>
      <c r="C464" s="2" t="s">
        <v>1100</v>
      </c>
      <c r="D464" s="1" t="s">
        <v>1101</v>
      </c>
    </row>
    <row r="465" spans="1:4" x14ac:dyDescent="0.15">
      <c r="A465" s="1" t="s">
        <v>1102</v>
      </c>
      <c r="B465" s="3" t="str">
        <f ca="1">IFERROR(__xludf.DUMMYFUNCTION("GOOGLETRANSLATE(B465,""es"",""en"")"),"RT @pruperu: How many of us would be freed if we drunks ran over police officers?
That “we are all equal before the law” is a simple saying that has nothing to do with reality https://t.co/1r2itujVVi")</f>
        <v>RT @pruperu: How many of us would be freed if we drunks ran over police officers?
That “we are all equal before the law” is a simple saying that has nothing to do with reality https://t.co/1r2itujVVi</v>
      </c>
      <c r="C465" s="2" t="s">
        <v>1103</v>
      </c>
      <c r="D465" s="1" t="s">
        <v>1101</v>
      </c>
    </row>
    <row r="466" spans="1:4" x14ac:dyDescent="0.15">
      <c r="A466" s="1" t="s">
        <v>1104</v>
      </c>
      <c r="B466" s="3" t="str">
        <f ca="1">IFERROR(__xludf.DUMMYFUNCTION("GOOGLETRANSLATE(B466,""es"",""en"")"),"RT @Jessica48396615: True @MazaBera errors by @MartinVizcarraC and fall in polls: Las Bambas; hire Fujiapristas; Tuesta Commission: Bicamerality and eliminate Prohibition; Put or ratify questioned MINSA, MINAG, MININTER, Produce, MEM, Environment Housing,"&amp;" AFP, Cuellos Blancos regroup https://t.co/WjOPLU1s9E")</f>
        <v>RT @Jessica48396615: True @MazaBera errors by @MartinVizcarraC and fall in polls: Las Bambas; hire Fujiapristas; Tuesta Commission: Bicamerality and eliminate Prohibition; Put or ratify questioned MINSA, MINAG, MININTER, Produce, MEM, Environment Housing, AFP, Cuellos Blancos regroup https://t.co/WjOPLU1s9E</v>
      </c>
      <c r="C466" s="2" t="s">
        <v>1105</v>
      </c>
      <c r="D466" s="1" t="s">
        <v>1106</v>
      </c>
    </row>
    <row r="467" spans="1:4" x14ac:dyDescent="0.15">
      <c r="A467" s="1" t="s">
        <v>569</v>
      </c>
      <c r="B467" s="3" t="str">
        <f ca="1">IFERROR(__xludf.DUMMYFUNCTION("GOOGLETRANSLATE(B467,""es"",""en"")"),"RT @davidreyesz: “Yes, it is undeniable that the Chávez Sotelos are two mercenaries, but focusing everything on them means ignoring the underlying problems.” “#LasBambas: let's kill the dog in the manger” is the editorial of @SEMANAeconomica. https://t.co"&amp;"/QLIILmTH7Y")</f>
        <v>RT @davidreyesz: “Yes, it is undeniable that the Chávez Sotelos are two mercenaries, but focusing everything on them means ignoring the underlying problems.” “#LasBambas: let's kill the dog in the manger” is the editorial of @SEMANAeconomica. https://t.co/QLIILmTH7Y</v>
      </c>
      <c r="C467" s="2" t="s">
        <v>1107</v>
      </c>
      <c r="D467" s="1" t="s">
        <v>1108</v>
      </c>
    </row>
    <row r="468" spans="1:4" x14ac:dyDescent="0.15">
      <c r="A468" s="1" t="s">
        <v>1109</v>
      </c>
      <c r="B468" s="3" t="str">
        <f ca="1">IFERROR(__xludf.DUMMYFUNCTION("GOOGLETRANSLATE(B468,""es"",""en"")"),"Government estimates paying S/ 350 million to overcome conflict in Las Bambas https://t.co/pgd25U4HuN")</f>
        <v>Government estimates paying S/ 350 million to overcome conflict in Las Bambas https://t.co/pgd25U4HuN</v>
      </c>
      <c r="C468" s="2" t="s">
        <v>1110</v>
      </c>
      <c r="D468" s="1" t="s">
        <v>1108</v>
      </c>
    </row>
    <row r="469" spans="1:4" x14ac:dyDescent="0.15">
      <c r="A469" s="1" t="s">
        <v>1111</v>
      </c>
      <c r="B469" s="3" t="str">
        <f ca="1">IFERROR(__xludf.DUMMYFUNCTION("GOOGLETRANSLATE(B469,""es"",""en"")"),"I need the green and black sneakers from Peter's video 😍
#GotTalentLive1")</f>
        <v>I need the green and black sneakers from Peter's video 😍
#GotTalentLive1</v>
      </c>
      <c r="C469" s="2" t="s">
        <v>1112</v>
      </c>
      <c r="D469" s="1" t="s">
        <v>1108</v>
      </c>
    </row>
    <row r="470" spans="1:4" x14ac:dyDescent="0.15">
      <c r="A470" s="1" t="s">
        <v>1113</v>
      </c>
      <c r="B470" s="3" t="str">
        <f ca="1">IFERROR(__xludf.DUMMYFUNCTION("GOOGLETRANSLATE(B470,""es"",""en"")"),"RT @MilagrosLeivaG: Children who walk two or three hours to go to school. Unsheltered, only with their flip flops. And so we say that in Las Bambas you live like in Switzerland? 😞😡 https://t.co/JzlgU905xt")</f>
        <v>RT @MilagrosLeivaG: Children who walk two or three hours to go to school. Unsheltered, only with their flip flops. And so we say that in Las Bambas you live like in Switzerland? 😞😡 https://t.co/JzlgU905xt</v>
      </c>
      <c r="C470" s="2" t="s">
        <v>1114</v>
      </c>
      <c r="D470" s="1" t="s">
        <v>1108</v>
      </c>
    </row>
    <row r="471" spans="1:4" x14ac:dyDescent="0.15">
      <c r="A471" s="1" t="s">
        <v>1115</v>
      </c>
      <c r="B471" s="3" t="str">
        <f ca="1">IFERROR(__xludf.DUMMYFUNCTION("GOOGLETRANSLATE(B471,""es"",""en"")"),"This is an excellent text to better understand the conflict in Las Bambas.
""In the agonizing idea of ​​saving investment in the project, the mining company incubated a social conflict and the sector authorities, lacking sense of smell or not having lear"&amp;"ned lessons, allowed it."" https://t.co/EolqjOhjCa")</f>
        <v>This is an excellent text to better understand the conflict in Las Bambas.
"In the agonizing idea of ​​saving investment in the project, the mining company incubated a social conflict and the sector authorities, lacking sense of smell or not having learned lessons, allowed it." https://t.co/EolqjOhjCa</v>
      </c>
      <c r="C471" s="2" t="s">
        <v>1116</v>
      </c>
      <c r="D471" s="1" t="s">
        <v>1108</v>
      </c>
    </row>
    <row r="472" spans="1:4" x14ac:dyDescent="0.15">
      <c r="A472" s="1" t="s">
        <v>1117</v>
      </c>
      <c r="B472" s="3" t="str">
        <f ca="1">IFERROR(__xludf.DUMMYFUNCTION("GOOGLETRANSLATE(B472,""es"",""en"")"),"RT @luuucarmons: It makes me so angry that in a store there are a thousand models of soccer shoes and that there are 3 for basketball and for boys")</f>
        <v>RT @luuucarmons: It makes me so angry that in a store there are a thousand models of soccer shoes and that there are 3 for basketball and for boys</v>
      </c>
      <c r="C472" s="2" t="s">
        <v>1118</v>
      </c>
      <c r="D472" s="1" t="s">
        <v>1119</v>
      </c>
    </row>
    <row r="473" spans="1:4" x14ac:dyDescent="0.15">
      <c r="A473" s="1" t="s">
        <v>1120</v>
      </c>
      <c r="B473" s="3" t="str">
        <f ca="1">IFERROR(__xludf.DUMMYFUNCTION("GOOGLETRANSLATE(B473,""es"",""en"")"),"RT @davidreyesz: “Yes, it is undeniable that the Chávez Sotelos are two mercenaries, but focusing everything on them means ignoring the underlying problems.” “#LasBambas: let's kill the dog in the manger” is the editorial of @SEMANAeconomica. https://t.co"&amp;"/QLIILmTH7Y")</f>
        <v>RT @davidreyesz: “Yes, it is undeniable that the Chávez Sotelos are two mercenaries, but focusing everything on them means ignoring the underlying problems.” “#LasBambas: let's kill the dog in the manger” is the editorial of @SEMANAeconomica. https://t.co/QLIILmTH7Y</v>
      </c>
      <c r="C473" s="2" t="s">
        <v>1121</v>
      </c>
      <c r="D473" s="1" t="s">
        <v>1122</v>
      </c>
    </row>
    <row r="474" spans="1:4" x14ac:dyDescent="0.15">
      <c r="A474" s="1" t="s">
        <v>1123</v>
      </c>
      <c r="B474" s="3" t="str">
        <f ca="1">IFERROR(__xludf.DUMMYFUNCTION("GOOGLETRANSLATE(B474,""es"",""en"")"),"RT @tema0902: I don't understand how @AlanGarciaPeru CRITICIZES THE GOVERNMENT, with what morals if it has crime, money laundering, delinquency, No reconstruction in Pisco, Narco Pardons, Massacre in the Frontón, El Baguazo, Dólar Muc, bribes from ODB, Pe"&amp;"troaudios. DO YOU LIKE TROLLING?
https://t.co/fWoMHDzIHG")</f>
        <v>RT @tema0902: I don't understand how @AlanGarciaPeru CRITICIZES THE GOVERNMENT, with what morals if it has crime, money laundering, delinquency, No reconstruction in Pisco, Narco Pardons, Massacre in the Frontón, El Baguazo, Dólar Muc, bribes from ODB, Petroaudios. DO YOU LIKE TROLLING?
https://t.co/fWoMHDzIHG</v>
      </c>
      <c r="C474" s="2" t="s">
        <v>1124</v>
      </c>
      <c r="D474" s="1" t="s">
        <v>1125</v>
      </c>
    </row>
    <row r="475" spans="1:4" x14ac:dyDescent="0.15">
      <c r="A475" s="1" t="s">
        <v>1126</v>
      </c>
      <c r="B475" s="3" t="str">
        <f ca="1">IFERROR(__xludf.DUMMYFUNCTION("GOOGLETRANSLATE(B475,""es"",""en"")"),"@romina_mella @IDL_R Mindless trolls by the PROSTITUTED press, by the degenerates and cowards of the IDL. Now, say something about the Bambas, about the faggots of Humalita and Vizcarriti.")</f>
        <v>@romina_mella @IDL_R Mindless trolls by the PROSTITUTED press, by the degenerates and cowards of the IDL. Now, say something about the Bambas, about the faggots of Humalita and Vizcarriti.</v>
      </c>
      <c r="C475" s="2" t="s">
        <v>1127</v>
      </c>
      <c r="D475" s="1" t="s">
        <v>1125</v>
      </c>
    </row>
    <row r="476" spans="1:4" x14ac:dyDescent="0.15">
      <c r="A476" s="1" t="s">
        <v>1128</v>
      </c>
      <c r="B476" s="3" t="str">
        <f ca="1">IFERROR(__xludf.DUMMYFUNCTION("GOOGLETRANSLATE(B476,""es"",""en"")"),"RT @_CarlitaRocha: Destructive journalism from @elcomercio_peru, for @gvillasis it is more “serious” that @YeniVilcatoma2 is carrying out inspection work, than the crisis in Las Bambas, than the anemia, than the growing crime. With this irresponsible jour"&amp;"nalism that misinforms we make no progress!! https://t.co/75hFOecMUP")</f>
        <v>RT @_CarlitaRocha: Destructive journalism from @elcomercio_peru, for @gvillasis it is more “serious” that @YeniVilcatoma2 is carrying out inspection work, than the crisis in Las Bambas, than the anemia, than the growing crime. With this irresponsible journalism that misinforms we make no progress!! https://t.co/75hFOecMUP</v>
      </c>
      <c r="C476" s="2" t="s">
        <v>1129</v>
      </c>
      <c r="D476" s="1" t="s">
        <v>1130</v>
      </c>
    </row>
    <row r="477" spans="1:4" x14ac:dyDescent="0.15">
      <c r="A477" s="1" t="s">
        <v>1131</v>
      </c>
      <c r="B477" s="3" t="str">
        <f ca="1">IFERROR(__xludf.DUMMYFUNCTION("GOOGLETRANSLATE(B477,""es"",""en"")"),"RT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477" s="2" t="s">
        <v>1132</v>
      </c>
      <c r="D477" s="1" t="s">
        <v>1133</v>
      </c>
    </row>
    <row r="478" spans="1:4" x14ac:dyDescent="0.15">
      <c r="A478" s="1" t="s">
        <v>1134</v>
      </c>
      <c r="B478" s="3" t="str">
        <f ca="1">IFERROR(__xludf.DUMMYFUNCTION("GOOGLETRANSLATE(B478,""es"",""en"")"),"Dr. Eduardo Dargent, professor at the Faculty of Social Sciences at PUCP and member of our research center, shares his impressions about the conflict in Fuerabamba.
https://t.co/ZENeskJxHb")</f>
        <v>Dr. Eduardo Dargent, professor at the Faculty of Social Sciences at PUCP and member of our research center, shares his impressions about the conflict in Fuerabamba.
https://t.co/ZENeskJxHb</v>
      </c>
      <c r="C478" s="2" t="s">
        <v>1135</v>
      </c>
      <c r="D478" s="1" t="s">
        <v>1136</v>
      </c>
    </row>
    <row r="479" spans="1:4" x14ac:dyDescent="0.15">
      <c r="A479" s="1" t="s">
        <v>1137</v>
      </c>
      <c r="B479" s="3" t="str">
        <f ca="1">IFERROR(__xludf.DUMMYFUNCTION("GOOGLETRANSLATE(B479,""es"",""en"")"),"#LasBambas The disagreements between the leaders of Fuerabamba and the authorities of Apurímac, the absence of dialogue and distrust towards the government are the main characteristics of the protest in Challhuahuacho against the Chinese mining company MM"&amp;"G. https://t.co/UCH9ljxxuZ")</f>
        <v>#LasBambas The disagreements between the leaders of Fuerabamba and the authorities of Apurímac, the absence of dialogue and distrust towards the government are the main characteristics of the protest in Challhuahuacho against the Chinese mining company MMG. https://t.co/UCH9ljxxuZ</v>
      </c>
      <c r="C479" s="2" t="s">
        <v>1138</v>
      </c>
      <c r="D479" s="1" t="s">
        <v>1136</v>
      </c>
    </row>
    <row r="480" spans="1:4" x14ac:dyDescent="0.15">
      <c r="A480" s="1" t="s">
        <v>1139</v>
      </c>
      <c r="B480" s="3" t="str">
        <f ca="1">IFERROR(__xludf.DUMMYFUNCTION("GOOGLETRANSLATE(B480,""es"",""en"")"),"@MilagrosLeivaG Tell your boss Alan to take care of them, he is worried about anemia now he should take care of the shoes there there must also be anemia")</f>
        <v>@MilagrosLeivaG Tell your boss Alan to take care of them, he is worried about anemia now he should take care of the shoes there there must also be anemia</v>
      </c>
      <c r="C480" s="2" t="s">
        <v>1140</v>
      </c>
      <c r="D480" s="1" t="s">
        <v>1141</v>
      </c>
    </row>
    <row r="481" spans="1:4" x14ac:dyDescent="0.15">
      <c r="A481" s="1" t="s">
        <v>1142</v>
      </c>
      <c r="B481" s="3" t="str">
        <f ca="1">IFERROR(__xludf.DUMMYFUNCTION("GOOGLETRANSLATE(B481,""es"",""en"")"),"RT @Ojo_Publico: #LasBambas The disagreements between the leaders of Fuerabamba and the authorities of Apurímac, the absence of dialogue and distrust of the government are the main characteristics of the protest in Challhuahuacho against the Chinese minin"&amp;"g company MMG. https://t.co/UCH9ljxxuZ")</f>
        <v>RT @Ojo_Publico: #LasBambas The disagreements between the leaders of Fuerabamba and the authorities of Apurímac, the absence of dialogue and distrust of the government are the main characteristics of the protest in Challhuahuacho against the Chinese mining company MMG. https://t.co/UCH9ljxxuZ</v>
      </c>
      <c r="C481" s="2" t="s">
        <v>1143</v>
      </c>
      <c r="D481" s="1" t="s">
        <v>1141</v>
      </c>
    </row>
    <row r="482" spans="1:4" x14ac:dyDescent="0.15">
      <c r="A482" s="1" t="s">
        <v>1144</v>
      </c>
      <c r="B482" s="3" t="str">
        <f ca="1">IFERROR(__xludf.DUMMYFUNCTION("GOOGLETRANSLATE(B482,""es"",""en"")"),"Between the scooter club that I just saw on my website, the advertising for the most beautiful sneakers in the world (which I can't buy) and my cold, I don't live today.  Really.")</f>
        <v>Between the scooter club that I just saw on my website, the advertising for the most beautiful sneakers in the world (which I can't buy) and my cold, I don't live today.  Really.</v>
      </c>
      <c r="C482" s="2" t="s">
        <v>1145</v>
      </c>
      <c r="D482" s="1" t="s">
        <v>1146</v>
      </c>
    </row>
    <row r="483" spans="1:4" x14ac:dyDescent="0.15">
      <c r="A483" s="1" t="s">
        <v>1147</v>
      </c>
      <c r="B483" s="3" t="str">
        <f ca="1">IFERROR(__xludf.DUMMYFUNCTION("GOOGLETRANSLATE(B483,""es"",""en"")"),"RT @_CarlitaRocha: Destructive journalism from @elcomercio_peru, for @gvillasis it is more “serious” that @YeniVilcatoma2 is carrying out inspection work, than the crisis in Las Bambas, than the anemia, than the growing crime. With this irresponsible jour"&amp;"nalism that misinforms we make no progress!! https://t.co/75hFOecMUP")</f>
        <v>RT @_CarlitaRocha: Destructive journalism from @elcomercio_peru, for @gvillasis it is more “serious” that @YeniVilcatoma2 is carrying out inspection work, than the crisis in Las Bambas, than the anemia, than the growing crime. With this irresponsible journalism that misinforms we make no progress!! https://t.co/75hFOecMUP</v>
      </c>
      <c r="C483" s="2" t="s">
        <v>1148</v>
      </c>
      <c r="D483" s="1" t="s">
        <v>1146</v>
      </c>
    </row>
    <row r="484" spans="1:4" x14ac:dyDescent="0.15">
      <c r="A484" s="1" t="s">
        <v>1149</v>
      </c>
      <c r="B484" s="3" t="str">
        <f ca="1">IFERROR(__xludf.DUMMYFUNCTION("GOOGLETRANSLATE(B484,""es"",""en"")"),"RT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484" s="2" t="s">
        <v>1150</v>
      </c>
      <c r="D484" s="1" t="s">
        <v>1151</v>
      </c>
    </row>
    <row r="485" spans="1:4" x14ac:dyDescent="0.15">
      <c r="A485" s="1" t="s">
        <v>1152</v>
      </c>
      <c r="B485" s="3" t="str">
        <f ca="1">IFERROR(__xludf.DUMMYFUNCTION("GOOGLETRANSLATE(B485,""es"",""en"")"),"RT @Ojo_Publico: #LasBambas The disagreements between the leaders of Fuerabamba and the authorities of Apurímac, the absence of dialogue and distrust of the government are the main characteristics of the protest in Challhuahuacho against the Chinese minin"&amp;"g company MMG. https://t.co/UCH9ljxxuZ")</f>
        <v>RT @Ojo_Publico: #LasBambas The disagreements between the leaders of Fuerabamba and the authorities of Apurímac, the absence of dialogue and distrust of the government are the main characteristics of the protest in Challhuahuacho against the Chinese mining company MMG. https://t.co/UCH9ljxxuZ</v>
      </c>
      <c r="C485" s="2" t="s">
        <v>1153</v>
      </c>
      <c r="D485" s="1" t="s">
        <v>1151</v>
      </c>
    </row>
    <row r="486" spans="1:4" x14ac:dyDescent="0.15">
      <c r="A486" s="1" t="s">
        <v>1154</v>
      </c>
      <c r="B486" s="3" t="str">
        <f ca="1">IFERROR(__xludf.DUMMYFUNCTION("GOOGLETRANSLATE(B486,""es"",""en"")"),"Why do you have legs like these sneakers? Kkkkk🤣")</f>
        <v>Why do you have legs like these sneakers? Kkkkk🤣</v>
      </c>
      <c r="C486" s="2" t="s">
        <v>1155</v>
      </c>
      <c r="D486" s="1" t="s">
        <v>1156</v>
      </c>
    </row>
    <row r="487" spans="1:4" x14ac:dyDescent="0.15">
      <c r="A487" s="1" t="s">
        <v>1157</v>
      </c>
      <c r="B487" s="3" t="str">
        <f ca="1">IFERROR(__xludf.DUMMYFUNCTION("GOOGLETRANSLATE(B487,""es"",""en"")"),"RT @agildemeisterrrh: And once again, the Catholic Church saving the Peruvian government's skin, intervening as a mediator this time in Las Bambas! At this rate... better that the Church govern or give it the Ministry of the Presidency! From Ripley!")</f>
        <v>RT @agildemeisterrrh: And once again, the Catholic Church saving the Peruvian government's skin, intervening as a mediator this time in Las Bambas! At this rate... better that the Church govern or give it the Ministry of the Presidency! From Ripley!</v>
      </c>
      <c r="C487" s="2" t="s">
        <v>1158</v>
      </c>
      <c r="D487" s="1" t="s">
        <v>1159</v>
      </c>
    </row>
    <row r="488" spans="1:4" x14ac:dyDescent="0.15">
      <c r="A488" s="1" t="s">
        <v>882</v>
      </c>
      <c r="B488" s="3" t="str">
        <f ca="1">IFERROR(__xludf.DUMMYFUNCTION("GOOGLETRANSLATE(B488,""es"",""en"")"),"RT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488" s="2" t="s">
        <v>1160</v>
      </c>
      <c r="D488" s="1" t="s">
        <v>1161</v>
      </c>
    </row>
    <row r="489" spans="1:4" x14ac:dyDescent="0.15">
      <c r="A489" s="1" t="s">
        <v>1162</v>
      </c>
      <c r="B489" s="3" t="str">
        <f ca="1">IFERROR(__xludf.DUMMYFUNCTION("GOOGLETRANSLATE(B489,""es"",""en"")"),"@congresoperu @sutranperu @Monterola11 The same thing all my life, looking for those responsible knowing who is responsible, never an initiative to put an end to these things. For years it was evident that it was a time bomb, it's a shame that it took 20 "&amp;"lives, but like the Bambas, no one puts order and a group gets rich.")</f>
        <v>@congresoperu @sutranperu @Monterola11 The same thing all my life, looking for those responsible knowing who is responsible, never an initiative to put an end to these things. For years it was evident that it was a time bomb, it's a shame that it took 20 lives, but like the Bambas, no one puts order and a group gets rich.</v>
      </c>
      <c r="C489" s="2" t="s">
        <v>1163</v>
      </c>
      <c r="D489" s="1" t="s">
        <v>1164</v>
      </c>
    </row>
    <row r="490" spans="1:4" x14ac:dyDescent="0.15">
      <c r="A490" s="1" t="s">
        <v>1165</v>
      </c>
      <c r="B490" s="3" t="str">
        <f ca="1">IFERROR(__xludf.DUMMYFUNCTION("GOOGLETRANSLATE(B490,""es"",""en"")"),"RT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490" s="2" t="s">
        <v>1166</v>
      </c>
      <c r="D490" s="1" t="s">
        <v>1164</v>
      </c>
    </row>
    <row r="491" spans="1:4" x14ac:dyDescent="0.15">
      <c r="A491" s="1" t="s">
        <v>1065</v>
      </c>
      <c r="B491" s="3" t="str">
        <f ca="1">IFERROR(__xludf.DUMMYFUNCTION("GOOGLETRANSLATE(B491,""es"",""en"")"),"RT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491" s="2" t="s">
        <v>1167</v>
      </c>
      <c r="D491" s="1" t="s">
        <v>1164</v>
      </c>
    </row>
    <row r="492" spans="1:4" x14ac:dyDescent="0.15">
      <c r="A492" s="1" t="s">
        <v>1168</v>
      </c>
      <c r="B492" s="3" t="str">
        <f ca="1">IFERROR(__xludf.DUMMYFUNCTION("GOOGLETRANSLATE(B492,""es"",""en"")"),"RT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492" s="2" t="s">
        <v>1169</v>
      </c>
      <c r="D492" s="1" t="s">
        <v>1170</v>
      </c>
    </row>
    <row r="493" spans="1:4" x14ac:dyDescent="0.15">
      <c r="A493" s="1" t="s">
        <v>1165</v>
      </c>
      <c r="B493" s="3" t="str">
        <f ca="1">IFERROR(__xludf.DUMMYFUNCTION("GOOGLETRANSLATE(B493,""es"",""en"")"),"RT @pruperu: How many of us would be freed if we drunks ran over police officers?
That “we are all equal before the law” is a simple saying that has nothing to do with reality https://t.co/1r2itujVVi")</f>
        <v>RT @pruperu: How many of us would be freed if we drunks ran over police officers?
That “we are all equal before the law” is a simple saying that has nothing to do with reality https://t.co/1r2itujVVi</v>
      </c>
      <c r="C493" s="2" t="s">
        <v>1171</v>
      </c>
      <c r="D493" s="1" t="s">
        <v>1170</v>
      </c>
    </row>
    <row r="494" spans="1:4" x14ac:dyDescent="0.15">
      <c r="A494" s="1" t="s">
        <v>1172</v>
      </c>
      <c r="B494" s="3" t="str">
        <f ca="1">IFERROR(__xludf.DUMMYFUNCTION("GOOGLETRANSLATE(B494,""es"",""en"")"),"RT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494" s="2" t="s">
        <v>1173</v>
      </c>
      <c r="D494" s="1" t="s">
        <v>1170</v>
      </c>
    </row>
    <row r="495" spans="1:4" x14ac:dyDescent="0.15">
      <c r="A495" s="1" t="s">
        <v>1174</v>
      </c>
      <c r="B495" s="3" t="str">
        <f ca="1">IFERROR(__xludf.DUMMYFUNCTION("GOOGLETRANSLATE(B495,""es"",""en"")"),"RT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495" s="2" t="s">
        <v>1175</v>
      </c>
      <c r="D495" s="1" t="s">
        <v>1176</v>
      </c>
    </row>
    <row r="496" spans="1:4" x14ac:dyDescent="0.15">
      <c r="A496" s="1" t="s">
        <v>1177</v>
      </c>
      <c r="B496" s="3" t="str">
        <f ca="1">IFERROR(__xludf.DUMMYFUNCTION("GOOGLETRANSLATE(B496,""es"",""en"")"),"#POLITICS|| The premier mentioned that he will lift the state of emergency if the community members unblock the road.
https://t.co/1wSij8bpoj")</f>
        <v>#POLITICS|| The premier mentioned that he will lift the state of emergency if the community members unblock the road.
https://t.co/1wSij8bpoj</v>
      </c>
      <c r="C496" s="2" t="s">
        <v>1178</v>
      </c>
      <c r="D496" s="1" t="s">
        <v>1176</v>
      </c>
    </row>
    <row r="497" spans="1:4" x14ac:dyDescent="0.15">
      <c r="A497" s="1" t="s">
        <v>1179</v>
      </c>
      <c r="B497" s="3" t="str">
        <f ca="1">IFERROR(__xludf.DUMMYFUNCTION("GOOGLETRANSLATE(B497,""es"",""en"")"),"#POLITICS|| The premier mentioned that he will lift the state of emergency if the community members unblock the road.
https://t.co/N1PLV8EPQX")</f>
        <v>#POLITICS|| The premier mentioned that he will lift the state of emergency if the community members unblock the road.
https://t.co/N1PLV8EPQX</v>
      </c>
      <c r="C497" s="2" t="s">
        <v>1180</v>
      </c>
      <c r="D497" s="1" t="s">
        <v>1176</v>
      </c>
    </row>
    <row r="498" spans="1:4" x14ac:dyDescent="0.15">
      <c r="A498" s="1" t="s">
        <v>1075</v>
      </c>
      <c r="B498" s="3" t="str">
        <f ca="1">IFERROR(__xludf.DUMMYFUNCTION("GOOGLETRANSLATE(B498,""es"",""en"")"),"RT @radio_santarosa: #POLITICS|| The premier mentioned that he will lift the state of emergency if the community members unblock the road.
https://t.co/1wSij8bpoj")</f>
        <v>RT @radio_santarosa: #POLITICS|| The premier mentioned that he will lift the state of emergency if the community members unblock the road.
https://t.co/1wSij8bpoj</v>
      </c>
      <c r="C498" s="2" t="s">
        <v>1181</v>
      </c>
      <c r="D498" s="1" t="s">
        <v>1176</v>
      </c>
    </row>
    <row r="499" spans="1:4" x14ac:dyDescent="0.15">
      <c r="A499" s="1" t="s">
        <v>710</v>
      </c>
      <c r="B499" s="3" t="str">
        <f ca="1">IFERROR(__xludf.DUMMYFUNCTION("GOOGLETRANSLATE(B499,""es"",""en"")"),"José de Echave: “A community is not a criminal organization” | https://t.co/s0W5oSBLxA via @elcomercio_peru")</f>
        <v>José de Echave: “A community is not a criminal organization” | https://t.co/s0W5oSBLxA via @elcomercio_peru</v>
      </c>
      <c r="C499" s="2" t="s">
        <v>1182</v>
      </c>
      <c r="D499" s="1" t="s">
        <v>1183</v>
      </c>
    </row>
    <row r="500" spans="1:4" x14ac:dyDescent="0.15">
      <c r="A500" s="1" t="s">
        <v>1184</v>
      </c>
      <c r="B500" s="3" t="str">
        <f ca="1">IFERROR(__xludf.DUMMYFUNCTION("GOOGLETRANSLATE(B500,""es"",""en"")"),"I'm addicted to sneakers. they have all my money")</f>
        <v>I'm addicted to sneakers. they have all my money</v>
      </c>
      <c r="C500" s="2" t="s">
        <v>1185</v>
      </c>
      <c r="D500" s="1" t="s">
        <v>1183</v>
      </c>
    </row>
    <row r="501" spans="1:4" x14ac:dyDescent="0.15">
      <c r="A501" s="1" t="s">
        <v>1186</v>
      </c>
      <c r="B501" s="3" t="str">
        <f ca="1">IFERROR(__xludf.DUMMYFUNCTION("GOOGLETRANSLATE(B501,""es"",""en"")"),"RT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501" s="2" t="s">
        <v>1187</v>
      </c>
      <c r="D501" s="1" t="s">
        <v>1188</v>
      </c>
    </row>
    <row r="502" spans="1:4" x14ac:dyDescent="0.15">
      <c r="A502" s="1" t="s">
        <v>1189</v>
      </c>
      <c r="B502" s="3" t="str">
        <f ca="1">IFERROR(__xludf.DUMMYFUNCTION("GOOGLETRANSLATE(B502,""es"",""en"")"),"#MEF #Bambas #Canon 
https://t.co/pKcryGramU")</f>
        <v>#MEF #Bambas #Canon 
https://t.co/pKcryGramU</v>
      </c>
      <c r="C502" s="2" t="s">
        <v>1190</v>
      </c>
      <c r="D502" s="1" t="s">
        <v>1191</v>
      </c>
    </row>
    <row r="503" spans="1:4" x14ac:dyDescent="0.15">
      <c r="A503" s="1" t="s">
        <v>1189</v>
      </c>
      <c r="B503" s="3" t="str">
        <f ca="1">IFERROR(__xludf.DUMMYFUNCTION("GOOGLETRANSLATE(B503,""es"",""en"")"),"#GDP #Mining 
https://t.co/tOkZ1YTmDY")</f>
        <v>#GDP #Mining 
https://t.co/tOkZ1YTmDY</v>
      </c>
      <c r="C503" s="2" t="s">
        <v>1192</v>
      </c>
      <c r="D503" s="1" t="s">
        <v>1191</v>
      </c>
    </row>
    <row r="504" spans="1:4" x14ac:dyDescent="0.15">
      <c r="A504" s="1" t="s">
        <v>1193</v>
      </c>
      <c r="B504" s="3" t="str">
        <f ca="1">IFERROR(__xludf.DUMMYFUNCTION("GOOGLETRANSLATE(B504,""es"",""en"")"),"RT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504" s="2" t="s">
        <v>1194</v>
      </c>
      <c r="D504" s="1" t="s">
        <v>1195</v>
      </c>
    </row>
    <row r="505" spans="1:4" x14ac:dyDescent="0.15">
      <c r="A505" s="1" t="s">
        <v>1196</v>
      </c>
      <c r="B505" s="3" t="str">
        <f ca="1">IFERROR(__xludf.DUMMYFUNCTION("GOOGLETRANSLATE(B505,""es"",""en"")"),"RT @veritatisperu: What is the height of caviar?
May a Catholic bishop solve the crisis in Las Bambas for you
🤣")</f>
        <v>RT @veritatisperu: What is the height of caviar?
May a Catholic bishop solve the crisis in Las Bambas for you
🤣</v>
      </c>
      <c r="C505" s="2" t="s">
        <v>1197</v>
      </c>
      <c r="D505" s="1" t="s">
        <v>1195</v>
      </c>
    </row>
    <row r="506" spans="1:4" x14ac:dyDescent="0.15">
      <c r="A506" s="1" t="s">
        <v>1198</v>
      </c>
      <c r="B506" s="3" t="str">
        <f ca="1">IFERROR(__xludf.DUMMYFUNCTION("GOOGLETRANSLATE(B506,""es"",""en"")"),"RT @ HacerPeruPe: ""We would have to incorporate a Ministry of Economy dedicated exclusively to promoting territorial development. And a minister with the political responsibility of responding to said process."" David Rivera's new column in HacePerú http"&amp;"s://t.co/BT0RZWlA5h")</f>
        <v>RT @ HacerPeruPe: "We would have to incorporate a Ministry of Economy dedicated exclusively to promoting territorial development. And a minister with the political responsibility of responding to said process." David Rivera's new column in HacePerú https://t.co/BT0RZWlA5h</v>
      </c>
      <c r="C506" s="2" t="s">
        <v>1199</v>
      </c>
      <c r="D506" s="1" t="s">
        <v>1200</v>
      </c>
    </row>
    <row r="507" spans="1:4" x14ac:dyDescent="0.15">
      <c r="A507" s="1" t="s">
        <v>1201</v>
      </c>
      <c r="B507" s="3" t="str">
        <f ca="1">IFERROR(__xludf.DUMMYFUNCTION("GOOGLETRANSLATE(B507,""es"",""en"")"),"@Politica_LR The congressmen in the style of #LasBambas, after all, everything comes from our taxes because the congressmen, the judge and the community members of Las Bambas, it is not enough for them, ""they are chihuan"" and the rest of us pays them fo"&amp;"r their orders .")</f>
        <v>@Politica_LR The congressmen in the style of #LasBambas, after all, everything comes from our taxes because the congressmen, the judge and the community members of Las Bambas, it is not enough for them, "they are chihuan" and the rest of us pays them for their orders .</v>
      </c>
      <c r="C507" s="2" t="s">
        <v>1202</v>
      </c>
      <c r="D507" s="1" t="s">
        <v>1200</v>
      </c>
    </row>
    <row r="508" spans="1:4" x14ac:dyDescent="0.15">
      <c r="A508" s="1" t="s">
        <v>1203</v>
      </c>
      <c r="B508" s="3" t="str">
        <f ca="1">IFERROR(__xludf.DUMMYFUNCTION("GOOGLETRANSLATE(B508,""es"",""en"")"),"RT @ HacerPeruPe: ""We would have to incorporate a Ministry of Economy dedicated exclusively to promoting territorial development. And a minister with the political responsibility of responding to said process."" David Rivera's new column in HacePerú http"&amp;"s://t.co/BT0RZWlA5h")</f>
        <v>RT @ HacerPeruPe: "We would have to incorporate a Ministry of Economy dedicated exclusively to promoting territorial development. And a minister with the political responsibility of responding to said process." David Rivera's new column in HacePerú https://t.co/BT0RZWlA5h</v>
      </c>
      <c r="C508" s="2" t="s">
        <v>1204</v>
      </c>
      <c r="D508" s="1" t="s">
        <v>1200</v>
      </c>
    </row>
    <row r="509" spans="1:4" x14ac:dyDescent="0.15">
      <c r="A509" s="1" t="s">
        <v>1205</v>
      </c>
      <c r="B509" s="3" t="str">
        <f ca="1">IFERROR(__xludf.DUMMYFUNCTION("GOOGLETRANSLATE(B509,""es"",""en"")"),"Bambas, the solution: with 40 million soles, says Rojas. https://t.co/eP3ptbUn0e")</f>
        <v>Bambas, the solution: with 40 million soles, says Rojas. https://t.co/eP3ptbUn0e</v>
      </c>
      <c r="C509" s="2" t="s">
        <v>1206</v>
      </c>
      <c r="D509" s="1" t="s">
        <v>1200</v>
      </c>
    </row>
    <row r="510" spans="1:4" x14ac:dyDescent="0.15">
      <c r="A510" s="1" t="s">
        <v>1207</v>
      </c>
      <c r="B510" s="3" t="str">
        <f ca="1">IFERROR(__xludf.DUMMYFUNCTION("GOOGLETRANSLATE(B510,""es"",""en"")"),"RT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510" s="2" t="s">
        <v>1208</v>
      </c>
      <c r="D510" s="1" t="s">
        <v>1209</v>
      </c>
    </row>
    <row r="511" spans="1:4" x14ac:dyDescent="0.15">
      <c r="A511" s="1" t="s">
        <v>1210</v>
      </c>
      <c r="B511" s="3" t="str">
        <f ca="1">IFERROR(__xludf.DUMMYFUNCTION("GOOGLETRANSLATE(B511,""es"",""en"")"),"RT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511" s="2" t="s">
        <v>1211</v>
      </c>
      <c r="D511" s="1" t="s">
        <v>1212</v>
      </c>
    </row>
    <row r="512" spans="1:4" x14ac:dyDescent="0.15">
      <c r="A512" s="1" t="s">
        <v>1213</v>
      </c>
      <c r="B512" s="3" t="str">
        <f ca="1">IFERROR(__xludf.DUMMYFUNCTION("GOOGLETRANSLATE(B512,""es"",""en"")"),"Government will pay up to S/ 350 million to overcome conflict in Las Bambas https://t.co/aZukeLub6d via @PanamericanaTV")</f>
        <v>Government will pay up to S/ 350 million to overcome conflict in Las Bambas https://t.co/aZukeLub6d via @PanamericanaTV</v>
      </c>
      <c r="C512" s="2" t="s">
        <v>1214</v>
      </c>
      <c r="D512" s="1" t="s">
        <v>1215</v>
      </c>
    </row>
    <row r="513" spans="1:4" x14ac:dyDescent="0.15">
      <c r="A513" s="1" t="s">
        <v>1216</v>
      </c>
      <c r="B513" s="3" t="str">
        <f ca="1">IFERROR(__xludf.DUMMYFUNCTION("GOOGLETRANSLATE(B513,""es"",""en"")"),"RT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513" s="2" t="s">
        <v>1217</v>
      </c>
      <c r="D513" s="1" t="s">
        <v>1218</v>
      </c>
    </row>
    <row r="514" spans="1:4" x14ac:dyDescent="0.15">
      <c r="A514" s="1" t="s">
        <v>795</v>
      </c>
      <c r="B514" s="3" t="str">
        <f ca="1">IFERROR(__xludf.DUMMYFUNCTION("GOOGLETRANSLATE(B514,""es"",""en"")"),"RT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514" s="2" t="s">
        <v>1219</v>
      </c>
      <c r="D514" s="1" t="s">
        <v>1220</v>
      </c>
    </row>
    <row r="515" spans="1:4" x14ac:dyDescent="0.15">
      <c r="A515" s="1" t="s">
        <v>1221</v>
      </c>
      <c r="B515" s="3" t="str">
        <f ca="1">IFERROR(__xludf.DUMMYFUNCTION("GOOGLETRANSLATE(B515,""es"",""en"")"),"Sin Pauta: Is it possible to resolve the conflict in Las Bambas? https://t.co/jyvU4PPuUy via @YouTube")</f>
        <v>Sin Pauta: Is it possible to resolve the conflict in Las Bambas? https://t.co/jyvU4PPuUy via @YouTube</v>
      </c>
      <c r="C515" s="2" t="s">
        <v>1222</v>
      </c>
      <c r="D515" s="1" t="s">
        <v>1220</v>
      </c>
    </row>
    <row r="516" spans="1:4" x14ac:dyDescent="0.15">
      <c r="A516" s="1" t="s">
        <v>1223</v>
      </c>
      <c r="B516" s="3" t="str">
        <f ca="1">IFERROR(__xludf.DUMMYFUNCTION("GOOGLETRANSLATE(B516,""es"",""en"")"),"RT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516" s="2" t="s">
        <v>1224</v>
      </c>
      <c r="D516" s="1" t="s">
        <v>1220</v>
      </c>
    </row>
    <row r="517" spans="1:4" x14ac:dyDescent="0.15">
      <c r="A517" s="1" t="s">
        <v>1225</v>
      </c>
      <c r="B517" s="3" t="str">
        <f ca="1">IFERROR(__xludf.DUMMYFUNCTION("GOOGLETRANSLATE(B517,""es"",""en"")"),"RT @PasquinDeM: Peru is falling apart: There is no reconstruction in the north, sneakers are in emergency, there is no employment, crime is increasing!
And what is the President thinking about? In playing tennis? Go to the stadium? or a visit to the King?"&amp;" 
VIZCARRA GET TO WORK FOR PERUVIANS ONCE AND FOR ALL!!! https://t.co/mPC25VesiY")</f>
        <v>RT @PasquinDeM: Peru is falling apart: There is no reconstruction in the north, sneakers are in emergency, there is no employment, crime is increasing!
And what is the President thinking about? In playing tennis? Go to the stadium? or a visit to the King? 
VIZCARRA GET TO WORK FOR PERUVIANS ONCE AND FOR ALL!!! https://t.co/mPC25VesiY</v>
      </c>
      <c r="C517" s="2" t="s">
        <v>1226</v>
      </c>
      <c r="D517" s="1" t="s">
        <v>1227</v>
      </c>
    </row>
    <row r="518" spans="1:4" x14ac:dyDescent="0.15">
      <c r="A518" s="1" t="s">
        <v>1228</v>
      </c>
      <c r="B518" s="3" t="str">
        <f ca="1">IFERROR(__xludf.DUMMYFUNCTION("GOOGLETRANSLATE(B518,""es"",""en"")"),"RT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518" s="2" t="s">
        <v>1229</v>
      </c>
      <c r="D518" s="1" t="s">
        <v>1230</v>
      </c>
    </row>
    <row r="519" spans="1:4" x14ac:dyDescent="0.15">
      <c r="A519" s="1" t="s">
        <v>1231</v>
      </c>
      <c r="B519" s="3" t="str">
        <f ca="1">IFERROR(__xludf.DUMMYFUNCTION("GOOGLETRANSLATE(B519,""es"",""en"")"),"@MilagrosLeivaG But Milagros, that is not from now, that is from years ago, you only realized because of the problem of the sneakers, just before you looked and cried for Venezuelans because they were fashionable and now because of the road blockade you r"&amp;"ealize about the children poor and it is not only in that place")</f>
        <v>@MilagrosLeivaG But Milagros, that is not from now, that is from years ago, you only realized because of the problem of the sneakers, just before you looked and cried for Venezuelans because they were fashionable and now because of the road blockade you realize about the children poor and it is not only in that place</v>
      </c>
      <c r="C519" s="2" t="s">
        <v>1232</v>
      </c>
      <c r="D519" s="1" t="s">
        <v>1230</v>
      </c>
    </row>
    <row r="520" spans="1:4" x14ac:dyDescent="0.15">
      <c r="A520" s="1" t="s">
        <v>1233</v>
      </c>
      <c r="B520" s="3" t="str">
        <f ca="1">IFERROR(__xludf.DUMMYFUNCTION("GOOGLETRANSLATE(B520,""es"",""en"")"),"here on Facebook - there are many people who have a wrong opinion on the topic of BAMBAS 
 I invite you to watch this video - it tells the truth how this problem occurred 
https://t.co/nJEBcUQ0Rp https://t.co/nJEBcUQ0Rp")</f>
        <v>here on Facebook - there are many people who have a wrong opinion on the topic of BAMBAS 
 I invite you to watch this video - it tells the truth how this problem occurred 
https://t.co/nJEBcUQ0Rp https://t.co/nJEBcUQ0Rp</v>
      </c>
      <c r="C520" s="2" t="s">
        <v>1234</v>
      </c>
      <c r="D520" s="1" t="s">
        <v>1230</v>
      </c>
    </row>
    <row r="521" spans="1:4" x14ac:dyDescent="0.15">
      <c r="A521" s="1" t="s">
        <v>710</v>
      </c>
      <c r="B521" s="3" t="str">
        <f ca="1">IFERROR(__xludf.DUMMYFUNCTION("GOOGLETRANSLATE(B521,""es"",""en"")"),"Del Solar and Rojas begin dialogue for Las Bambas | https://t.co/VNNGsAPQcK")</f>
        <v>Del Solar and Rojas begin dialogue for Las Bambas | https://t.co/VNNGsAPQcK</v>
      </c>
      <c r="C521" s="2" t="s">
        <v>1235</v>
      </c>
      <c r="D521" s="1" t="s">
        <v>1230</v>
      </c>
    </row>
    <row r="522" spans="1:4" x14ac:dyDescent="0.15">
      <c r="A522" s="1" t="s">
        <v>1236</v>
      </c>
      <c r="B522" s="3" t="str">
        <f ca="1">IFERROR(__xludf.DUMMYFUNCTION("GOOGLETRANSLATE(B522,""es"",""en"")"),"RT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522" s="2" t="s">
        <v>1237</v>
      </c>
      <c r="D522" s="1" t="s">
        <v>1238</v>
      </c>
    </row>
    <row r="523" spans="1:4" x14ac:dyDescent="0.15">
      <c r="A523" s="1" t="s">
        <v>710</v>
      </c>
      <c r="B523" s="3" t="str">
        <f ca="1">IFERROR(__xludf.DUMMYFUNCTION("GOOGLETRANSLATE(B523,""es"",""en"")"),"Deutliche Worte von David Rivera: A State for Las Bambas | https://t.co/9i4q1ih1fb")</f>
        <v>Deutliche Worte von David Rivera: A State for Las Bambas | https://t.co/9i4q1ih1fb</v>
      </c>
      <c r="C523" s="2" t="s">
        <v>1239</v>
      </c>
      <c r="D523" s="1" t="s">
        <v>1238</v>
      </c>
    </row>
    <row r="524" spans="1:4" x14ac:dyDescent="0.15">
      <c r="A524" s="1" t="s">
        <v>748</v>
      </c>
      <c r="B524" s="3" t="str">
        <f ca="1">IFERROR(__xludf.DUMMYFUNCTION("GOOGLETRANSLATE(B524,""es"",""en"")"),"RT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524" s="2" t="s">
        <v>1240</v>
      </c>
      <c r="D524" s="1" t="s">
        <v>1241</v>
      </c>
    </row>
    <row r="525" spans="1:4" x14ac:dyDescent="0.15">
      <c r="A525" s="1" t="s">
        <v>388</v>
      </c>
      <c r="B525" s="3" t="str">
        <f ca="1">IFERROR(__xludf.DUMMYFUNCTION("GOOGLETRANSLATE(B525,""es"",""en"")"),"RT @conf_episcopal: Prime Minister Del Solar, Monsignor Cabrejos, Gregorio Rojas and the Ombudsman held a dialogue on the #LasBambas conflict https://t.co/bpn4t66xNn")</f>
        <v>RT @conf_episcopal: Prime Minister Del Solar, Monsignor Cabrejos, Gregorio Rojas and the Ombudsman held a dialogue on the #LasBambas conflict https://t.co/bpn4t66xNn</v>
      </c>
      <c r="C525" s="2" t="s">
        <v>1242</v>
      </c>
      <c r="D525" s="1" t="s">
        <v>1241</v>
      </c>
    </row>
    <row r="526" spans="1:4" x14ac:dyDescent="0.15">
      <c r="A526" s="1" t="s">
        <v>1243</v>
      </c>
      <c r="B526" s="3" t="str">
        <f ca="1">IFERROR(__xludf.DUMMYFUNCTION("GOOGLETRANSLATE(B526,""es"",""en"")"),"The strike continues in Challhuahuacho against the Las Bambas mining company.
#CitizenReporter")</f>
        <v>The strike continues in Challhuahuacho against the Las Bambas mining company.
#CitizenReporter</v>
      </c>
      <c r="C526" s="2" t="s">
        <v>1244</v>
      </c>
      <c r="D526" s="1" t="s">
        <v>1241</v>
      </c>
    </row>
    <row r="527" spans="1:4" x14ac:dyDescent="0.15">
      <c r="A527" s="1" t="s">
        <v>1213</v>
      </c>
      <c r="B527" s="3" t="str">
        <f ca="1">IFERROR(__xludf.DUMMYFUNCTION("GOOGLETRANSLATE(B527,""es"",""en"")"),"RT @aleskrause: If you are looking to understand the origin of the conflict in Las Bambas, I suggest you read this article by Madeleine Osterling. Very clear.  https://t.co/SBywlaZCe8")</f>
        <v>RT @aleskrause: If you are looking to understand the origin of the conflict in Las Bambas, I suggest you read this article by Madeleine Osterling. Very clear.  https://t.co/SBywlaZCe8</v>
      </c>
      <c r="C527" s="2" t="s">
        <v>1245</v>
      </c>
      <c r="D527" s="1" t="s">
        <v>1246</v>
      </c>
    </row>
    <row r="528" spans="1:4" x14ac:dyDescent="0.15">
      <c r="A528" s="1" t="s">
        <v>1247</v>
      </c>
      <c r="B528" s="3" t="str">
        <f ca="1">IFERROR(__xludf.DUMMYFUNCTION("GOOGLETRANSLATE(B528,""es"",""en"")"),"@NBA2K_MyTEAM @DetroitPistons So glad I opened 2 10 packs to get 1 Reggie Theus and and 5 Mo Bambas and ALL DUPLICATE PLAYER CARDS")</f>
        <v>@NBA2K_MyTEAM @DetroitPistons So glad I opened 2 10 packs to get 1 Reggie Theus and and 5 Mo Bambas and ALL DUPLICATE PLAYER CARDS</v>
      </c>
      <c r="C528" s="2" t="s">
        <v>1248</v>
      </c>
      <c r="D528" s="1" t="s">
        <v>1249</v>
      </c>
    </row>
    <row r="529" spans="1:4" x14ac:dyDescent="0.15">
      <c r="A529" s="1" t="s">
        <v>1250</v>
      </c>
      <c r="B529" s="3" t="str">
        <f ca="1">IFERROR(__xludf.DUMMYFUNCTION("GOOGLETRANSLATE(B529,""es"",""en"")"),"RT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529" s="2" t="s">
        <v>1251</v>
      </c>
      <c r="D529" s="1" t="s">
        <v>1249</v>
      </c>
    </row>
    <row r="530" spans="1:4" x14ac:dyDescent="0.15">
      <c r="A530" s="1" t="s">
        <v>1252</v>
      </c>
      <c r="B530" s="3" t="str">
        <f ca="1">IFERROR(__xludf.DUMMYFUNCTION("GOOGLETRANSLATE(B530,""es"",""en"")"),"RT @Humbertolaechea: @yturbe_ @pamelacarrdi1 Report demonstrates corruption with receipt of fees; clientele of all that scourge of progress and caviar, which climbs every government, is the reason why we have a stupid government; well @RosanaCuevaM clarif"&amp;"y that #Fuzzo of Digital Government, has nothing to do with thieves of black consultancies")</f>
        <v>RT @Humbertolaechea: @yturbe_ @pamelacarrdi1 Report demonstrates corruption with receipt of fees; clientele of all that scourge of progress and caviar, which climbs every government, is the reason why we have a stupid government; well @RosanaCuevaM clarify that #Fuzzo of Digital Government, has nothing to do with thieves of black consultancies</v>
      </c>
      <c r="C530" s="2" t="s">
        <v>1253</v>
      </c>
      <c r="D530" s="1" t="s">
        <v>1254</v>
      </c>
    </row>
    <row r="531" spans="1:4" x14ac:dyDescent="0.15">
      <c r="A531" s="1" t="s">
        <v>1255</v>
      </c>
      <c r="B531" s="3" t="str">
        <f ca="1">IFERROR(__xludf.DUMMYFUNCTION("GOOGLETRANSLATE(B531,""es"",""en"")"),"RT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531" s="2" t="s">
        <v>1256</v>
      </c>
      <c r="D531" s="1" t="s">
        <v>1257</v>
      </c>
    </row>
    <row r="532" spans="1:4" x14ac:dyDescent="0.15">
      <c r="A532" s="1" t="s">
        <v>1258</v>
      </c>
      <c r="B532" s="3" t="str">
        <f ca="1">IFERROR(__xludf.DUMMYFUNCTION("GOOGLETRANSLATE(B532,""es"",""en"")"),"RT @AlfredoMTorres: What's new about Las Bambas is that the Police did intelligence work that detected the extortion and the Prosecutor's Office has acted. It must be clear that blocking roads and extortion are crimes with legal consequences. https://t.co"&amp;"/YIdKntz3RG via @elcomercio_peru")</f>
        <v>RT @AlfredoMTorres: What's new about Las Bambas is that the Police did intelligence work that detected the extortion and the Prosecutor's Office has acted. It must be clear that blocking roads and extortion are crimes with legal consequences. https://t.co/YIdKntz3RG via @elcomercio_peru</v>
      </c>
      <c r="C532" s="2" t="s">
        <v>1259</v>
      </c>
      <c r="D532" s="1" t="s">
        <v>1257</v>
      </c>
    </row>
    <row r="533" spans="1:4" x14ac:dyDescent="0.15">
      <c r="A533" s="1" t="s">
        <v>1260</v>
      </c>
      <c r="B533" s="3" t="str">
        <f ca="1">IFERROR(__xludf.DUMMYFUNCTION("GOOGLETRANSLATE(B533,""es"",""en"")"),"Las Bambas: Government and companies must assume their responsibility - https://t.co/IyugyOrlLP")</f>
        <v>Las Bambas: Government and companies must assume their responsibility - https://t.co/IyugyOrlLP</v>
      </c>
      <c r="C533" s="2" t="s">
        <v>1261</v>
      </c>
      <c r="D533" s="1" t="s">
        <v>1257</v>
      </c>
    </row>
    <row r="534" spans="1:4" x14ac:dyDescent="0.15">
      <c r="A534" s="1" t="s">
        <v>1262</v>
      </c>
      <c r="B534" s="3" t="str">
        <f ca="1">IFERROR(__xludf.DUMMYFUNCTION("GOOGLETRANSLATE(B534,""es"",""en"")"),"RT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534" s="2" t="s">
        <v>1263</v>
      </c>
      <c r="D534" s="1" t="s">
        <v>1264</v>
      </c>
    </row>
    <row r="535" spans="1:4" x14ac:dyDescent="0.15">
      <c r="A535" s="1" t="s">
        <v>1265</v>
      </c>
      <c r="B535" s="3" t="str">
        <f ca="1">IFERROR(__xludf.DUMMYFUNCTION("GOOGLETRANSLATE(B535,""es"",""en"")"),"RT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535" s="2" t="s">
        <v>1266</v>
      </c>
      <c r="D535" s="1" t="s">
        <v>1264</v>
      </c>
    </row>
    <row r="536" spans="1:4" x14ac:dyDescent="0.15">
      <c r="A536" s="1" t="s">
        <v>1267</v>
      </c>
      <c r="B536" s="3" t="str">
        <f ca="1">IFERROR(__xludf.DUMMYFUNCTION("GOOGLETRANSLATE(B536,""es"",""en"")"),"RT @davidreyesz: “Yes, it is undeniable that the Chávez Sotelos are two mercenaries, but focusing everything on them means ignoring the underlying problems.” “#LasBambas: let's kill the dog in the manger” is the editorial of @SEMANAeconomica. https://t.co"&amp;"/QLIILmTH7Y")</f>
        <v>RT @davidreyesz: “Yes, it is undeniable that the Chávez Sotelos are two mercenaries, but focusing everything on them means ignoring the underlying problems.” “#LasBambas: let's kill the dog in the manger” is the editorial of @SEMANAeconomica. https://t.co/QLIILmTH7Y</v>
      </c>
      <c r="C536" s="2" t="s">
        <v>1268</v>
      </c>
      <c r="D536" s="1" t="s">
        <v>1269</v>
      </c>
    </row>
    <row r="537" spans="1:4" x14ac:dyDescent="0.15">
      <c r="A537" s="1" t="s">
        <v>1270</v>
      </c>
      <c r="B537" s="3" t="str">
        <f ca="1">IFERROR(__xludf.DUMMYFUNCTION("GOOGLETRANSLATE(B537,""es"",""en"")"),"RT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537" s="2" t="s">
        <v>1271</v>
      </c>
      <c r="D537" s="1" t="s">
        <v>1269</v>
      </c>
    </row>
    <row r="538" spans="1:4" x14ac:dyDescent="0.15">
      <c r="A538" s="1" t="s">
        <v>1272</v>
      </c>
      <c r="B538" s="3" t="str">
        <f ca="1">IFERROR(__xludf.DUMMYFUNCTION("GOOGLETRANSLATE(B538,""es"",""en"")"),"RT @agildemeisterrrh: And once again, the Catholic Church saving the Peruvian government's skin, intervening as a mediator this time in Las Bambas! At this rate... better that the Church govern or give it the Ministry of the Presidency! From Ripley!")</f>
        <v>RT @agildemeisterrrh: And once again, the Catholic Church saving the Peruvian government's skin, intervening as a mediator this time in Las Bambas! At this rate... better that the Church govern or give it the Ministry of the Presidency! From Ripley!</v>
      </c>
      <c r="C538" s="2" t="s">
        <v>1273</v>
      </c>
      <c r="D538" s="1" t="s">
        <v>1274</v>
      </c>
    </row>
    <row r="539" spans="1:4" x14ac:dyDescent="0.15">
      <c r="A539" s="1" t="s">
        <v>1275</v>
      </c>
      <c r="B539" s="3" t="str">
        <f ca="1">IFERROR(__xludf.DUMMYFUNCTION("GOOGLETRANSLATE(B539,""es"",""en"")"),"RT @PasquinDeM: Peru is falling apart: There is no reconstruction in the north, sneakers are in emergency, there is no employment, crime is increasing!
And what is the President thinking about? In playing tennis? Go to the stadium? or a visit to the King?"&amp;" 
VIZCARRA GET TO WORK FOR PERUVIANS ONCE AND FOR ALL!!! https://t.co/mPC25VesiY")</f>
        <v>RT @PasquinDeM: Peru is falling apart: There is no reconstruction in the north, sneakers are in emergency, there is no employment, crime is increasing!
And what is the President thinking about? In playing tennis? Go to the stadium? or a visit to the King? 
VIZCARRA GET TO WORK FOR PERUVIANS ONCE AND FOR ALL!!! https://t.co/mPC25VesiY</v>
      </c>
      <c r="C539" s="2" t="s">
        <v>1276</v>
      </c>
      <c r="D539" s="1" t="s">
        <v>1277</v>
      </c>
    </row>
    <row r="540" spans="1:4" x14ac:dyDescent="0.15">
      <c r="A540" s="1" t="s">
        <v>1278</v>
      </c>
      <c r="B540" s="3" t="str">
        <f ca="1">IFERROR(__xludf.DUMMYFUNCTION("GOOGLETRANSLATE(B540,""es"",""en"")"),"RT @drocabas: It is very clear to me now that in Las Bambas, the criminals are the company and the State. And if they predominate it is due to the simple and brutal use of force. May the inspiring force of #MahatmaGandhi be with you! @vozdelatierra
@Wilbe"&amp;"rtRozas @HumbertoTYL https://t.co/FvmJwZr9Kf")</f>
        <v>RT @drocabas: It is very clear to me now that in Las Bambas, the criminals are the company and the State. And if they predominate it is due to the simple and brutal use of force. May the inspiring force of #MahatmaGandhi be with you! @vozdelatierra
@WilbertRozas @HumbertoTYL https://t.co/FvmJwZr9Kf</v>
      </c>
      <c r="C540" s="2" t="s">
        <v>1279</v>
      </c>
      <c r="D540" s="1" t="s">
        <v>1277</v>
      </c>
    </row>
    <row r="541" spans="1:4" x14ac:dyDescent="0.15">
      <c r="A541" s="1" t="s">
        <v>1280</v>
      </c>
      <c r="B541" s="3" t="str">
        <f ca="1">IFERROR(__xludf.DUMMYFUNCTION("GOOGLETRANSLATE(B541,""es"",""en"")"),"RT @Agencia_Andina: The spokesperson for the Perunos por el Kambio (PPK) group, Jorge Meléndez, highlights Vizcarra's decision to opt for dialogue in Las Bambas https://t.co/RWZlsZb3Bq https://t.co /Qwk3NWbDiM")</f>
        <v>RT @Agencia_Andina: The spokesperson for the Perunos por el Kambio (PPK) group, Jorge Meléndez, highlights Vizcarra's decision to opt for dialogue in Las Bambas https://t.co/RWZlsZb3Bq https://t.co /Qwk3NWbDiM</v>
      </c>
      <c r="C541" s="2" t="s">
        <v>1281</v>
      </c>
      <c r="D541" s="1" t="s">
        <v>1277</v>
      </c>
    </row>
    <row r="542" spans="1:4" x14ac:dyDescent="0.15">
      <c r="A542" s="1" t="s">
        <v>1282</v>
      </c>
      <c r="B542" s="3" t="str">
        <f ca="1">IFERROR(__xludf.DUMMYFUNCTION("GOOGLETRANSLATE(B542,""es"",""en"")"),"The doctrine exposed by @AlanGarciaPeru in ""El Perro del Hortelano"" and that explains the events of Bagua, Conga, Tía María and today in Las Bambas is described as ""biased and simplistic optics"".
https://t.co/R7xt0CwNwe")</f>
        <v>The doctrine exposed by @AlanGarciaPeru in "El Perro del Hortelano" and that explains the events of Bagua, Conga, Tía María and today in Las Bambas is described as "biased and simplistic optics".
https://t.co/R7xt0CwNwe</v>
      </c>
      <c r="C542" s="2" t="s">
        <v>1283</v>
      </c>
      <c r="D542" s="1" t="s">
        <v>1284</v>
      </c>
    </row>
    <row r="543" spans="1:4" x14ac:dyDescent="0.15">
      <c r="A543" s="1" t="s">
        <v>1285</v>
      </c>
      <c r="B543" s="3" t="str">
        <f ca="1">IFERROR(__xludf.DUMMYFUNCTION("GOOGLETRANSLATE(B543,""es"",""en"")"),"RT @dellazule: This is how the extortion was planned in Las Bambas for S/500 million https://t.co/TxcjfVxmAh via @peru21noticias")</f>
        <v>RT @dellazule: This is how the extortion was planned in Las Bambas for S/500 million https://t.co/TxcjfVxmAh via @peru21noticias</v>
      </c>
      <c r="C543" s="2" t="s">
        <v>1286</v>
      </c>
      <c r="D543" s="1" t="s">
        <v>1287</v>
      </c>
    </row>
    <row r="544" spans="1:4" x14ac:dyDescent="0.15">
      <c r="A544" s="1" t="s">
        <v>1288</v>
      </c>
      <c r="B544" s="3" t="str">
        <f ca="1">IFERROR(__xludf.DUMMYFUNCTION("GOOGLETRANSLATE(B544,""es"",""en"")"),"RT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544" s="2" t="s">
        <v>1289</v>
      </c>
      <c r="D544" s="1" t="s">
        <v>1290</v>
      </c>
    </row>
    <row r="545" spans="1:4" x14ac:dyDescent="0.15">
      <c r="A545" s="1" t="s">
        <v>1291</v>
      </c>
      <c r="B545" s="3" t="str">
        <f ca="1">IFERROR(__xludf.DUMMYFUNCTION("GOOGLETRANSLATE(B545,""es"",""en"")"),"RT @Cuarto_Poder: Former vice minister of Minam stated that in Las Bambas there are a number of bad decisions and overexpectations, and that the State should have expropriated the road before declaring it national https://t.co/Gsoplrj6qR #CuartoPoder #ElB"&amp;"aileDeLosQueSobran")</f>
        <v>RT @Cuarto_Poder: Former vice minister of Minam stated that in Las Bambas there are a number of bad decisions and overexpectations, and that the State should have expropriated the road before declaring it national https://t.co/Gsoplrj6qR #CuartoPoder #ElBaileDeLosQueSobran</v>
      </c>
      <c r="C545" s="2" t="s">
        <v>1292</v>
      </c>
      <c r="D545" s="1" t="s">
        <v>1293</v>
      </c>
    </row>
    <row r="546" spans="1:4" x14ac:dyDescent="0.15">
      <c r="A546" s="1" t="s">
        <v>1294</v>
      </c>
      <c r="B546" s="3" t="str">
        <f ca="1">IFERROR(__xludf.DUMMYFUNCTION("GOOGLETRANSLATE(B546,""es"",""en"")"),"RT @leo_valra: Appointment of Zoraida Ávalos, left Vizcarra like a dog with two tails. He freed the leader of the extortion in Las Bambas and the second of the criminal gang, who while driving drunk ran over police officers, who were then stoned by his fo"&amp;"llowers.
@FiscaliaPeru protect criminals?")</f>
        <v>RT @leo_valra: Appointment of Zoraida Ávalos, left Vizcarra like a dog with two tails. He freed the leader of the extortion in Las Bambas and the second of the criminal gang, who while driving drunk ran over police officers, who were then stoned by his followers.
@FiscaliaPeru protect criminals?</v>
      </c>
      <c r="C546" s="2" t="s">
        <v>1295</v>
      </c>
      <c r="D546" s="1" t="s">
        <v>1296</v>
      </c>
    </row>
    <row r="547" spans="1:4" x14ac:dyDescent="0.15">
      <c r="A547" s="1" t="s">
        <v>1297</v>
      </c>
      <c r="B547" s="3" t="str">
        <f ca="1">IFERROR(__xludf.DUMMYFUNCTION("GOOGLETRANSLATE(B547,""es"",""en"")"),"RT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547" s="2" t="s">
        <v>1298</v>
      </c>
      <c r="D547" s="1" t="s">
        <v>1299</v>
      </c>
    </row>
    <row r="548" spans="1:4" x14ac:dyDescent="0.15">
      <c r="A548" s="1" t="s">
        <v>1300</v>
      </c>
      <c r="B548" s="3" t="str">
        <f ca="1">IFERROR(__xludf.DUMMYFUNCTION("GOOGLETRANSLATE(B548,""es"",""en"")"),"RT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548" s="2" t="s">
        <v>1301</v>
      </c>
      <c r="D548" s="1" t="s">
        <v>1299</v>
      </c>
    </row>
    <row r="549" spans="1:4" x14ac:dyDescent="0.15">
      <c r="A549" s="1" t="s">
        <v>1302</v>
      </c>
      <c r="B549" s="3" t="str">
        <f ca="1">IFERROR(__xludf.DUMMYFUNCTION("GOOGLETRANSLATE(B549,""es"",""en"")"),"@PatyDonayre Hope this blows up like hell so the Government does something")</f>
        <v>@PatyDonayre Hope this blows up like hell so the Government does something</v>
      </c>
      <c r="C549" s="2" t="s">
        <v>1303</v>
      </c>
      <c r="D549" s="1" t="s">
        <v>1299</v>
      </c>
    </row>
    <row r="550" spans="1:4" x14ac:dyDescent="0.15">
      <c r="A550" s="1" t="s">
        <v>1304</v>
      </c>
      <c r="B550" s="3" t="str">
        <f ca="1">IFERROR(__xludf.DUMMYFUNCTION("GOOGLETRANSLATE(B550,""es"",""en"")"),"RT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550" s="2" t="s">
        <v>1305</v>
      </c>
      <c r="D550" s="1" t="s">
        <v>1306</v>
      </c>
    </row>
    <row r="551" spans="1:4" x14ac:dyDescent="0.15">
      <c r="A551" s="1" t="s">
        <v>293</v>
      </c>
      <c r="B551" s="3" t="str">
        <f ca="1">IFERROR(__xludf.DUMMYFUNCTION("GOOGLETRANSLATE(B551,""es"",""en"")"),"RT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551" s="2" t="s">
        <v>1307</v>
      </c>
      <c r="D551" s="1" t="s">
        <v>1306</v>
      </c>
    </row>
    <row r="552" spans="1:4" x14ac:dyDescent="0.15">
      <c r="A552" s="1" t="s">
        <v>450</v>
      </c>
      <c r="B552" s="3" t="str">
        <f ca="1">IFERROR(__xludf.DUMMYFUNCTION("GOOGLETRANSLATE(B552,""es"",""en"")"),"RT @PrimerPedal: Question, I repeat, question:
Are those who mediated in Conga, Espinar and La Oroya the ones doing the same in Las Bambas?
If it's true, we already know how this story is going to end.")</f>
        <v>RT @PrimerPedal: Question, I repeat, question:
Are those who mediated in Conga, Espinar and La Oroya the ones doing the same in Las Bambas?
If it's true, we already know how this story is going to end.</v>
      </c>
      <c r="C552" s="2" t="s">
        <v>1308</v>
      </c>
      <c r="D552" s="1" t="s">
        <v>1309</v>
      </c>
    </row>
    <row r="553" spans="1:4" x14ac:dyDescent="0.15">
      <c r="A553" s="1" t="s">
        <v>783</v>
      </c>
      <c r="B553" s="3" t="str">
        <f ca="1">IFERROR(__xludf.DUMMYFUNCTION("GOOGLETRANSLATE(B553,""es"",""en"")"),"Kilometers of misunderstandings, a chronicle by Fernando Vivas https://t.co/ebDDCxg1fA via @elcomercio_peru")</f>
        <v>Kilometers of misunderstandings, a chronicle by Fernando Vivas https://t.co/ebDDCxg1fA via @elcomercio_peru</v>
      </c>
      <c r="C553" s="2" t="s">
        <v>1310</v>
      </c>
      <c r="D553" s="1" t="s">
        <v>1309</v>
      </c>
    </row>
    <row r="554" spans="1:4" x14ac:dyDescent="0.15">
      <c r="A554" s="1" t="s">
        <v>1311</v>
      </c>
      <c r="B554" s="3" t="str">
        <f ca="1">IFERROR(__xludf.DUMMYFUNCTION("GOOGLETRANSLATE(B554,""es"",""en"")"),"RT @MilagrosLeivaG: Children who walk two or three hours to go to school. Unsheltered, only with their flip flops. And so we say that in Las Bambas you live like in Switzerland? 😞😡 https://t.co/JzlgU905xt")</f>
        <v>RT @MilagrosLeivaG: Children who walk two or three hours to go to school. Unsheltered, only with their flip flops. And so we say that in Las Bambas you live like in Switzerland? 😞😡 https://t.co/JzlgU905xt</v>
      </c>
      <c r="C554" s="2" t="s">
        <v>1312</v>
      </c>
      <c r="D554" s="1" t="s">
        <v>1313</v>
      </c>
    </row>
    <row r="555" spans="1:4" x14ac:dyDescent="0.15">
      <c r="A555" s="1" t="s">
        <v>1314</v>
      </c>
      <c r="B555" s="3" t="str">
        <f ca="1">IFERROR(__xludf.DUMMYFUNCTION("GOOGLETRANSLATE(B555,""es"",""en"")"),"RT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555" s="2" t="s">
        <v>1315</v>
      </c>
      <c r="D555" s="1" t="s">
        <v>1313</v>
      </c>
    </row>
    <row r="556" spans="1:4" x14ac:dyDescent="0.15">
      <c r="A556" s="1" t="s">
        <v>1304</v>
      </c>
      <c r="B556" s="3" t="str">
        <f ca="1">IFERROR(__xludf.DUMMYFUNCTION("GOOGLETRANSLATE(B556,""es"",""en"")"),"RT @agildemeisterrrh: And once again, the Catholic Church saving the Peruvian government's skin, intervening as a mediator this time in Las Bambas! At this rate... better that the Church govern or give it the Ministry of the Presidency! From Ripley!")</f>
        <v>RT @agildemeisterrrh: And once again, the Catholic Church saving the Peruvian government's skin, intervening as a mediator this time in Las Bambas! At this rate... better that the Church govern or give it the Ministry of the Presidency! From Ripley!</v>
      </c>
      <c r="C556" s="2" t="s">
        <v>1316</v>
      </c>
      <c r="D556" s="1" t="s">
        <v>1313</v>
      </c>
    </row>
    <row r="557" spans="1:4" x14ac:dyDescent="0.15">
      <c r="A557" s="1" t="s">
        <v>1317</v>
      </c>
      <c r="B557" s="3" t="str">
        <f ca="1">IFERROR(__xludf.DUMMYFUNCTION("GOOGLETRANSLATE(B557,""es"",""en"")"),"RT @matuk: @rmapalacios 1) Road that crosses Yavi-Yavi did not exist before the purchase of Las Bambas 
2) Easement did not exist when Las Bambas bought Yavi-Yavi
3) Easement is registered when Las Bambas is the owner of Yavi-Yavi
4) Las Bambas delivers Y"&amp;"avi-Yavi with bondage
5) Yavi-Yavi = Trojan Horse")</f>
        <v>RT @matuk: @rmapalacios 1) Road that crosses Yavi-Yavi did not exist before the purchase of Las Bambas 
2) Easement did not exist when Las Bambas bought Yavi-Yavi
3) Easement is registered when Las Bambas is the owner of Yavi-Yavi
4) Las Bambas delivers Yavi-Yavi with bondage
5) Yavi-Yavi = Trojan Horse</v>
      </c>
      <c r="C557" s="2" t="s">
        <v>1318</v>
      </c>
      <c r="D557" s="1" t="s">
        <v>1319</v>
      </c>
    </row>
    <row r="558" spans="1:4" x14ac:dyDescent="0.15">
      <c r="A558" s="1" t="s">
        <v>1320</v>
      </c>
      <c r="B558" s="3" t="str">
        <f ca="1">IFERROR(__xludf.DUMMYFUNCTION("GOOGLETRANSLATE(B558,""es"",""en"")"),"RT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558" s="2" t="s">
        <v>1321</v>
      </c>
      <c r="D558" s="1" t="s">
        <v>1319</v>
      </c>
    </row>
    <row r="559" spans="1:4" x14ac:dyDescent="0.15">
      <c r="A559" s="1" t="s">
        <v>1322</v>
      </c>
      <c r="B559" s="3" t="str">
        <f ca="1">IFERROR(__xludf.DUMMYFUNCTION("GOOGLETRANSLATE(B559,""es"",""en"")"),"RT @Ojo_Publico: #LoÚltimo Community members of Fuerabamba remain at the Manantiales sentry box, where the entrance to the #LasBambas mine is located. A few hours ago Gregorio Rojas, president of the community, arrived in #Cusco and is awaiting his arriva"&amp;"l in the district of Challhuahuacho. https://t.co/UCH9ljxxuZ https://t.co/06MksUVkTZ")</f>
        <v>RT @Ojo_Publico: #LoÚltimo Community members of Fuerabamba remain at the Manantiales sentry box, where the entrance to the #LasBambas mine is located. A few hours ago Gregorio Rojas, president of the community, arrived in #Cusco and is awaiting his arrival in the district of Challhuahuacho. https://t.co/UCH9ljxxuZ https://t.co/06MksUVkTZ</v>
      </c>
      <c r="C559" s="2" t="s">
        <v>1323</v>
      </c>
      <c r="D559" s="1" t="s">
        <v>1324</v>
      </c>
    </row>
    <row r="560" spans="1:4" x14ac:dyDescent="0.15">
      <c r="A560" s="1" t="s">
        <v>1325</v>
      </c>
      <c r="B560" s="3" t="str">
        <f ca="1">IFERROR(__xludf.DUMMYFUNCTION("GOOGLETRANSLATE(B560,""es"",""en"")"),"RT @Ojo_Publico: #LoÚltimo Community members of Fuerabamba remain at the Manantiales sentry box, where the entrance to the #LasBambas mine is located. A few hours ago Gregorio Rojas, president of the community, arrived in #Cusco and is awaiting his arriva"&amp;"l in the district of Challhuahuacho. https://t.co/UCH9ljxxuZ https://t.co/06MksUVkTZ")</f>
        <v>RT @Ojo_Publico: #LoÚltimo Community members of Fuerabamba remain at the Manantiales sentry box, where the entrance to the #LasBambas mine is located. A few hours ago Gregorio Rojas, president of the community, arrived in #Cusco and is awaiting his arrival in the district of Challhuahuacho. https://t.co/UCH9ljxxuZ https://t.co/06MksUVkTZ</v>
      </c>
      <c r="C560" s="2" t="s">
        <v>1326</v>
      </c>
      <c r="D560" s="1" t="s">
        <v>1327</v>
      </c>
    </row>
    <row r="561" spans="1:4" x14ac:dyDescent="0.15">
      <c r="A561" s="1" t="s">
        <v>1328</v>
      </c>
      <c r="B561" s="3" t="str">
        <f ca="1">IFERROR(__xludf.DUMMYFUNCTION("GOOGLETRANSLATE(B561,""es"",""en"")"),"RT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561" s="2" t="s">
        <v>1329</v>
      </c>
      <c r="D561" s="1" t="s">
        <v>1327</v>
      </c>
    </row>
    <row r="562" spans="1:4" x14ac:dyDescent="0.15">
      <c r="A562" s="1" t="s">
        <v>694</v>
      </c>
      <c r="B562" s="3" t="str">
        <f ca="1">IFERROR(__xludf.DUMMYFUNCTION("GOOGLETRANSLATE(B562,""es"",""en"")"),"RT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562" s="2" t="s">
        <v>1330</v>
      </c>
      <c r="D562" s="1" t="s">
        <v>1327</v>
      </c>
    </row>
    <row r="563" spans="1:4" x14ac:dyDescent="0.15">
      <c r="A563" s="1" t="s">
        <v>1331</v>
      </c>
      <c r="B563" s="3" t="str">
        <f ca="1">IFERROR(__xludf.DUMMYFUNCTION("GOOGLETRANSLATE(B563,""es"",""en"")"),"RT @Ojo_Publico: #LoÚltimo Community members of Fuerabamba remain at the Manantiales sentry box, where the entrance to the #LasBambas mine is located. A few hours ago Gregorio Rojas, president of the community, arrived in #Cusco and is awaiting his arriva"&amp;"l in the district of Challhuahuacho. https://t.co/UCH9ljxxuZ https://t.co/06MksUVkTZ")</f>
        <v>RT @Ojo_Publico: #LoÚltimo Community members of Fuerabamba remain at the Manantiales sentry box, where the entrance to the #LasBambas mine is located. A few hours ago Gregorio Rojas, president of the community, arrived in #Cusco and is awaiting his arrival in the district of Challhuahuacho. https://t.co/UCH9ljxxuZ https://t.co/06MksUVkTZ</v>
      </c>
      <c r="C563" s="2" t="s">
        <v>1332</v>
      </c>
      <c r="D563" s="1" t="s">
        <v>1327</v>
      </c>
    </row>
    <row r="564" spans="1:4" x14ac:dyDescent="0.15">
      <c r="A564" s="1" t="s">
        <v>1333</v>
      </c>
      <c r="B564" s="3" t="str">
        <f ca="1">IFERROR(__xludf.DUMMYFUNCTION("GOOGLETRANSLATE(B564,""es"",""en"")"),"When in November 2016, aboard the BAP Unión in Paracas, I asked PPK how he was going to fix what happened with Las Bambas, he told me: we have to put the Chávez brothers in prison. I told him and what are you waiting for?
Today the government apparently w"&amp;"orks to get them released. A nonsense.")</f>
        <v>When in November 2016, aboard the BAP Unión in Paracas, I asked PPK how he was going to fix what happened with Las Bambas, he told me: we have to put the Chávez brothers in prison. I told him and what are you waiting for?
Today the government apparently works to get them released. A nonsense.</v>
      </c>
      <c r="C564" s="2" t="s">
        <v>1334</v>
      </c>
      <c r="D564" s="1" t="s">
        <v>1327</v>
      </c>
    </row>
    <row r="565" spans="1:4" x14ac:dyDescent="0.15">
      <c r="A565" s="1" t="s">
        <v>1196</v>
      </c>
      <c r="B565" s="3" t="str">
        <f ca="1">IFERROR(__xludf.DUMMYFUNCTION("GOOGLETRANSLATE(B565,""es"",""en"")"),"RT @Gregorio_Goyo: Even if they paid tomorrow, the Las Bambas conflict would not be resolved. The conflict has just begun. https://t.co/avUF9OFLI9")</f>
        <v>RT @Gregorio_Goyo: Even if they paid tomorrow, the Las Bambas conflict would not be resolved. The conflict has just begun. https://t.co/avUF9OFLI9</v>
      </c>
      <c r="C565" s="2" t="s">
        <v>1335</v>
      </c>
      <c r="D565" s="1" t="s">
        <v>1336</v>
      </c>
    </row>
    <row r="566" spans="1:4" x14ac:dyDescent="0.15">
      <c r="A566" s="1" t="s">
        <v>1337</v>
      </c>
      <c r="B566" s="3" t="str">
        <f ca="1">IFERROR(__xludf.DUMMYFUNCTION("GOOGLETRANSLATE(B566,""es"",""en"")"),"RT @chirapaqoficial: #TarcilaRivera Zea @parwasisa member of @UN4Indigenous and director of #CHIRAPAQ urges @MartinVizcarraC @pcmperu @MinCulturaPe to avoid the use of force and not add another mark to the disagreement between the State and the #Indigenou"&amp;"sPeoples https:/ /t.co/6iYldptkNJ #LasBambas https://t.co/EefAuFSxWZ")</f>
        <v>RT @chirapaqoficial: #TarcilaRivera Zea @parwasisa member of @UN4Indigenous and director of #CHIRAPAQ urges @MartinVizcarraC @pcmperu @MinCulturaPe to avoid the use of force and not add another mark to the disagreement between the State and the #IndigenousPeoples https:/ /t.co/6iYldptkNJ #LasBambas https://t.co/EefAuFSxWZ</v>
      </c>
      <c r="C566" s="2" t="s">
        <v>1338</v>
      </c>
      <c r="D566" s="1" t="s">
        <v>1336</v>
      </c>
    </row>
    <row r="567" spans="1:4" x14ac:dyDescent="0.15">
      <c r="A567" s="1" t="s">
        <v>1339</v>
      </c>
      <c r="B567" s="3" t="str">
        <f ca="1">IFERROR(__xludf.DUMMYFUNCTION("GOOGLETRANSLATE(B567,""es"",""en"")"),"RT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567" s="2" t="s">
        <v>1340</v>
      </c>
      <c r="D567" s="1" t="s">
        <v>1341</v>
      </c>
    </row>
    <row r="568" spans="1:4" x14ac:dyDescent="0.15">
      <c r="A568" s="1" t="s">
        <v>1342</v>
      </c>
      <c r="B568" s="3" t="str">
        <f ca="1">IFERROR(__xludf.DUMMYFUNCTION("GOOGLETRANSLATE(B568,""es"",""en"")"),"RT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568" s="2" t="s">
        <v>1343</v>
      </c>
      <c r="D568" s="1" t="s">
        <v>1341</v>
      </c>
    </row>
    <row r="569" spans="1:4" x14ac:dyDescent="0.15">
      <c r="A569" s="1" t="s">
        <v>1344</v>
      </c>
      <c r="B569" s="3" t="str">
        <f ca="1">IFERROR(__xludf.DUMMYFUNCTION("GOOGLETRANSLATE(B569,""es"",""en"")"),"RT @pbustamantep: When in November 2016, aboard the BAP Unión in Paracas, I asked PPK how he was going to fix the Bambas, he told me: we have to put the Chávez brothers in prison. I told him and what are you waiting for?
Today the government apparently wo"&amp;"rks to get them released. A nonsense.")</f>
        <v>RT @pbustamantep: When in November 2016, aboard the BAP Unión in Paracas, I asked PPK how he was going to fix the Bambas, he told me: we have to put the Chávez brothers in prison. I told him and what are you waiting for?
Today the government apparently works to get them released. A nonsense.</v>
      </c>
      <c r="C569" s="2" t="s">
        <v>1345</v>
      </c>
      <c r="D569" s="1" t="s">
        <v>1341</v>
      </c>
    </row>
    <row r="570" spans="1:4" x14ac:dyDescent="0.15">
      <c r="A570" s="1" t="s">
        <v>969</v>
      </c>
      <c r="B570" s="3" t="str">
        <f ca="1">IFERROR(__xludf.DUMMYFUNCTION("GOOGLETRANSLATE(B570,""es"",""en"")"),"RT @Pedro_vrae: The problem in Fuerabamba - in the Las Bambas mining corridor - is poverty, based on illiteracy, alcoholism and the disintegration of peasant identity. They received a lot of money from the mine, but few knew how to invest, the rest squand"&amp;"ered https://t.co/pcw8TMb4UQ")</f>
        <v>RT @Pedro_vrae: The problem in Fuerabamba - in the Las Bambas mining corridor - is poverty, based on illiteracy, alcoholism and the disintegration of peasant identity. They received a lot of money from the mine, but few knew how to invest, the rest squandered https://t.co/pcw8TMb4UQ</v>
      </c>
      <c r="C570" s="2" t="s">
        <v>1346</v>
      </c>
      <c r="D570" s="1" t="s">
        <v>1347</v>
      </c>
    </row>
    <row r="571" spans="1:4" x14ac:dyDescent="0.15">
      <c r="A571" s="1" t="s">
        <v>1348</v>
      </c>
      <c r="B571" s="3" t="str">
        <f ca="1">IFERROR(__xludf.DUMMYFUNCTION("GOOGLETRANSLATE(B571,""es"",""en"")"),"RT @DialogoFe: Card. Cipriani “Dialogue of Faith means that all problems have a vision of faith, faith illuminates situations. If there is a problem like La Bambas, faith leads you to say: seek the truth, end hate” #DialogoDeFe")</f>
        <v>RT @DialogoFe: Card. Cipriani “Dialogue of Faith means that all problems have a vision of faith, faith illuminates situations. If there is a problem like La Bambas, faith leads you to say: seek the truth, end hate” #DialogoDeFe</v>
      </c>
      <c r="C571" s="2" t="s">
        <v>1349</v>
      </c>
      <c r="D571" s="1" t="s">
        <v>1347</v>
      </c>
    </row>
    <row r="572" spans="1:4" x14ac:dyDescent="0.15">
      <c r="A572" s="1" t="s">
        <v>1350</v>
      </c>
      <c r="B572" s="3" t="str">
        <f ca="1">IFERROR(__xludf.DUMMYFUNCTION("GOOGLETRANSLATE(B572,""es"",""en"")"),"#RSD #Peru | #Church participates as a mediator in the solution of the Las Bambas mining #conflict https://t.co/CPm1OuxUiF")</f>
        <v>#RSD #Peru | #Church participates as a mediator in the solution of the Las Bambas mining #conflict https://t.co/CPm1OuxUiF</v>
      </c>
      <c r="C572" s="2" t="s">
        <v>1351</v>
      </c>
      <c r="D572" s="1" t="s">
        <v>1352</v>
      </c>
    </row>
    <row r="573" spans="1:4" x14ac:dyDescent="0.15">
      <c r="A573" s="1" t="s">
        <v>1353</v>
      </c>
      <c r="B573" s="3" t="str">
        <f ca="1">IFERROR(__xludf.DUMMYFUNCTION("GOOGLETRANSLATE(B573,""es"",""en"")"),"@MIKI_TORRES_ , the population of Puno, or Bambas or more will be happy....")</f>
        <v>@MIKI_TORRES_ , the population of Puno, or Bambas or more will be happy....</v>
      </c>
      <c r="C573" s="2" t="s">
        <v>1354</v>
      </c>
      <c r="D573" s="1" t="s">
        <v>1352</v>
      </c>
    </row>
    <row r="574" spans="1:4" x14ac:dyDescent="0.15">
      <c r="A574" s="1" t="s">
        <v>293</v>
      </c>
      <c r="B574" s="3" t="str">
        <f ca="1">IFERROR(__xludf.DUMMYFUNCTION("GOOGLETRANSLATE(B574,""es"",""en"")"),"RT @Ojo_Publico: #LasBambas The disagreements between the leaders of Fuerabamba and the authorities of Apurímac, the absence of dialogue and distrust of the government are the main characteristics of the protest in Challhuahuacho against the Chinese minin"&amp;"g company MMG. https://t.co/UCH9ljxxuZ")</f>
        <v>RT @Ojo_Publico: #LasBambas The disagreements between the leaders of Fuerabamba and the authorities of Apurímac, the absence of dialogue and distrust of the government are the main characteristics of the protest in Challhuahuacho against the Chinese mining company MMG. https://t.co/UCH9ljxxuZ</v>
      </c>
      <c r="C574" s="2" t="s">
        <v>1355</v>
      </c>
      <c r="D574" s="1" t="s">
        <v>1352</v>
      </c>
    </row>
    <row r="575" spans="1:4" x14ac:dyDescent="0.15">
      <c r="A575" s="1" t="s">
        <v>1356</v>
      </c>
      <c r="B575" s="3" t="str">
        <f ca="1">IFERROR(__xludf.DUMMYFUNCTION("GOOGLETRANSLATE(B575,""es"",""en"")"),"RT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575" s="2" t="s">
        <v>1357</v>
      </c>
      <c r="D575" s="1" t="s">
        <v>1352</v>
      </c>
    </row>
    <row r="576" spans="1:4" x14ac:dyDescent="0.15">
      <c r="A576" s="1" t="s">
        <v>293</v>
      </c>
      <c r="B576" s="3" t="str">
        <f ca="1">IFERROR(__xludf.DUMMYFUNCTION("GOOGLETRANSLATE(B576,""es"",""en"")"),"RT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576" s="2" t="s">
        <v>1358</v>
      </c>
      <c r="D576" s="1" t="s">
        <v>1352</v>
      </c>
    </row>
    <row r="577" spans="1:4" x14ac:dyDescent="0.15">
      <c r="A577" s="1" t="s">
        <v>1359</v>
      </c>
      <c r="B577" s="3" t="str">
        <f ca="1">IFERROR(__xludf.DUMMYFUNCTION("GOOGLETRANSLATE(B577,""es"",""en"")"),"RT @Ojo_Publico: #LoÚltimo Community members of Fuerabamba remain at the Manantiales sentry box, where the entrance to the #LasBambas mine is located. A few hours ago Gregorio Rojas, president of the community, arrived in #Cusco and is awaiting his arriva"&amp;"l in the district of Challhuahuacho. https://t.co/UCH9ljxxuZ https://t.co/06MksUVkTZ")</f>
        <v>RT @Ojo_Publico: #LoÚltimo Community members of Fuerabamba remain at the Manantiales sentry box, where the entrance to the #LasBambas mine is located. A few hours ago Gregorio Rojas, president of the community, arrived in #Cusco and is awaiting his arrival in the district of Challhuahuacho. https://t.co/UCH9ljxxuZ https://t.co/06MksUVkTZ</v>
      </c>
      <c r="C577" s="2" t="s">
        <v>1360</v>
      </c>
      <c r="D577" s="1" t="s">
        <v>1352</v>
      </c>
    </row>
    <row r="578" spans="1:4" x14ac:dyDescent="0.15">
      <c r="A578" s="1" t="s">
        <v>206</v>
      </c>
      <c r="B578" s="3" t="str">
        <f ca="1">IFERROR(__xludf.DUMMYFUNCTION("GOOGLETRANSLATE(B578,""es"",""en"")"),"RT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578" s="2" t="s">
        <v>1361</v>
      </c>
      <c r="D578" s="1" t="s">
        <v>1352</v>
      </c>
    </row>
    <row r="579" spans="1:4" x14ac:dyDescent="0.15">
      <c r="A579" s="1" t="s">
        <v>1362</v>
      </c>
      <c r="B579" s="3" t="str">
        <f ca="1">IFERROR(__xludf.DUMMYFUNCTION("GOOGLETRANSLATE(B579,""es"",""en"")"),"Peru. Las Bambas: What starts badly ends badly https://t.co/ElhGmzpHVY #NOalaMinería")</f>
        <v>Peru. Las Bambas: What starts badly ends badly https://t.co/ElhGmzpHVY #NOalaMinería</v>
      </c>
      <c r="C579" s="2" t="s">
        <v>1363</v>
      </c>
      <c r="D579" s="1" t="s">
        <v>1364</v>
      </c>
    </row>
    <row r="580" spans="1:4" x14ac:dyDescent="0.15">
      <c r="A580" s="1" t="s">
        <v>1365</v>
      </c>
      <c r="B580" s="3" t="str">
        <f ca="1">IFERROR(__xludf.DUMMYFUNCTION("GOOGLETRANSLATE(B580,""es"",""en"")"),"RT @Galo45751869: THERE IS NO SOLUTION WITH THE MINERS OF LAS BAMBAS????? EASY, TAKE HIM TO THE CHINESE AND SEND HIM TO NEGOTIATE, IN LESS THAN 48 IT'S RESOLVED AND THAT'S THAT, BUT YOU CAVIARS ARE INEEEEEEPTOOOOOSS!!! https://t.co/XYqkJKSFAd")</f>
        <v>RT @Galo45751869: THERE IS NO SOLUTION WITH THE MINERS OF LAS BAMBAS????? EASY, TAKE HIM TO THE CHINESE AND SEND HIM TO NEGOTIATE, IN LESS THAN 48 IT'S RESOLVED AND THAT'S THAT, BUT YOU CAVIARS ARE INEEEEEEPTOOOOOSS!!! https://t.co/XYqkJKSFAd</v>
      </c>
      <c r="C580" s="2" t="s">
        <v>1366</v>
      </c>
      <c r="D580" s="1" t="s">
        <v>1367</v>
      </c>
    </row>
    <row r="581" spans="1:4" x14ac:dyDescent="0.15">
      <c r="A581" s="1" t="s">
        <v>1368</v>
      </c>
      <c r="B581" s="3" t="str">
        <f ca="1">IFERROR(__xludf.DUMMYFUNCTION("GOOGLETRANSLATE(B581,""es"",""en"")"),"My legs will never wear sneakers in my entire life.")</f>
        <v>My legs will never wear sneakers in my entire life.</v>
      </c>
      <c r="C581" s="2" t="s">
        <v>1369</v>
      </c>
      <c r="D581" s="1" t="s">
        <v>1367</v>
      </c>
    </row>
    <row r="582" spans="1:4" x14ac:dyDescent="0.15">
      <c r="A582" s="1" t="s">
        <v>964</v>
      </c>
      <c r="B582" s="3" t="str">
        <f ca="1">IFERROR(__xludf.DUMMYFUNCTION("GOOGLETRANSLATE(B582,""es"",""en"")"),"RT @pbustamantep: When in November 2016, aboard the BAP Unión in Paracas, I asked PPK how he was going to fix the Bambas, he told me: we have to put the Chávez brothers in prison. I told him and what are you waiting for?
Today the government apparently wo"&amp;"rks to get them released. A nonsense.")</f>
        <v>RT @pbustamantep: When in November 2016, aboard the BAP Unión in Paracas, I asked PPK how he was going to fix the Bambas, he told me: we have to put the Chávez brothers in prison. I told him and what are you waiting for?
Today the government apparently works to get them released. A nonsense.</v>
      </c>
      <c r="C582" s="2" t="s">
        <v>1370</v>
      </c>
      <c r="D582" s="1" t="s">
        <v>1367</v>
      </c>
    </row>
    <row r="583" spans="1:4" x14ac:dyDescent="0.15">
      <c r="A583" s="1" t="s">
        <v>1371</v>
      </c>
      <c r="B583" s="3" t="str">
        <f ca="1">IFERROR(__xludf.DUMMYFUNCTION("GOOGLETRANSLATE(B583,""es"",""en"")"),"RT @Elmer21644236: @PacitaGuerra The Two.Dres Bambas....they understand the.bullshit they do.....the.money arrives alone. https://t.co/a6nH46oB12")</f>
        <v>RT @Elmer21644236: @PacitaGuerra The Two.Dres Bambas....they understand the.bullshit they do.....the.money arrives alone. https://t.co/a6nH46oB12</v>
      </c>
      <c r="C583" s="2" t="s">
        <v>1372</v>
      </c>
      <c r="D583" s="1" t="s">
        <v>1367</v>
      </c>
    </row>
    <row r="584" spans="1:4" x14ac:dyDescent="0.15">
      <c r="A584" s="1" t="s">
        <v>388</v>
      </c>
      <c r="B584" s="3" t="str">
        <f ca="1">IFERROR(__xludf.DUMMYFUNCTION("GOOGLETRANSLATE(B584,""es"",""en"")"),"RT @conf_episcopal: #Urgente Monsignor Miguel Cabrejos, President of the Episcopal Conference, announces that the MMG Las Bambas Mining Company will make official this afternoon its request for the Episcopal Conference to be a mediator in the #LasBambas C"&amp;"onflict https://t.co/ 85exZNiTa6")</f>
        <v>RT @conf_episcopal: #Urgente Monsignor Miguel Cabrejos, President of the Episcopal Conference, announces that the MMG Las Bambas Mining Company will make official this afternoon its request for the Episcopal Conference to be a mediator in the #LasBambas Conflict https://t.co/ 85exZNiTa6</v>
      </c>
      <c r="C584" s="2" t="s">
        <v>1373</v>
      </c>
      <c r="D584" s="1" t="s">
        <v>1374</v>
      </c>
    </row>
    <row r="585" spans="1:4" x14ac:dyDescent="0.15">
      <c r="A585" s="1" t="s">
        <v>1228</v>
      </c>
      <c r="B585" s="3" t="str">
        <f ca="1">IFERROR(__xludf.DUMMYFUNCTION("GOOGLETRANSLATE(B585,""es"",""en"")"),"RT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585" s="2" t="s">
        <v>1375</v>
      </c>
      <c r="D585" s="1" t="s">
        <v>1374</v>
      </c>
    </row>
    <row r="586" spans="1:4" x14ac:dyDescent="0.15">
      <c r="A586" s="1" t="s">
        <v>1376</v>
      </c>
      <c r="B586" s="3" t="str">
        <f ca="1">IFERROR(__xludf.DUMMYFUNCTION("GOOGLETRANSLATE(B586,""es"",""en"")"),"Las Bambas: Government and companies must assume their responsibility - https://t.co/UZy29ee0S9")</f>
        <v>Las Bambas: Government and companies must assume their responsibility - https://t.co/UZy29ee0S9</v>
      </c>
      <c r="C586" s="2" t="s">
        <v>1377</v>
      </c>
      <c r="D586" s="1" t="s">
        <v>1378</v>
      </c>
    </row>
    <row r="587" spans="1:4" x14ac:dyDescent="0.15">
      <c r="A587" s="1" t="s">
        <v>1379</v>
      </c>
      <c r="B587" s="3" t="str">
        <f ca="1">IFERROR(__xludf.DUMMYFUNCTION("GOOGLETRANSLATE(B587,""es"",""en"")"),"RT @margamedonzac: Mr. Pdte @MartinVizcarraC, please confirm whether the dump trucks of your family company C y M Vizcarra S.A.C have contracts with the copper mining company Las Bambas, we await your response @YeniVilcatoma2 @vozdelatierra @Gregorio_Goyo"&amp;" @gatoencerrado2 @manifiesto_peru @Politico_pe")</f>
        <v>RT @margamedonzac: Mr. Pdte @MartinVizcarraC, please confirm whether the dump trucks of your family company C y M Vizcarra S.A.C have contracts with the copper mining company Las Bambas, we await your response @YeniVilcatoma2 @vozdelatierra @Gregorio_Goyo @gatoencerrado2 @manifiesto_peru @Politico_pe</v>
      </c>
      <c r="C587" s="2" t="s">
        <v>1380</v>
      </c>
      <c r="D587" s="1" t="s">
        <v>1381</v>
      </c>
    </row>
    <row r="588" spans="1:4" x14ac:dyDescent="0.15">
      <c r="A588" s="1" t="s">
        <v>1382</v>
      </c>
      <c r="B588" s="3" t="str">
        <f ca="1">IFERROR(__xludf.DUMMYFUNCTION("GOOGLETRANSLATE(B588,""es"",""en"")"),"@MilagrosLeivaG Go investigate, get closer to the sneakers")</f>
        <v>@MilagrosLeivaG Go investigate, get closer to the sneakers</v>
      </c>
      <c r="C588" s="2" t="s">
        <v>1383</v>
      </c>
      <c r="D588" s="1" t="s">
        <v>1384</v>
      </c>
    </row>
    <row r="589" spans="1:4" x14ac:dyDescent="0.15">
      <c r="A589" s="1" t="s">
        <v>1207</v>
      </c>
      <c r="B589" s="3" t="str">
        <f ca="1">IFERROR(__xludf.DUMMYFUNCTION("GOOGLETRANSLATE(B589,""es"",""en"")"),"RT @Gregorio_Goyo: Even if they paid tomorrow, the Las Bambas conflict would not be resolved. The conflict has just begun. https://t.co/avUF9OFLI9")</f>
        <v>RT @Gregorio_Goyo: Even if they paid tomorrow, the Las Bambas conflict would not be resolved. The conflict has just begun. https://t.co/avUF9OFLI9</v>
      </c>
      <c r="C589" s="2" t="s">
        <v>1385</v>
      </c>
      <c r="D589" s="1" t="s">
        <v>1386</v>
      </c>
    </row>
    <row r="590" spans="1:4" x14ac:dyDescent="0.15">
      <c r="A590" s="1" t="s">
        <v>1387</v>
      </c>
      <c r="B590" s="3" t="str">
        <f ca="1">IFERROR(__xludf.DUMMYFUNCTION("GOOGLETRANSLATE(B590,""es"",""en"")"),"Del Solar announced that the state of emergency and mining blockade would be lifted in Las Bambas https://t.co/b5bTLt5q1i https://t.co/hwhJjNLbzS")</f>
        <v>Del Solar announced that the state of emergency and mining blockade would be lifted in Las Bambas https://t.co/b5bTLt5q1i https://t.co/hwhJjNLbzS</v>
      </c>
      <c r="C590" s="2" t="s">
        <v>1388</v>
      </c>
      <c r="D590" s="1" t="s">
        <v>1389</v>
      </c>
    </row>
    <row r="591" spans="1:4" x14ac:dyDescent="0.15">
      <c r="A591" s="1" t="s">
        <v>1390</v>
      </c>
      <c r="B591" s="3" t="str">
        <f ca="1">IFERROR(__xludf.DUMMYFUNCTION("GOOGLETRANSLATE(B591,""es"",""en"")"),"RT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591" s="2" t="s">
        <v>1391</v>
      </c>
      <c r="D591" s="1" t="s">
        <v>1392</v>
      </c>
    </row>
    <row r="592" spans="1:4" x14ac:dyDescent="0.15">
      <c r="A592" s="1" t="s">
        <v>72</v>
      </c>
      <c r="B592" s="3" t="str">
        <f ca="1">IFERROR(__xludf.DUMMYFUNCTION("GOOGLETRANSLATE(B592,""es"",""en"")"),"RT @cmongesalgado: Las Bambas: Government and companies must assume their responsibility - https://t.co/IyugyOrlLP")</f>
        <v>RT @cmongesalgado: Las Bambas: Government and companies must assume their responsibility - https://t.co/IyugyOrlLP</v>
      </c>
      <c r="C592" s="2" t="s">
        <v>1393</v>
      </c>
      <c r="D592" s="1" t="s">
        <v>1394</v>
      </c>
    </row>
    <row r="593" spans="1:4" x14ac:dyDescent="0.15">
      <c r="A593" s="1" t="s">
        <v>1395</v>
      </c>
      <c r="B593" s="3" t="str">
        <f ca="1">IFERROR(__xludf.DUMMYFUNCTION("GOOGLETRANSLATE(B593,""es"",""en"")"),"RT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593" s="2" t="s">
        <v>1396</v>
      </c>
      <c r="D593" s="1" t="s">
        <v>1397</v>
      </c>
    </row>
    <row r="594" spans="1:4" x14ac:dyDescent="0.15">
      <c r="A594" s="1" t="s">
        <v>28</v>
      </c>
      <c r="B594" s="3" t="str">
        <f ca="1">IFERROR(__xludf.DUMMYFUNCTION("GOOGLETRANSLATE(B594,""es"",""en"")"),"RT @cmongesalgado: Las Bambas: Government and companies must assume their responsibility - https://t.co/IyugyOrlLP")</f>
        <v>RT @cmongesalgado: Las Bambas: Government and companies must assume their responsibility - https://t.co/IyugyOrlLP</v>
      </c>
      <c r="C594" s="2" t="s">
        <v>1398</v>
      </c>
      <c r="D594" s="1" t="s">
        <v>1399</v>
      </c>
    </row>
    <row r="595" spans="1:4" x14ac:dyDescent="0.15">
      <c r="A595" s="1" t="s">
        <v>1400</v>
      </c>
      <c r="B595" s="3" t="str">
        <f ca="1">IFERROR(__xludf.DUMMYFUNCTION("GOOGLETRANSLATE(B595,""es"",""en"")"),"As a member of @UN4Indigenous I express my deep concern to @MartinVizcarraC @pcmperu @MinCulturaPe about the conflict in #LasBambas. I urge the Peruvian State to avoid the use of force and not to deepen disagreements with #IndigenousPeoples https://t.co/J"&amp;"AY19hO1L8")</f>
        <v>As a member of @UN4Indigenous I express my deep concern to @MartinVizcarraC @pcmperu @MinCulturaPe about the conflict in #LasBambas. I urge the Peruvian State to avoid the use of force and not to deepen disagreements with #IndigenousPeoples https://t.co/JAY19hO1L8</v>
      </c>
      <c r="C595" s="2" t="s">
        <v>1401</v>
      </c>
      <c r="D595" s="1" t="s">
        <v>1399</v>
      </c>
    </row>
    <row r="596" spans="1:4" x14ac:dyDescent="0.15">
      <c r="A596" s="1" t="s">
        <v>1402</v>
      </c>
      <c r="B596" s="3" t="str">
        <f ca="1">IFERROR(__xludf.DUMMYFUNCTION("GOOGLETRANSLATE(B596,""es"",""en"")"),"@Tuzinh0 @onurbrunox as pernas chega ficam sneakers")</f>
        <v>@Tuzinh0 @onurbrunox as pernas chega ficam sneakers</v>
      </c>
      <c r="C596" s="2" t="s">
        <v>1403</v>
      </c>
      <c r="D596" s="1" t="s">
        <v>1404</v>
      </c>
    </row>
    <row r="597" spans="1:4" x14ac:dyDescent="0.15">
      <c r="A597" s="1" t="s">
        <v>1405</v>
      </c>
      <c r="B597" s="3" t="str">
        <f ca="1">IFERROR(__xludf.DUMMYFUNCTION("GOOGLETRANSLATE(B597,""es"",""en"")"),"My legs are not swollen, normal, they are not... my legs are still sneakers! Pqp.")</f>
        <v>My legs are not swollen, normal, they are not... my legs are still sneakers! Pqp.</v>
      </c>
      <c r="C597" s="2" t="s">
        <v>1406</v>
      </c>
      <c r="D597" s="1" t="s">
        <v>1404</v>
      </c>
    </row>
    <row r="598" spans="1:4" x14ac:dyDescent="0.15">
      <c r="A598" s="1" t="s">
        <v>1407</v>
      </c>
      <c r="B598" s="3" t="str">
        <f ca="1">IFERROR(__xludf.DUMMYFUNCTION("GOOGLETRANSLATE(B598,""es"",""en"")"),"RT @Ojo_Publico: #LoÚltimo Community members of Fuerabamba remain at the Manantiales sentry box, where the entrance to the #LasBambas mine is located. A few hours ago Gregorio Rojas, president of the community, arrived in #Cusco and is awaiting his arriva"&amp;"l in the district of Challhuahuacho. https://t.co/UCH9ljxxuZ https://t.co/06MksUVkTZ")</f>
        <v>RT @Ojo_Publico: #LoÚltimo Community members of Fuerabamba remain at the Manantiales sentry box, where the entrance to the #LasBambas mine is located. A few hours ago Gregorio Rojas, president of the community, arrived in #Cusco and is awaiting his arrival in the district of Challhuahuacho. https://t.co/UCH9ljxxuZ https://t.co/06MksUVkTZ</v>
      </c>
      <c r="C598" s="2" t="s">
        <v>1408</v>
      </c>
      <c r="D598" s="1" t="s">
        <v>1404</v>
      </c>
    </row>
    <row r="599" spans="1:4" x14ac:dyDescent="0.15">
      <c r="A599" s="1" t="s">
        <v>1409</v>
      </c>
      <c r="B599" s="3" t="str">
        <f ca="1">IFERROR(__xludf.DUMMYFUNCTION("GOOGLETRANSLATE(B599,""es"",""en"")"),"RT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599" s="2" t="s">
        <v>1410</v>
      </c>
      <c r="D599" s="1" t="s">
        <v>1411</v>
      </c>
    </row>
    <row r="600" spans="1:4" x14ac:dyDescent="0.15">
      <c r="A600" s="1" t="s">
        <v>1412</v>
      </c>
      <c r="B600" s="3" t="str">
        <f ca="1">IFERROR(__xludf.DUMMYFUNCTION("GOOGLETRANSLATE(B600,""es"",""en"")"),"RT @MilagrosLeivaG: TOMORROW in #EdicionMatinal by @atvpe We arrived at the town of Pumamarca affected by the activities of the Las Bambas mining company. In extreme poverty, with a school on the verge of collapsing, its only post without staff or medicin"&amp;"es and what is worse with sick and poorly fed children...")</f>
        <v>RT @MilagrosLeivaG: TOMORROW in #EdicionMatinal by @atvpe We arrived at the town of Pumamarca affected by the activities of the Las Bambas mining company. In extreme poverty, with a school on the verge of collapsing, its only post without staff or medicines and what is worse with sick and poorly fed children...</v>
      </c>
      <c r="C600" s="2" t="s">
        <v>1413</v>
      </c>
      <c r="D600" s="1" t="s">
        <v>1414</v>
      </c>
    </row>
    <row r="601" spans="1:4" x14ac:dyDescent="0.15">
      <c r="A601" s="1" t="s">
        <v>1415</v>
      </c>
      <c r="B601" s="3" t="str">
        <f ca="1">IFERROR(__xludf.DUMMYFUNCTION("GOOGLETRANSLATE(B601,""es"",""en"")"),"RT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601" s="2" t="s">
        <v>1416</v>
      </c>
      <c r="D601" s="1" t="s">
        <v>1417</v>
      </c>
    </row>
    <row r="602" spans="1:4" x14ac:dyDescent="0.15">
      <c r="A602" s="1" t="s">
        <v>169</v>
      </c>
      <c r="B602" s="3" t="str">
        <f ca="1">IFERROR(__xludf.DUMMYFUNCTION("GOOGLETRANSLATE(B602,""es"",""en"")"),"RT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602" s="2" t="s">
        <v>1418</v>
      </c>
      <c r="D602" s="1" t="s">
        <v>1419</v>
      </c>
    </row>
    <row r="603" spans="1:4" x14ac:dyDescent="0.15">
      <c r="A603" s="1" t="s">
        <v>1420</v>
      </c>
      <c r="B603" s="3" t="str">
        <f ca="1">IFERROR(__xludf.DUMMYFUNCTION("GOOGLETRANSLATE(B603,""es"",""en"")"),"RT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603" s="2" t="s">
        <v>1421</v>
      </c>
      <c r="D603" s="1" t="s">
        <v>1422</v>
      </c>
    </row>
    <row r="604" spans="1:4" x14ac:dyDescent="0.15">
      <c r="A604" s="1" t="s">
        <v>1423</v>
      </c>
      <c r="B604" s="3" t="str">
        <f ca="1">IFERROR(__xludf.DUMMYFUNCTION("GOOGLETRANSLATE(B604,""es"",""en"")"),"RT @Ojo_Publico: #LoÚltimo Community members of Fuerabamba remain at the Manantiales sentry box, where the entrance to the #LasBambas mine is located. A few hours ago Gregorio Rojas, president of the community, arrived in #Cusco and is awaiting his arriva"&amp;"l in the district of Challhuahuacho. https://t.co/UCH9ljxxuZ https://t.co/06MksUVkTZ")</f>
        <v>RT @Ojo_Publico: #LoÚltimo Community members of Fuerabamba remain at the Manantiales sentry box, where the entrance to the #LasBambas mine is located. A few hours ago Gregorio Rojas, president of the community, arrived in #Cusco and is awaiting his arrival in the district of Challhuahuacho. https://t.co/UCH9ljxxuZ https://t.co/06MksUVkTZ</v>
      </c>
      <c r="C604" s="2" t="s">
        <v>1424</v>
      </c>
      <c r="D604" s="1" t="s">
        <v>1422</v>
      </c>
    </row>
    <row r="605" spans="1:4" x14ac:dyDescent="0.15">
      <c r="A605" s="1" t="s">
        <v>385</v>
      </c>
      <c r="B605" s="3" t="str">
        <f ca="1">IFERROR(__xludf.DUMMYFUNCTION("GOOGLETRANSLATE(B605,""es"",""en"")"),"📰#International The Peruvian Catholic Church today opened a dialogue between the government and the community of Fuerabamba, in search of a solution to a conflict that has kept the Las Bambas copper mine blocked for two months. https://t.co/jQiTeBKHnJ")</f>
        <v>📰#International The Peruvian Catholic Church today opened a dialogue between the government and the community of Fuerabamba, in search of a solution to a conflict that has kept the Las Bambas copper mine blocked for two months. https://t.co/jQiTeBKHnJ</v>
      </c>
      <c r="C605" s="2" t="s">
        <v>1425</v>
      </c>
      <c r="D605" s="1" t="s">
        <v>1426</v>
      </c>
    </row>
    <row r="606" spans="1:4" x14ac:dyDescent="0.15">
      <c r="A606" s="1" t="s">
        <v>1427</v>
      </c>
      <c r="B606" s="3" t="str">
        <f ca="1">IFERROR(__xludf.DUMMYFUNCTION("GOOGLETRANSLATE(B606,""es"",""en"")"),"RT @pruperu: How many of us would be freed if we drunks ran over police officers?
That “we are all equal before the law” is a simple saying that has nothing to do with reality https://t.co/1r2itujVVi")</f>
        <v>RT @pruperu: How many of us would be freed if we drunks ran over police officers?
That “we are all equal before the law” is a simple saying that has nothing to do with reality https://t.co/1r2itujVVi</v>
      </c>
      <c r="C606" s="2" t="s">
        <v>1428</v>
      </c>
      <c r="D606" s="1" t="s">
        <v>1426</v>
      </c>
    </row>
    <row r="607" spans="1:4" x14ac:dyDescent="0.15">
      <c r="A607" s="1" t="s">
        <v>1429</v>
      </c>
      <c r="B607" s="3" t="str">
        <f ca="1">IFERROR(__xludf.DUMMYFUNCTION("GOOGLETRANSLATE(B607,""es"",""en"")"),"RT @Latina_Noticias: #PuntoFinal | Why do community members oppose the transit of trucks with minerals through their territory? Watch @betovillarc's report here 👇 https://t.co/H4wsu0M0Po")</f>
        <v>RT @Latina_Noticias: #PuntoFinal | Why do community members oppose the transit of trucks with minerals through their territory? Watch @betovillarc's report here 👇 https://t.co/H4wsu0M0Po</v>
      </c>
      <c r="C607" s="2" t="s">
        <v>1430</v>
      </c>
      <c r="D607" s="1" t="s">
        <v>1431</v>
      </c>
    </row>
    <row r="608" spans="1:4" x14ac:dyDescent="0.15">
      <c r="A608" s="1" t="s">
        <v>1432</v>
      </c>
      <c r="B608" s="3" t="str">
        <f ca="1">IFERROR(__xludf.DUMMYFUNCTION("GOOGLETRANSLATE(B608,""es"",""en"")"),"@AFernandoC9 @clacova13 The Bambas thing is more complex since there are more actors but in order not to make it long I think that since it is not a road like the central highway or the Pan-American highway and in itself it only affects the mining company"&amp;", I don't see any harm in doing it now that otherwise no one pays attention to them.")</f>
        <v>@AFernandoC9 @clacova13 The Bambas thing is more complex since there are more actors but in order not to make it long I think that since it is not a road like the central highway or the Pan-American highway and in itself it only affects the mining company, I don't see any harm in doing it now that otherwise no one pays attention to them.</v>
      </c>
      <c r="C608" s="2" t="s">
        <v>1433</v>
      </c>
      <c r="D608" s="1" t="s">
        <v>1431</v>
      </c>
    </row>
    <row r="609" spans="1:4" x14ac:dyDescent="0.15">
      <c r="A609" s="1" t="s">
        <v>337</v>
      </c>
      <c r="B609" s="3" t="str">
        <f ca="1">IFERROR(__xludf.DUMMYFUNCTION("GOOGLETRANSLATE(B609,""es"",""en"")"),"Las Bambas: “the royalties generated amount to more than S/. 750 million” https://t.co/KI08ee0UKE")</f>
        <v>Las Bambas: “the royalties generated amount to more than S/. 750 million” https://t.co/KI08ee0UKE</v>
      </c>
      <c r="C609" s="2" t="s">
        <v>1434</v>
      </c>
      <c r="D609" s="1" t="s">
        <v>1431</v>
      </c>
    </row>
    <row r="610" spans="1:4" x14ac:dyDescent="0.15">
      <c r="A610" s="1" t="s">
        <v>1435</v>
      </c>
      <c r="B610" s="3" t="str">
        <f ca="1">IFERROR(__xludf.DUMMYFUNCTION("GOOGLETRANSLATE(B610,""es"",""en"")"),"RT @drocabas: It is very clear to me now that in Las Bambas, the criminals are the company and the State. And if they predominate it is due to the simple and brutal use of force. May the inspiring force of #MahatmaGandhi be with you! @vozdelatierra
@Wilbe"&amp;"rtRozas @HumbertoTYL https://t.co/FvmJwZr9Kf")</f>
        <v>RT @drocabas: It is very clear to me now that in Las Bambas, the criminals are the company and the State. And if they predominate it is due to the simple and brutal use of force. May the inspiring force of #MahatmaGandhi be with you! @vozdelatierra
@WilbertRozas @HumbertoTYL https://t.co/FvmJwZr9Kf</v>
      </c>
      <c r="C610" s="2" t="s">
        <v>1436</v>
      </c>
      <c r="D610" s="1" t="s">
        <v>1437</v>
      </c>
    </row>
    <row r="611" spans="1:4" x14ac:dyDescent="0.15">
      <c r="A611" s="1" t="s">
        <v>293</v>
      </c>
      <c r="B611" s="3" t="str">
        <f ca="1">IFERROR(__xludf.DUMMYFUNCTION("GOOGLETRANSLATE(B611,""es"",""en"")"),"RT @Ojo_Publico: #LoÚltimo Community members of Fuerabamba remain at the Manantiales sentry box, where the entrance to the #LasBambas mine is located. A few hours ago Gregorio Rojas, president of the community, arrived in #Cusco and is awaiting his arriva"&amp;"l in the district of Challhuahuacho. https://t.co/UCH9ljxxuZ https://t.co/06MksUVkTZ")</f>
        <v>RT @Ojo_Publico: #LoÚltimo Community members of Fuerabamba remain at the Manantiales sentry box, where the entrance to the #LasBambas mine is located. A few hours ago Gregorio Rojas, president of the community, arrived in #Cusco and is awaiting his arrival in the district of Challhuahuacho. https://t.co/UCH9ljxxuZ https://t.co/06MksUVkTZ</v>
      </c>
      <c r="C611" s="2" t="s">
        <v>1438</v>
      </c>
      <c r="D611" s="1" t="s">
        <v>1439</v>
      </c>
    </row>
    <row r="612" spans="1:4" x14ac:dyDescent="0.15">
      <c r="A612" s="1" t="s">
        <v>1440</v>
      </c>
      <c r="B612" s="3" t="str">
        <f ca="1">IFERROR(__xludf.DUMMYFUNCTION("GOOGLETRANSLATE(B612,""es"",""en"")"),"RT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612" s="2" t="s">
        <v>1441</v>
      </c>
      <c r="D612" s="1" t="s">
        <v>1439</v>
      </c>
    </row>
    <row r="613" spans="1:4" x14ac:dyDescent="0.15">
      <c r="A613" s="1" t="s">
        <v>1442</v>
      </c>
      <c r="B613" s="3" t="str">
        <f ca="1">IFERROR(__xludf.DUMMYFUNCTION("GOOGLETRANSLATE(B613,""es"",""en"")"),"RT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613" s="2" t="s">
        <v>1443</v>
      </c>
      <c r="D613" s="1" t="s">
        <v>1444</v>
      </c>
    </row>
    <row r="614" spans="1:4" x14ac:dyDescent="0.15">
      <c r="A614" s="1" t="s">
        <v>1445</v>
      </c>
      <c r="B614" s="3" t="str">
        <f ca="1">IFERROR(__xludf.DUMMYFUNCTION("GOOGLETRANSLATE(B614,""es"",""en"")"),"RT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614" s="2" t="s">
        <v>1446</v>
      </c>
      <c r="D614" s="1" t="s">
        <v>1444</v>
      </c>
    </row>
    <row r="615" spans="1:4" x14ac:dyDescent="0.15">
      <c r="A615" s="1" t="s">
        <v>1447</v>
      </c>
      <c r="B615" s="3" t="str">
        <f ca="1">IFERROR(__xludf.DUMMYFUNCTION("GOOGLETRANSLATE(B615,""es"",""en"")"),"[LIVE] García Belaunde on Las Bambas: [To Del Solar] we have proposed the construction of a railway [...]. By declaring it as a national road, the State will subsidize it ► https://t.co/oYIW8cxAGV https://t.co/ugPFOFuMLK")</f>
        <v>[LIVE] García Belaunde on Las Bambas: [To Del Solar] we have proposed the construction of a railway [...]. By declaring it as a national road, the State will subsidize it ► https://t.co/oYIW8cxAGV https://t.co/ugPFOFuMLK</v>
      </c>
      <c r="C615" s="2" t="s">
        <v>1448</v>
      </c>
      <c r="D615" s="1" t="s">
        <v>1449</v>
      </c>
    </row>
    <row r="616" spans="1:4" x14ac:dyDescent="0.15">
      <c r="A616" s="1" t="s">
        <v>370</v>
      </c>
      <c r="B616" s="3" t="str">
        <f ca="1">IFERROR(__xludf.DUMMYFUNCTION("GOOGLETRANSLATE(B616,""es"",""en"")"),"RT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616" s="2" t="s">
        <v>1450</v>
      </c>
      <c r="D616" s="1" t="s">
        <v>1449</v>
      </c>
    </row>
    <row r="617" spans="1:4" x14ac:dyDescent="0.15">
      <c r="A617" s="1" t="s">
        <v>1451</v>
      </c>
      <c r="B617" s="3" t="str">
        <f ca="1">IFERROR(__xludf.DUMMYFUNCTION("GOOGLETRANSLATE(B617,""es"",""en"")"),"RT @ HacerPeruPe: ""We would have to incorporate a Ministry of Economy dedicated exclusively to promoting territorial development. And a minister with the political responsibility of responding to said process."" David Rivera's new column in HacePerú http"&amp;"s://t.co/BT0RZWlA5h")</f>
        <v>RT @ HacerPeruPe: "We would have to incorporate a Ministry of Economy dedicated exclusively to promoting territorial development. And a minister with the political responsibility of responding to said process." David Rivera's new column in HacePerú https://t.co/BT0RZWlA5h</v>
      </c>
      <c r="C617" s="2" t="s">
        <v>1452</v>
      </c>
      <c r="D617" s="1" t="s">
        <v>1449</v>
      </c>
    </row>
    <row r="618" spans="1:4" x14ac:dyDescent="0.15">
      <c r="A618" s="1" t="s">
        <v>1453</v>
      </c>
      <c r="B618" s="3" t="str">
        <f ca="1">IFERROR(__xludf.DUMMYFUNCTION("GOOGLETRANSLATE(B618,""es"",""en"")"),"RT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618" s="2" t="s">
        <v>1454</v>
      </c>
      <c r="D618" s="1" t="s">
        <v>1455</v>
      </c>
    </row>
    <row r="619" spans="1:4" x14ac:dyDescent="0.15">
      <c r="A619" s="1" t="s">
        <v>1456</v>
      </c>
      <c r="B619" s="3" t="str">
        <f ca="1">IFERROR(__xludf.DUMMYFUNCTION("GOOGLETRANSLATE(B619,""es"",""en"")"),"The truth is that the press mostly defends the abuse of companies and the state against the community members of Las Bambas.  Rosa María Palacios and De Althaus almost made a monument to the abuse that exists towards their compatriots, not to mention RPP "&amp;"and Alditus. I hope they meditate")</f>
        <v>The truth is that the press mostly defends the abuse of companies and the state against the community members of Las Bambas.  Rosa María Palacios and De Althaus almost made a monument to the abuse that exists towards their compatriots, not to mention RPP and Alditus. I hope they meditate</v>
      </c>
      <c r="C619" s="2" t="s">
        <v>1457</v>
      </c>
      <c r="D619" s="1" t="s">
        <v>1458</v>
      </c>
    </row>
    <row r="620" spans="1:4" x14ac:dyDescent="0.15">
      <c r="A620" s="1" t="s">
        <v>1459</v>
      </c>
      <c r="B620" s="3" t="str">
        <f ca="1">IFERROR(__xludf.DUMMYFUNCTION("GOOGLETRANSLATE(B620,""es"",""en"")"),"RT @Latina_Noticias: #PuntoFinal | Why do community members oppose the transit of trucks with minerals through their territory? Watch @betovillarc's report here 👇 https://t.co/H4wsu0M0Po")</f>
        <v>RT @Latina_Noticias: #PuntoFinal | Why do community members oppose the transit of trucks with minerals through their territory? Watch @betovillarc's report here 👇 https://t.co/H4wsu0M0Po</v>
      </c>
      <c r="C620" s="2" t="s">
        <v>1460</v>
      </c>
      <c r="D620" s="1" t="s">
        <v>1458</v>
      </c>
    </row>
    <row r="621" spans="1:4" x14ac:dyDescent="0.15">
      <c r="A621" s="1" t="s">
        <v>1461</v>
      </c>
      <c r="B621" s="3" t="str">
        <f ca="1">IFERROR(__xludf.DUMMYFUNCTION("GOOGLETRANSLATE(B621,""es"",""en"")"),"RT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621" s="2" t="s">
        <v>1462</v>
      </c>
      <c r="D621" s="1" t="s">
        <v>1463</v>
      </c>
    </row>
    <row r="622" spans="1:4" x14ac:dyDescent="0.15">
      <c r="A622" s="1" t="s">
        <v>99</v>
      </c>
      <c r="B622" s="3" t="str">
        <f ca="1">IFERROR(__xludf.DUMMYFUNCTION("GOOGLETRANSLATE(B622,""es"",""en"")"),"RT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622" s="2" t="s">
        <v>1464</v>
      </c>
      <c r="D622" s="1" t="s">
        <v>1463</v>
      </c>
    </row>
    <row r="623" spans="1:4" x14ac:dyDescent="0.15">
      <c r="A623" s="1" t="s">
        <v>1465</v>
      </c>
      <c r="B623" s="3" t="str">
        <f ca="1">IFERROR(__xludf.DUMMYFUNCTION("GOOGLETRANSLATE(B623,""es"",""en"")"),"RT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623" s="2" t="s">
        <v>1466</v>
      </c>
      <c r="D623" s="1" t="s">
        <v>1463</v>
      </c>
    </row>
    <row r="624" spans="1:4" x14ac:dyDescent="0.15">
      <c r="A624" s="1" t="s">
        <v>169</v>
      </c>
      <c r="B624" s="3" t="str">
        <f ca="1">IFERROR(__xludf.DUMMYFUNCTION("GOOGLETRANSLATE(B624,""es"",""en"")"),"RT @elmontonero_pe: #PoliticaEM #ElMontonero
Business and communities should unite in demands
Follow us on:
FB: https://t.co/8BN6IGtfbu
Youtube: https://t.co/x2WH9Dyq6f
More Articles: https://t.co/4sbQL43f0Q
#Matarani #Constancia #Antapaccay
https://t.co/"&amp;"o22NPeAr6k")</f>
        <v>RT @elmontonero_pe: #PoliticaEM #ElMontonero
Business and communities should unite in demands
Follow us on:
FB: https://t.co/8BN6IGtfbu
Youtube: https://t.co/x2WH9Dyq6f
More Articles: https://t.co/4sbQL43f0Q
#Matarani #Constancia #Antapaccay
https://t.co/o22NPeAr6k</v>
      </c>
      <c r="C624" s="2" t="s">
        <v>1467</v>
      </c>
      <c r="D624" s="1" t="s">
        <v>1463</v>
      </c>
    </row>
    <row r="625" spans="1:4" x14ac:dyDescent="0.15">
      <c r="A625" s="1" t="s">
        <v>1468</v>
      </c>
      <c r="B625" s="3" t="str">
        <f ca="1">IFERROR(__xludf.DUMMYFUNCTION("GOOGLETRANSLATE(B625,""es"",""en"")"),"Your legs are wearing shoes on the treino.")</f>
        <v>Your legs are wearing shoes on the treino.</v>
      </c>
      <c r="C625" s="2" t="s">
        <v>1469</v>
      </c>
      <c r="D625" s="1" t="s">
        <v>1463</v>
      </c>
    </row>
    <row r="626" spans="1:4" x14ac:dyDescent="0.15">
      <c r="A626" s="1" t="s">
        <v>1470</v>
      </c>
      <c r="B626" s="3" t="str">
        <f ca="1">IFERROR(__xludf.DUMMYFUNCTION("GOOGLETRANSLATE(B626,""es"",""en"")"),"Bombom ouvindo sambas do Bambas ancients and singing together. Someone warns that we are already in April and the carnival is only the year we see?")</f>
        <v>Bombom ouvindo sambas do Bambas ancients and singing together. Someone warns that we are already in April and the carnival is only the year we see?</v>
      </c>
      <c r="C626" s="2" t="s">
        <v>1471</v>
      </c>
      <c r="D626" s="1" t="s">
        <v>1472</v>
      </c>
    </row>
    <row r="627" spans="1:4" x14ac:dyDescent="0.15">
      <c r="A627" s="1" t="s">
        <v>1473</v>
      </c>
      <c r="B627" s="3" t="str">
        <f ca="1">IFERROR(__xludf.DUMMYFUNCTION("GOOGLETRANSLATE(B627,""es"",""en"")"),"RT @noticiAmerica: #CuartoPoder prepared a complete report in which it explains the origins of the conflict over the Las Bambas mining company, which dates back to the beginning of the century. Review it and draw your conclusions ► https://t.co/LyuFnZZBxp"&amp;" https://t.co/jyTUA8cDTs")</f>
        <v>RT @noticiAmerica: #CuartoPoder prepared a complete report in which it explains the origins of the conflict over the Las Bambas mining company, which dates back to the beginning of the century. Review it and draw your conclusions ► https://t.co/LyuFnZZBxp https://t.co/jyTUA8cDTs</v>
      </c>
      <c r="C627" s="2" t="s">
        <v>1474</v>
      </c>
      <c r="D627" s="1" t="s">
        <v>1475</v>
      </c>
    </row>
    <row r="628" spans="1:4" x14ac:dyDescent="0.15">
      <c r="A628" s="1" t="s">
        <v>1476</v>
      </c>
      <c r="B628" s="3" t="str">
        <f ca="1">IFERROR(__xludf.DUMMYFUNCTION("GOOGLETRANSLATE(B628,""es"",""en"")"),"RT @ConvocaPe: In July 2014 Glencore Read the hidden operation here: https://t.co/9bfkexRDZN https://t.co/54chLJxwOl")</f>
        <v>RT @ConvocaPe: In July 2014 Glencore Read the hidden operation here: https://t.co/9bfkexRDZN https://t.co/54chLJxwOl</v>
      </c>
      <c r="C628" s="2" t="s">
        <v>1477</v>
      </c>
      <c r="D628" s="1" t="s">
        <v>1478</v>
      </c>
    </row>
    <row r="629" spans="1:4" x14ac:dyDescent="0.15">
      <c r="A629" s="1" t="s">
        <v>1479</v>
      </c>
      <c r="B629" s="3" t="str">
        <f ca="1">IFERROR(__xludf.DUMMYFUNCTION("GOOGLETRANSLATE(B629,""es"",""en"")"),"RT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629" s="2" t="s">
        <v>1480</v>
      </c>
      <c r="D629" s="1" t="s">
        <v>1481</v>
      </c>
    </row>
    <row r="630" spans="1:4" x14ac:dyDescent="0.15">
      <c r="A630" s="1" t="s">
        <v>1482</v>
      </c>
      <c r="B630" s="3" t="str">
        <f ca="1">IFERROR(__xludf.DUMMYFUNCTION("GOOGLETRANSLATE(B630,""es"",""en"")"),"@Lagrutta Here you have and it was intense, white legs and very sweet dorzinha")</f>
        <v>@Lagrutta Here you have and it was intense, white legs and very sweet dorzinha</v>
      </c>
      <c r="C630" s="2" t="s">
        <v>1483</v>
      </c>
      <c r="D630" s="1" t="s">
        <v>1484</v>
      </c>
    </row>
    <row r="631" spans="1:4" x14ac:dyDescent="0.15">
      <c r="A631" s="1" t="s">
        <v>1485</v>
      </c>
      <c r="B631" s="3" t="str">
        <f ca="1">IFERROR(__xludf.DUMMYFUNCTION("GOOGLETRANSLATE(B631,""es"",""en"")"),"RT @jctafur: Let's see if Las Bambas wakes up a government that has lost its compass and that if it persists in that mood, it will condemn the brand new Del Solar cabinet to being a failed bet. On the subject, I invite you to read my Sunday column in La R"&amp;"epública https://t.co/W52lbRPE52")</f>
        <v>RT @jctafur: Let's see if Las Bambas wakes up a government that has lost its compass and that if it persists in that mood, it will condemn the brand new Del Solar cabinet to being a failed bet. On the subject, I invite you to read my Sunday column in La República https://t.co/W52lbRPE52</v>
      </c>
      <c r="C631" s="2" t="s">
        <v>1486</v>
      </c>
      <c r="D631" s="1" t="s">
        <v>1487</v>
      </c>
    </row>
    <row r="632" spans="1:4" x14ac:dyDescent="0.15">
      <c r="A632" s="1" t="s">
        <v>1442</v>
      </c>
      <c r="B632" s="3" t="str">
        <f ca="1">IFERROR(__xludf.DUMMYFUNCTION("GOOGLETRANSLATE(B632,""es"",""en"")"),"@El_Manu11 @elhigadodmarita @MartinVizcarraC Sir, these are two and a half years of this PPk Government, two and a half years lost due to the inability of PPk and Vizcarra and all their successive cabinets, including this one that until today has not reso"&amp;"lved the Las Bambas issue.")</f>
        <v>@El_Manu11 @elhigadodmarita @MartinVizcarraC Sir, these are two and a half years of this PPk Government, two and a half years lost due to the inability of PPk and Vizcarra and all their successive cabinets, including this one that until today has not resolved the Las Bambas issue.</v>
      </c>
      <c r="C632" s="2" t="s">
        <v>1488</v>
      </c>
      <c r="D632" s="1" t="s">
        <v>1489</v>
      </c>
    </row>
    <row r="633" spans="1:4" x14ac:dyDescent="0.15">
      <c r="A633" s="1" t="s">
        <v>1490</v>
      </c>
      <c r="B633" s="3" t="str">
        <f ca="1">IFERROR(__xludf.DUMMYFUNCTION("GOOGLETRANSLATE(B633,""es"",""en"")"),"RT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633" s="2" t="s">
        <v>1491</v>
      </c>
      <c r="D633" s="1" t="s">
        <v>1489</v>
      </c>
    </row>
    <row r="634" spans="1:4" x14ac:dyDescent="0.15">
      <c r="A634" s="1" t="s">
        <v>1447</v>
      </c>
      <c r="B634" s="3" t="str">
        <f ca="1">IFERROR(__xludf.DUMMYFUNCTION("GOOGLETRANSLATE(B634,""es"",""en"")"),"[LIVE] #NPortada Tubino: The principle of authority was lacking because the Las Bambas conflict was allowed to grow too much, which could affect the Peruvian economy► https://t.co/oYIW8cxAGV https://t.co/FWNo7PjvAd")</f>
        <v>[LIVE] #NPortada Tubino: The principle of authority was lacking because the Las Bambas conflict was allowed to grow too much, which could affect the Peruvian economy► https://t.co/oYIW8cxAGV https://t.co/FWNo7PjvAd</v>
      </c>
      <c r="C634" s="2" t="s">
        <v>1492</v>
      </c>
      <c r="D634" s="1" t="s">
        <v>1493</v>
      </c>
    </row>
    <row r="635" spans="1:4" x14ac:dyDescent="0.15">
      <c r="A635" s="1" t="s">
        <v>1494</v>
      </c>
      <c r="B635" s="3" t="str">
        <f ca="1">IFERROR(__xludf.DUMMYFUNCTION("GOOGLETRANSLATE(B635,""es"",""en"")"),"RT @Ojo_Publico: #LasBambas The disagreements between the leaders of Fuerabamba and the authorities of Apurímac, the absence of dialogue and distrust of the government are the main characteristics of the protest in Challhuahuacho against the Chinese minin"&amp;"g company MMG. https://t.co/UCH9ljxxuZ")</f>
        <v>RT @Ojo_Publico: #LasBambas The disagreements between the leaders of Fuerabamba and the authorities of Apurímac, the absence of dialogue and distrust of the government are the main characteristics of the protest in Challhuahuacho against the Chinese mining company MMG. https://t.co/UCH9ljxxuZ</v>
      </c>
      <c r="C635" s="2" t="s">
        <v>1495</v>
      </c>
      <c r="D635" s="1" t="s">
        <v>1496</v>
      </c>
    </row>
    <row r="636" spans="1:4" x14ac:dyDescent="0.15">
      <c r="A636" s="1" t="s">
        <v>1497</v>
      </c>
      <c r="B636" s="3" t="str">
        <f ca="1">IFERROR(__xludf.DUMMYFUNCTION("GOOGLETRANSLATE(B636,""es"",""en"")"),"RT @jgodoym: Good editorial from @SEMANAeconomica about Las Bambas. We must kill the dog in the manger https://t.co/8TArvrmQMl")</f>
        <v>RT @jgodoym: Good editorial from @SEMANAeconomica about Las Bambas. We must kill the dog in the manger https://t.co/8TArvrmQMl</v>
      </c>
      <c r="C636" s="2" t="s">
        <v>1498</v>
      </c>
      <c r="D636" s="1" t="s">
        <v>1496</v>
      </c>
    </row>
    <row r="637" spans="1:4" x14ac:dyDescent="0.15">
      <c r="A637" s="1" t="s">
        <v>1499</v>
      </c>
      <c r="B637" s="3" t="str">
        <f ca="1">IFERROR(__xludf.DUMMYFUNCTION("GOOGLETRANSLATE(B637,""es"",""en"")"),"The APRISM lived off of La Oroya @JVelasquezQ Corrupt!!! Then His government killed La Oroya. They sent more than 2,500 police officers to depress the workers. Now he is scratching himself in Las Bambas. First solve your problems. @MartinVizcarraC @@salde"&amp;"lsol @canalN_")</f>
        <v>The APRISM lived off of La Oroya @JVelasquezQ Corrupt!!! Then His government killed La Oroya. They sent more than 2,500 police officers to depress the workers. Now he is scratching himself in Las Bambas. First solve your problems. @MartinVizcarraC @@saldelsol @canalN_</v>
      </c>
      <c r="C637" s="2" t="s">
        <v>1500</v>
      </c>
      <c r="D637" s="1" t="s">
        <v>1496</v>
      </c>
    </row>
    <row r="638" spans="1:4" x14ac:dyDescent="0.15">
      <c r="A638" s="1" t="s">
        <v>1501</v>
      </c>
      <c r="B638" s="3" t="str">
        <f ca="1">IFERROR(__xludf.DUMMYFUNCTION("GOOGLETRANSLATE(B638,""es"",""en"")"),"@jenxways se ele me olhasse assim as pernas ficariam sneakers na hora")</f>
        <v>@jenxways se ele me olhasse assim as pernas ficariam sneakers na hora</v>
      </c>
      <c r="C638" s="2" t="s">
        <v>1502</v>
      </c>
      <c r="D638" s="1" t="s">
        <v>1496</v>
      </c>
    </row>
    <row r="639" spans="1:4" x14ac:dyDescent="0.15">
      <c r="A639" s="1" t="s">
        <v>1427</v>
      </c>
      <c r="B639" s="3" t="str">
        <f ca="1">IFERROR(__xludf.DUMMYFUNCTION("GOOGLETRANSLATE(B639,""es"",""en"")"),"RT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639" s="2" t="s">
        <v>1503</v>
      </c>
      <c r="D639" s="1" t="s">
        <v>1504</v>
      </c>
    </row>
    <row r="640" spans="1:4" x14ac:dyDescent="0.15">
      <c r="A640" s="1" t="s">
        <v>1505</v>
      </c>
      <c r="B640" s="3" t="str">
        <f ca="1">IFERROR(__xludf.DUMMYFUNCTION("GOOGLETRANSLATE(B640,""es"",""en"")"),"RT @gonzalesposadal: Government, judges and prosecutors retreat in the face of violence. Yesterday they released the community member responsible for blocking a national highway in Las Bambas; today they do the same with another leader who, drunk, rammed "&amp;"his car into police officers. Where is the authority? https://t.co/D2diWMRS6t")</f>
        <v>RT @gonzalesposadal: Government, judges and prosecutors retreat in the face of violence. Yesterday they released the community member responsible for blocking a national highway in Las Bambas; today they do the same with another leader who, drunk, rammed his car into police officers. Where is the authority? https://t.co/D2diWMRS6t</v>
      </c>
      <c r="C640" s="2" t="s">
        <v>1506</v>
      </c>
      <c r="D640" s="1" t="s">
        <v>1504</v>
      </c>
    </row>
    <row r="641" spans="1:4" x14ac:dyDescent="0.15">
      <c r="A641" s="1" t="s">
        <v>1507</v>
      </c>
      <c r="B641" s="3" t="str">
        <f ca="1">IFERROR(__xludf.DUMMYFUNCTION("GOOGLETRANSLATE(B641,""es"",""en"")"),"RT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641" s="2" t="s">
        <v>1508</v>
      </c>
      <c r="D641" s="1" t="s">
        <v>1509</v>
      </c>
    </row>
    <row r="642" spans="1:4" x14ac:dyDescent="0.15">
      <c r="A642" s="1" t="s">
        <v>1510</v>
      </c>
      <c r="B642" s="3" t="str">
        <f ca="1">IFERROR(__xludf.DUMMYFUNCTION("GOOGLETRANSLATE(B642,""es"",""en"")"),"@Gregorio_Goyo @HUGOCAM01369992 Conga opposes the copper megaproject, it has cost the country billions of dollars in investment, exports, taxes, canon, do not intervene in Las Bambas")</f>
        <v>@Gregorio_Goyo @HUGOCAM01369992 Conga opposes the copper megaproject, it has cost the country billions of dollars in investment, exports, taxes, canon, do not intervene in Las Bambas</v>
      </c>
      <c r="C642" s="2" t="s">
        <v>1511</v>
      </c>
      <c r="D642" s="1" t="s">
        <v>1509</v>
      </c>
    </row>
    <row r="643" spans="1:4" x14ac:dyDescent="0.15">
      <c r="A643" s="1" t="s">
        <v>1075</v>
      </c>
      <c r="B643" s="3" t="str">
        <f ca="1">IFERROR(__xludf.DUMMYFUNCTION("GOOGLETRANSLATE(B643,""es"",""en"")"),"RT @AlbertoBelaunde: Productive meeting of the Liberal Caucus with the premier. Among the topics discussed: anti-corruption fight, political reform, reconstruction, fight against gender violence, and the situation in Las Bambas.
Our confidence in his cab"&amp;"inet will be reflected in our vote this Thursday. https://t.co/AYidU7m2ZP")</f>
        <v>RT @AlbertoBelaunde: Productive meeting of the Liberal Caucus with the premier. Among the topics discussed: anti-corruption fight, political reform, reconstruction, fight against gender violence, and the situation in Las Bambas.
Our confidence in his cabinet will be reflected in our vote this Thursday. https://t.co/AYidU7m2ZP</v>
      </c>
      <c r="C643" s="2" t="s">
        <v>1512</v>
      </c>
      <c r="D643" s="1" t="s">
        <v>1513</v>
      </c>
    </row>
    <row r="644" spans="1:4" x14ac:dyDescent="0.15">
      <c r="A644" s="1" t="s">
        <v>1514</v>
      </c>
      <c r="B644" s="3" t="str">
        <f ca="1">IFERROR(__xludf.DUMMYFUNCTION("GOOGLETRANSLATE(B644,""es"",""en"")"),"RT @AlbertoBelaunde: Productive meeting of the Liberal Caucus with the premier. Among the topics discussed: anti-corruption fight, political reform, reconstruction, fight against gender violence, and the situation in Las Bambas.
Our confidence in his cab"&amp;"inet will be reflected in our vote this Thursday. https://t.co/AYidU7m2ZP")</f>
        <v>RT @AlbertoBelaunde: Productive meeting of the Liberal Caucus with the premier. Among the topics discussed: anti-corruption fight, political reform, reconstruction, fight against gender violence, and the situation in Las Bambas.
Our confidence in his cabinet will be reflected in our vote this Thursday. https://t.co/AYidU7m2ZP</v>
      </c>
      <c r="C644" s="2" t="s">
        <v>1515</v>
      </c>
      <c r="D644" s="1" t="s">
        <v>1513</v>
      </c>
    </row>
    <row r="645" spans="1:4" x14ac:dyDescent="0.15">
      <c r="A645" s="1" t="s">
        <v>1516</v>
      </c>
      <c r="B645" s="3" t="str">
        <f ca="1">IFERROR(__xludf.DUMMYFUNCTION("GOOGLETRANSLATE(B645,""es"",""en"")"),"RT @paolobenza: What's happening in Las Bambas? This happens in Las Bambas:
- The mine - at the time, the largest project in the country - was originally owned by Xstrata, which also had Antapaccay. 
- In 2013 Glencore bought Xstrata and, to complete the "&amp;"operation, China demanded... [thread]")</f>
        <v>RT @paolobenza: What's happening in Las Bambas? This happens in Las Bambas:
- The mine - at the time, the largest project in the country - was originally owned by Xstrata, which also had Antapaccay. 
- In 2013 Glencore bought Xstrata and, to complete the operation, China demanded... [thread]</v>
      </c>
      <c r="C645" s="2" t="s">
        <v>1517</v>
      </c>
      <c r="D645" s="1" t="s">
        <v>1513</v>
      </c>
    </row>
    <row r="646" spans="1:4" x14ac:dyDescent="0.15">
      <c r="A646" s="1" t="s">
        <v>1518</v>
      </c>
      <c r="B646" s="3" t="str">
        <f ca="1">IFERROR(__xludf.DUMMYFUNCTION("GOOGLETRANSLATE(B646,""es"",""en"")"),"RT @AlbertoBelaunde: Productive meeting of the Liberal Caucus with the premier. Among the topics discussed: anti-corruption fight, political reform, reconstruction, fight against gender violence, and the situation in Las Bambas.
Our confidence in his cab"&amp;"inet will be reflected in our vote this Thursday. https://t.co/AYidU7m2ZP")</f>
        <v>RT @AlbertoBelaunde: Productive meeting of the Liberal Caucus with the premier. Among the topics discussed: anti-corruption fight, political reform, reconstruction, fight against gender violence, and the situation in Las Bambas.
Our confidence in his cabinet will be reflected in our vote this Thursday. https://t.co/AYidU7m2ZP</v>
      </c>
      <c r="C646" s="2" t="s">
        <v>1519</v>
      </c>
      <c r="D646" s="1" t="s">
        <v>1520</v>
      </c>
    </row>
    <row r="647" spans="1:4" x14ac:dyDescent="0.15">
      <c r="A647" s="1" t="s">
        <v>1521</v>
      </c>
      <c r="B647" s="3" t="str">
        <f ca="1">IFERROR(__xludf.DUMMYFUNCTION("GOOGLETRANSLATE(B647,""es"",""en"")"),"RT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647" s="2" t="s">
        <v>1522</v>
      </c>
      <c r="D647" s="1" t="s">
        <v>1523</v>
      </c>
    </row>
    <row r="648" spans="1:4" x14ac:dyDescent="0.15">
      <c r="A648" s="1" t="s">
        <v>115</v>
      </c>
      <c r="B648" s="3" t="str">
        <f ca="1">IFERROR(__xludf.DUMMYFUNCTION("GOOGLETRANSLATE(B648,""es"",""en"")"),"RT @PrimerPedal: Question, I repeat, question:
Are those who mediated in Conga, Espinar and La Oroya the ones doing the same in Las Bambas?
If it's true, we already know how this story is going to end.")</f>
        <v>RT @PrimerPedal: Question, I repeat, question:
Are those who mediated in Conga, Espinar and La Oroya the ones doing the same in Las Bambas?
If it's true, we already know how this story is going to end.</v>
      </c>
      <c r="C648" s="2" t="s">
        <v>1524</v>
      </c>
      <c r="D648" s="1" t="s">
        <v>1523</v>
      </c>
    </row>
    <row r="649" spans="1:4" x14ac:dyDescent="0.15">
      <c r="A649" s="1" t="s">
        <v>1525</v>
      </c>
      <c r="B649" s="3" t="str">
        <f ca="1">IFERROR(__xludf.DUMMYFUNCTION("GOOGLETRANSLATE(B649,""es"",""en"")"),"RT @aleskrause: If you are looking to understand the origin of the conflict in Las Bambas, I suggest you read this article by Madeleine Osterling. Very clear.  https://t.co/SBywlaZCe8")</f>
        <v>RT @aleskrause: If you are looking to understand the origin of the conflict in Las Bambas, I suggest you read this article by Madeleine Osterling. Very clear.  https://t.co/SBywlaZCe8</v>
      </c>
      <c r="C649" s="2" t="s">
        <v>1526</v>
      </c>
      <c r="D649" s="1" t="s">
        <v>1527</v>
      </c>
    </row>
    <row r="650" spans="1:4" x14ac:dyDescent="0.15">
      <c r="A650" s="1" t="s">
        <v>1528</v>
      </c>
      <c r="B650" s="3" t="str">
        <f ca="1">IFERROR(__xludf.DUMMYFUNCTION("GOOGLETRANSLATE(B650,""es"",""en"")"),"RT @lokaldammert: RMP blocked me again. I don't know why, I had tried not to interact with her given her tendency to block. What would it have been, a like? My mockery of those who ignore the peasants of Las Bambas? Anyway. Share list of blockers with Mar"&amp;"tha Chávez, Rafael Rey and Carlos Meléndez")</f>
        <v>RT @lokaldammert: RMP blocked me again. I don't know why, I had tried not to interact with her given her tendency to block. What would it have been, a like? My mockery of those who ignore the peasants of Las Bambas? Anyway. Share list of blockers with Martha Chávez, Rafael Rey and Carlos Meléndez</v>
      </c>
      <c r="C650" s="2" t="s">
        <v>1529</v>
      </c>
      <c r="D650" s="1" t="s">
        <v>1527</v>
      </c>
    </row>
    <row r="651" spans="1:4" x14ac:dyDescent="0.15">
      <c r="A651" s="1" t="s">
        <v>1530</v>
      </c>
      <c r="B651" s="3" t="str">
        <f ca="1">IFERROR(__xludf.DUMMYFUNCTION("GOOGLETRANSLATE(B651,""es"",""en"")"),"RT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651" s="2" t="s">
        <v>1531</v>
      </c>
      <c r="D651" s="1" t="s">
        <v>1532</v>
      </c>
    </row>
    <row r="652" spans="1:4" x14ac:dyDescent="0.15">
      <c r="A652" s="1" t="s">
        <v>1445</v>
      </c>
      <c r="B652" s="3" t="str">
        <f ca="1">IFERROR(__xludf.DUMMYFUNCTION("GOOGLETRANSLATE(B652,""es"",""en"")"),"RT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652" s="2" t="s">
        <v>1533</v>
      </c>
      <c r="D652" s="1" t="s">
        <v>1532</v>
      </c>
    </row>
    <row r="653" spans="1:4" x14ac:dyDescent="0.15">
      <c r="A653" s="1" t="s">
        <v>241</v>
      </c>
      <c r="B653" s="3" t="str">
        <f ca="1">IFERROR(__xludf.DUMMYFUNCTION("GOOGLETRANSLATE(B653,""es"",""en"")"),"Will the community members unblock roads in #LasBambas if the state of emergency is lifted? Tell us what you think! Participate in our #Survey21 https://t.co/t7rf8xwbR9 https://t.co/8mGMfMIFap")</f>
        <v>Will the community members unblock roads in #LasBambas if the state of emergency is lifted? Tell us what you think! Participate in our #Survey21 https://t.co/t7rf8xwbR9 https://t.co/8mGMfMIFap</v>
      </c>
      <c r="C653" s="2" t="s">
        <v>1534</v>
      </c>
      <c r="D653" s="1" t="s">
        <v>1532</v>
      </c>
    </row>
    <row r="654" spans="1:4" x14ac:dyDescent="0.15">
      <c r="A654" s="1" t="s">
        <v>1535</v>
      </c>
      <c r="B654" s="3" t="str">
        <f ca="1">IFERROR(__xludf.DUMMYFUNCTION("GOOGLETRANSLATE(B654,""es"",""en"")"),"RT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654" s="2" t="s">
        <v>1536</v>
      </c>
      <c r="D654" s="1" t="s">
        <v>1532</v>
      </c>
    </row>
    <row r="655" spans="1:4" x14ac:dyDescent="0.15">
      <c r="A655" s="1" t="s">
        <v>1537</v>
      </c>
      <c r="B655" s="3" t="str">
        <f ca="1">IFERROR(__xludf.DUMMYFUNCTION("GOOGLETRANSLATE(B655,""es"",""en"")"),"RT @pruperu: How many of us would be freed if we drunks ran over police officers?
That “we are all equal before the law” is a simple saying that has nothing to do with reality https://t.co/1r2itujVVi")</f>
        <v>RT @pruperu: How many of us would be freed if we drunks ran over police officers?
That “we are all equal before the law” is a simple saying that has nothing to do with reality https://t.co/1r2itujVVi</v>
      </c>
      <c r="C655" s="2" t="s">
        <v>1538</v>
      </c>
      <c r="D655" s="1" t="s">
        <v>1532</v>
      </c>
    </row>
    <row r="656" spans="1:4" x14ac:dyDescent="0.15">
      <c r="A656" s="1" t="s">
        <v>1539</v>
      </c>
      <c r="B656" s="3" t="str">
        <f ca="1">IFERROR(__xludf.DUMMYFUNCTION("GOOGLETRANSLATE(B656,""es"",""en"")"),"RT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656" s="2" t="s">
        <v>1540</v>
      </c>
      <c r="D656" s="1" t="s">
        <v>1541</v>
      </c>
    </row>
    <row r="657" spans="1:4" x14ac:dyDescent="0.15">
      <c r="A657" s="1" t="s">
        <v>1447</v>
      </c>
      <c r="B657" s="3" t="str">
        <f ca="1">IFERROR(__xludf.DUMMYFUNCTION("GOOGLETRANSLATE(B657,""es"",""en"")"),"[LIVE] #NPortada Las Bambas: residents keep the road and access to the mine blocked in the Challhuahuacho area. It turned out that Gregorio Rojas would arrive in Apurímac this morning and will go to Yavi Yavi to hold an assembly ► https://t.co/oYIW8cxAGV "&amp;"https://t.co/pbzaOnzJrG")</f>
        <v>[LIVE] #NPortada Las Bambas: residents keep the road and access to the mine blocked in the Challhuahuacho area. It turned out that Gregorio Rojas would arrive in Apurímac this morning and will go to Yavi Yavi to hold an assembly ► https://t.co/oYIW8cxAGV https://t.co/pbzaOnzJrG</v>
      </c>
      <c r="C657" s="2" t="s">
        <v>1542</v>
      </c>
      <c r="D657" s="1" t="s">
        <v>1541</v>
      </c>
    </row>
    <row r="658" spans="1:4" x14ac:dyDescent="0.15">
      <c r="A658" s="1" t="s">
        <v>1543</v>
      </c>
      <c r="B658" s="3" t="str">
        <f ca="1">IFERROR(__xludf.DUMMYFUNCTION("GOOGLETRANSLATE(B658,""es"",""en"")"),"RT @canalN_: [LIVE] García Belaunde on Las Bambas: [To Del Solar] we have proposed the construction of a railway [...]. By declaring it as a national road, the State will subsidize it ► https://t.co/oYIW8cxAGV https://t.co/ugPFOFuMLK")</f>
        <v>RT @canalN_: [LIVE] García Belaunde on Las Bambas: [To Del Solar] we have proposed the construction of a railway [...]. By declaring it as a national road, the State will subsidize it ► https://t.co/oYIW8cxAGV https://t.co/ugPFOFuMLK</v>
      </c>
      <c r="C658" s="2" t="s">
        <v>1544</v>
      </c>
      <c r="D658" s="1" t="s">
        <v>1545</v>
      </c>
    </row>
    <row r="659" spans="1:4" x14ac:dyDescent="0.15">
      <c r="A659" s="1" t="s">
        <v>1546</v>
      </c>
      <c r="B659" s="3" t="str">
        <f ca="1">IFERROR(__xludf.DUMMYFUNCTION("GOOGLETRANSLATE(B659,""es"",""en"")"),"RT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659" s="2" t="s">
        <v>1547</v>
      </c>
      <c r="D659" s="1" t="s">
        <v>1545</v>
      </c>
    </row>
    <row r="660" spans="1:4" x14ac:dyDescent="0.15">
      <c r="A660" s="1" t="s">
        <v>1548</v>
      </c>
      <c r="B660" s="3" t="str">
        <f ca="1">IFERROR(__xludf.DUMMYFUNCTION("GOOGLETRANSLATE(B660,""es"",""en"")"),"RT @agildemeisterrrh: And once again, the Catholic Church saving the Peruvian government's skin, intervening as a mediator this time in Las Bambas! At this rate... better that the Church govern or give it the Ministry of the Presidency! From Ripley!")</f>
        <v>RT @agildemeisterrrh: And once again, the Catholic Church saving the Peruvian government's skin, intervening as a mediator this time in Las Bambas! At this rate... better that the Church govern or give it the Ministry of the Presidency! From Ripley!</v>
      </c>
      <c r="C660" s="2" t="s">
        <v>1549</v>
      </c>
      <c r="D660" s="1" t="s">
        <v>1550</v>
      </c>
    </row>
    <row r="661" spans="1:4" x14ac:dyDescent="0.15">
      <c r="A661" s="1" t="s">
        <v>1543</v>
      </c>
      <c r="B661" s="3" t="str">
        <f ca="1">IFERROR(__xludf.DUMMYFUNCTION("GOOGLETRANSLATE(B661,""es"",""en"")"),"RT @noticiAmerica: #CuartoPoder prepared a complete report in which it explains the origins of the conflict over the Las Bambas mining company, which dates back to the beginning of the century. Review it and draw your conclusions ► https://t.co/LyuFnZZBxp"&amp;" https://t.co/jyTUA8cDTs")</f>
        <v>RT @noticiAmerica: #CuartoPoder prepared a complete report in which it explains the origins of the conflict over the Las Bambas mining company, which dates back to the beginning of the century. Review it and draw your conclusions ► https://t.co/LyuFnZZBxp https://t.co/jyTUA8cDTs</v>
      </c>
      <c r="C661" s="2" t="s">
        <v>1551</v>
      </c>
      <c r="D661" s="1" t="s">
        <v>1550</v>
      </c>
    </row>
    <row r="662" spans="1:4" x14ac:dyDescent="0.15">
      <c r="A662" s="1" t="s">
        <v>1552</v>
      </c>
      <c r="B662" s="3" t="str">
        <f ca="1">IFERROR(__xludf.DUMMYFUNCTION("GOOGLETRANSLATE(B662,""es"",""en"")"),"Rapaz to with a serious problem in his legs, said the faculty and vim até or shopping and já estou with his sneakers' legs")</f>
        <v>Rapaz to with a serious problem in his legs, said the faculty and vim até or shopping and já estou with his sneakers' legs</v>
      </c>
      <c r="C662" s="2" t="s">
        <v>1553</v>
      </c>
      <c r="D662" s="1" t="s">
        <v>1554</v>
      </c>
    </row>
    <row r="663" spans="1:4" x14ac:dyDescent="0.15">
      <c r="A663" s="1" t="s">
        <v>1555</v>
      </c>
      <c r="B663" s="3" t="str">
        <f ca="1">IFERROR(__xludf.DUMMYFUNCTION("GOOGLETRANSLATE(B663,""es"",""en"")"),"Start doing training with Personal trainer leaf and when you die with the legs and sneakers later. NOW I'M GOING!")</f>
        <v>Start doing training with Personal trainer leaf and when you die with the legs and sneakers later. NOW I'M GOING!</v>
      </c>
      <c r="C663" s="2" t="s">
        <v>1556</v>
      </c>
      <c r="D663" s="1" t="s">
        <v>1557</v>
      </c>
    </row>
    <row r="664" spans="1:4" x14ac:dyDescent="0.15">
      <c r="A664" s="1" t="s">
        <v>1558</v>
      </c>
      <c r="B664" s="3" t="str">
        <f ca="1">IFERROR(__xludf.DUMMYFUNCTION("GOOGLETRANSLATE(B664,""es"",""en"")"),"RT @manifiesto_peru: PROSECUTOR ADMITS THAT THEY RELEASED THE LEADER EVALUATING THE POLITICAL SITUATION
They detained Gregorio Rojas after 6 months of investigation and wiretapping, but only then did they realize that protesters were asking him for dialo"&amp;"gue in Las Bambas ▶️ https://t.co/XtKUcgKWvW https://t.co/Sn1c9rY2Ra")</f>
        <v>RT @manifiesto_peru: PROSECUTOR ADMITS THAT THEY RELEASED THE LEADER EVALUATING THE POLITICAL SITUATION
They detained Gregorio Rojas after 6 months of investigation and wiretapping, but only then did they realize that protesters were asking him for dialogue in Las Bambas ▶️ https://t.co/XtKUcgKWvW https://t.co/Sn1c9rY2Ra</v>
      </c>
      <c r="C664" s="2" t="s">
        <v>1559</v>
      </c>
      <c r="D664" s="1" t="s">
        <v>1560</v>
      </c>
    </row>
    <row r="665" spans="1:4" x14ac:dyDescent="0.15">
      <c r="A665" s="1" t="s">
        <v>1537</v>
      </c>
      <c r="B665" s="3" t="str">
        <f ca="1">IFERROR(__xludf.DUMMYFUNCTION("GOOGLETRANSLATE(B665,""es"",""en"")"),"RT @PrimerPedal: Question, I repeat, question:
Are those who mediated in Conga, Espinar and La Oroya the ones doing the same in Las Bambas?
If it's true, we already know how this story is going to end.")</f>
        <v>RT @PrimerPedal: Question, I repeat, question:
Are those who mediated in Conga, Espinar and La Oroya the ones doing the same in Las Bambas?
If it's true, we already know how this story is going to end.</v>
      </c>
      <c r="C665" s="2" t="s">
        <v>1561</v>
      </c>
      <c r="D665" s="1" t="s">
        <v>1560</v>
      </c>
    </row>
    <row r="666" spans="1:4" x14ac:dyDescent="0.15">
      <c r="A666" s="1" t="s">
        <v>1562</v>
      </c>
      <c r="B666" s="3" t="str">
        <f ca="1">IFERROR(__xludf.DUMMYFUNCTION("GOOGLETRANSLATE(B666,""es"",""en"")"),"RT @canalN_: [LIVE] García Belaunde on Las Bambas: [To Del Solar] we have proposed the construction of a railway [...]. By declaring it as a national road, the State will subsidize it ► https://t.co/oYIW8cxAGV https://t.co/ugPFOFuMLK")</f>
        <v>RT @canalN_: [LIVE] García Belaunde on Las Bambas: [To Del Solar] we have proposed the construction of a railway [...]. By declaring it as a national road, the State will subsidize it ► https://t.co/oYIW8cxAGV https://t.co/ugPFOFuMLK</v>
      </c>
      <c r="C666" s="2" t="s">
        <v>1563</v>
      </c>
      <c r="D666" s="1" t="s">
        <v>1564</v>
      </c>
    </row>
    <row r="667" spans="1:4" x14ac:dyDescent="0.15">
      <c r="A667" s="1" t="s">
        <v>1565</v>
      </c>
      <c r="B667" s="3" t="str">
        <f ca="1">IFERROR(__xludf.DUMMYFUNCTION("GOOGLETRANSLATE(B667,""es"",""en"")"),"@peru21noticias The incapable Del Solar, could not solve the problem of the Las Bambas mining project, does NOT deserve the Vote of Confidence.
The State subjugates a people who only demand the abuse of rights. The right ends where the right of the other "&amp;"begins.")</f>
        <v>@peru21noticias The incapable Del Solar, could not solve the problem of the Las Bambas mining project, does NOT deserve the Vote of Confidence.
The State subjugates a people who only demand the abuse of rights. The right ends where the right of the other begins.</v>
      </c>
      <c r="C667" s="2" t="s">
        <v>1566</v>
      </c>
      <c r="D667" s="1" t="s">
        <v>1567</v>
      </c>
    </row>
    <row r="668" spans="1:4" x14ac:dyDescent="0.15">
      <c r="A668" s="1" t="s">
        <v>1543</v>
      </c>
      <c r="B668" s="3" t="str">
        <f ca="1">IFERROR(__xludf.DUMMYFUNCTION("GOOGLETRANSLATE(B668,""es"",""en"")"),"RT @canalN_: [LIVE] #NPortada Las Bambas: residents keep the road and access to the mine blocked in the Challhuahuacho area. It turned out that Gregorio Rojas would arrive in Apurímac this morning and will go to Yavi Yavi to hold an assembly ► https://t.c"&amp;"o/oYIW8cxAGV https://t.co/pbzaOnzJrG")</f>
        <v>RT @canalN_: [LIVE] #NPortada Las Bambas: residents keep the road and access to the mine blocked in the Challhuahuacho area. It turned out that Gregorio Rojas would arrive in Apurímac this morning and will go to Yavi Yavi to hold an assembly ► https://t.co/oYIW8cxAGV https://t.co/pbzaOnzJrG</v>
      </c>
      <c r="C668" s="2" t="s">
        <v>1568</v>
      </c>
      <c r="D668" s="1" t="s">
        <v>1567</v>
      </c>
    </row>
    <row r="669" spans="1:4" x14ac:dyDescent="0.15">
      <c r="A669" s="1" t="s">
        <v>235</v>
      </c>
      <c r="B669" s="3" t="str">
        <f ca="1">IFERROR(__xludf.DUMMYFUNCTION("GOOGLETRANSLATE(B669,""es"",""en"")"),"RT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669" s="2" t="s">
        <v>1569</v>
      </c>
      <c r="D669" s="1" t="s">
        <v>1567</v>
      </c>
    </row>
    <row r="670" spans="1:4" x14ac:dyDescent="0.15">
      <c r="A670" s="1" t="s">
        <v>1570</v>
      </c>
      <c r="B670" s="3" t="str">
        <f ca="1">IFERROR(__xludf.DUMMYFUNCTION("GOOGLETRANSLATE(B670,""es"",""en"")"),"RT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670" s="2" t="s">
        <v>1571</v>
      </c>
      <c r="D670" s="1" t="s">
        <v>1572</v>
      </c>
    </row>
    <row r="671" spans="1:4" x14ac:dyDescent="0.15">
      <c r="A671" s="1" t="s">
        <v>1573</v>
      </c>
      <c r="B671" s="3" t="str">
        <f ca="1">IFERROR(__xludf.DUMMYFUNCTION("GOOGLETRANSLATE(B671,""es"",""en"")"),"RT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671" s="2" t="s">
        <v>1574</v>
      </c>
      <c r="D671" s="1" t="s">
        <v>1575</v>
      </c>
    </row>
    <row r="672" spans="1:4" x14ac:dyDescent="0.15">
      <c r="A672" s="1" t="s">
        <v>1576</v>
      </c>
      <c r="B672" s="3" t="str">
        <f ca="1">IFERROR(__xludf.DUMMYFUNCTION("GOOGLETRANSLATE(B672,""es"",""en"")"),"RT @Jorgedelama: José De Echave talked about Las Bambas with Sol Carreño. He is a director of Cooperación, an anti-extractivist NGO that receives funds from the Open Society like its ""allies"". Abel Gilvonio works there, son of terrorists and a communist"&amp;" who attacked Cardinal Cipriani on Twitter Photos👇 https://t.co/l8BHyMqeao")</f>
        <v>RT @Jorgedelama: José De Echave talked about Las Bambas with Sol Carreño. He is a director of Cooperación, an anti-extractivist NGO that receives funds from the Open Society like its "allies". Abel Gilvonio works there, son of terrorists and a communist who attacked Cardinal Cipriani on Twitter Photos👇 https://t.co/l8BHyMqeao</v>
      </c>
      <c r="C672" s="2" t="s">
        <v>1577</v>
      </c>
      <c r="D672" s="1" t="s">
        <v>1578</v>
      </c>
    </row>
    <row r="673" spans="1:4" x14ac:dyDescent="0.15">
      <c r="A673" s="1" t="s">
        <v>1579</v>
      </c>
      <c r="B673" s="3" t="str">
        <f ca="1">IFERROR(__xludf.DUMMYFUNCTION("GOOGLETRANSLATE(B673,""es"",""en"")"),"RT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673" s="2" t="s">
        <v>1580</v>
      </c>
      <c r="D673" s="1" t="s">
        <v>1581</v>
      </c>
    </row>
    <row r="674" spans="1:4" x14ac:dyDescent="0.15">
      <c r="A674" s="1" t="s">
        <v>1582</v>
      </c>
      <c r="B674" s="3" t="str">
        <f ca="1">IFERROR(__xludf.DUMMYFUNCTION("GOOGLETRANSLATE(B674,""es"",""en"")"),"RT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674" s="2" t="s">
        <v>1583</v>
      </c>
      <c r="D674" s="1" t="s">
        <v>1581</v>
      </c>
    </row>
    <row r="675" spans="1:4" x14ac:dyDescent="0.15">
      <c r="A675" s="1" t="s">
        <v>1584</v>
      </c>
      <c r="B675" s="3" t="str">
        <f ca="1">IFERROR(__xludf.DUMMYFUNCTION("GOOGLETRANSLATE(B675,""es"",""en"")"),"travou a opening part that shows shanks and taste as pernas estao sneakers")</f>
        <v>travou a opening part that shows shanks and taste as pernas estao sneakers</v>
      </c>
      <c r="C675" s="2" t="s">
        <v>1585</v>
      </c>
      <c r="D675" s="1" t="s">
        <v>1586</v>
      </c>
    </row>
    <row r="676" spans="1:4" x14ac:dyDescent="0.15">
      <c r="A676" s="1" t="s">
        <v>1587</v>
      </c>
      <c r="B676" s="3" t="str">
        <f ca="1">IFERROR(__xludf.DUMMYFUNCTION("GOOGLETRANSLATE(B676,""es"",""en"")"),"RT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676" s="2" t="s">
        <v>1588</v>
      </c>
      <c r="D676" s="1" t="s">
        <v>1589</v>
      </c>
    </row>
    <row r="677" spans="1:4" x14ac:dyDescent="0.15">
      <c r="A677" s="1" t="s">
        <v>1590</v>
      </c>
      <c r="B677" s="3" t="str">
        <f ca="1">IFERROR(__xludf.DUMMYFUNCTION("GOOGLETRANSLATE(B677,""es"",""en"")"),"RT @peru21noticias: Will the community members unblock the road in #LasBambas if the state of emergency is lifted? Tell us what you think! Participate in our #Survey21 https://t.co/t7rf8xwbR9 https://t.co/8mGMfMIFap")</f>
        <v>RT @peru21noticias: Will the community members unblock the road in #LasBambas if the state of emergency is lifted? Tell us what you think! Participate in our #Survey21 https://t.co/t7rf8xwbR9 https://t.co/8mGMfMIFap</v>
      </c>
      <c r="C677" s="2" t="s">
        <v>1591</v>
      </c>
      <c r="D677" s="1" t="s">
        <v>1592</v>
      </c>
    </row>
    <row r="678" spans="1:4" x14ac:dyDescent="0.15">
      <c r="A678" s="1" t="s">
        <v>1593</v>
      </c>
      <c r="B678" s="3" t="str">
        <f ca="1">IFERROR(__xludf.DUMMYFUNCTION("GOOGLETRANSLATE(B678,""es"",""en"")"),"RT @canalN_: [LIVE] #NPortada Las Bambas: residents keep the road and access to the mine blocked in the Challhuahuacho area. It turned out that Gregorio Rojas would arrive in Apurímac this morning and will go to Yavi Yavi to hold an assembly ► https://t.c"&amp;"o/oYIW8cxAGV https://t.co/pbzaOnzJrG")</f>
        <v>RT @canalN_: [LIVE] #NPortada Las Bambas: residents keep the road and access to the mine blocked in the Challhuahuacho area. It turned out that Gregorio Rojas would arrive in Apurímac this morning and will go to Yavi Yavi to hold an assembly ► https://t.co/oYIW8cxAGV https://t.co/pbzaOnzJrG</v>
      </c>
      <c r="C678" s="2" t="s">
        <v>1594</v>
      </c>
      <c r="D678" s="1" t="s">
        <v>1595</v>
      </c>
    </row>
    <row r="679" spans="1:4" x14ac:dyDescent="0.15">
      <c r="A679" s="1" t="s">
        <v>1596</v>
      </c>
      <c r="B679" s="3" t="str">
        <f ca="1">IFERROR(__xludf.DUMMYFUNCTION("GOOGLETRANSLATE(B679,""es"",""en"")"),"THE WAY TO RESOLVE THE LAS BAMBAS LAWSUIT IS BY RETURNING TO THE INITIAL CONTRACT: THE MINING PIPELINE AND NOT THE HIGHWAY. THERE IS NO OTHER WAY OUT. LET'S LEARN TO RESPECT WHAT YOU SIGN TO GAIN TRUST.")</f>
        <v>THE WAY TO RESOLVE THE LAS BAMBAS LAWSUIT IS BY RETURNING TO THE INITIAL CONTRACT: THE MINING PIPELINE AND NOT THE HIGHWAY. THERE IS NO OTHER WAY OUT. LET'S LEARN TO RESPECT WHAT YOU SIGN TO GAIN TRUST.</v>
      </c>
      <c r="C679" s="2" t="s">
        <v>1597</v>
      </c>
      <c r="D679" s="1" t="s">
        <v>1595</v>
      </c>
    </row>
    <row r="680" spans="1:4" x14ac:dyDescent="0.15">
      <c r="A680" s="1" t="s">
        <v>1598</v>
      </c>
      <c r="B680" s="3" t="str">
        <f ca="1">IFERROR(__xludf.DUMMYFUNCTION("GOOGLETRANSLATE(B680,""es"",""en"")"),"Gregorio Rojas agrees with the vice president of the community not to dialogue until the release of advisors (VIDEO) https://t.co/8pWLNrIR4p https://t.co/cKEumCXSc2")</f>
        <v>Gregorio Rojas agrees with the vice president of the community not to dialogue until the release of advisors (VIDEO) https://t.co/8pWLNrIR4p https://t.co/cKEumCXSc2</v>
      </c>
      <c r="C680" s="2" t="s">
        <v>1599</v>
      </c>
      <c r="D680" s="1" t="s">
        <v>1600</v>
      </c>
    </row>
    <row r="681" spans="1:4" x14ac:dyDescent="0.15">
      <c r="A681" s="1" t="s">
        <v>783</v>
      </c>
      <c r="B681" s="3" t="str">
        <f ca="1">IFERROR(__xludf.DUMMYFUNCTION("GOOGLETRANSLATE(B681,""es"",""en"")"),"Government estimates paying S/ 350 million to overcome conflict in Las Bambas https://t.co/LGDihiw1Z7 via @Gestionpe")</f>
        <v>Government estimates paying S/ 350 million to overcome conflict in Las Bambas https://t.co/LGDihiw1Z7 via @Gestionpe</v>
      </c>
      <c r="C681" s="2" t="s">
        <v>1601</v>
      </c>
      <c r="D681" s="1" t="s">
        <v>1600</v>
      </c>
    </row>
    <row r="682" spans="1:4" x14ac:dyDescent="0.15">
      <c r="A682" s="1" t="s">
        <v>1168</v>
      </c>
      <c r="B682" s="3" t="str">
        <f ca="1">IFERROR(__xludf.DUMMYFUNCTION("GOOGLETRANSLATE(B682,""es"",""en"")"),"@ricarparr1 @carlos1504511 Before that, Xstrata had no problems in Las Bambas. Do you see how even though they are on opposite sides, the communists are the same crap on both sides? Greetings")</f>
        <v>@ricarparr1 @carlos1504511 Before that, Xstrata had no problems in Las Bambas. Do you see how even though they are on opposite sides, the communists are the same crap on both sides? Greetings</v>
      </c>
      <c r="C682" s="2" t="s">
        <v>1602</v>
      </c>
      <c r="D682" s="1" t="s">
        <v>1600</v>
      </c>
    </row>
    <row r="683" spans="1:4" x14ac:dyDescent="0.15">
      <c r="A683" s="1" t="s">
        <v>1603</v>
      </c>
      <c r="B683" s="3" t="str">
        <f ca="1">IFERROR(__xludf.DUMMYFUNCTION("GOOGLETRANSLATE(B683,""es"",""en"")"),"RT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683" s="2" t="s">
        <v>1604</v>
      </c>
      <c r="D683" s="1" t="s">
        <v>1600</v>
      </c>
    </row>
    <row r="684" spans="1:4" x14ac:dyDescent="0.15">
      <c r="A684" s="1" t="s">
        <v>1605</v>
      </c>
      <c r="B684" s="3" t="str">
        <f ca="1">IFERROR(__xludf.DUMMYFUNCTION("GOOGLETRANSLATE(B684,""es"",""en"")"),"I thought I didn't integrate, I only imagine my legs are wearing shoes from so much dancing.")</f>
        <v>I thought I didn't integrate, I only imagine my legs are wearing shoes from so much dancing.</v>
      </c>
      <c r="C684" s="2" t="s">
        <v>1606</v>
      </c>
      <c r="D684" s="1" t="s">
        <v>1600</v>
      </c>
    </row>
    <row r="685" spans="1:4" x14ac:dyDescent="0.15">
      <c r="A685" s="1" t="s">
        <v>319</v>
      </c>
      <c r="B685" s="3" t="str">
        <f ca="1">IFERROR(__xludf.DUMMYFUNCTION("GOOGLETRANSLATE(B685,""es"",""en"")"),"RT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685" s="2" t="s">
        <v>1607</v>
      </c>
      <c r="D685" s="1" t="s">
        <v>1608</v>
      </c>
    </row>
    <row r="686" spans="1:4" x14ac:dyDescent="0.15">
      <c r="A686" s="1" t="s">
        <v>1609</v>
      </c>
      <c r="B686" s="3" t="str">
        <f ca="1">IFERROR(__xludf.DUMMYFUNCTION("GOOGLETRANSLATE(B686,""es"",""en"")"),"""If we continue to believe that the private sector will assume the responsibilities that in any modern society correspond to the State, this will not happen."" David Rivera's new column in @ HacerPeruPe https://t.co/BT0RZW3YGH")</f>
        <v>"If we continue to believe that the private sector will assume the responsibilities that in any modern society correspond to the State, this will not happen." David Rivera's new column in @ HacerPeruPe https://t.co/BT0RZW3YGH</v>
      </c>
      <c r="C686" s="2" t="s">
        <v>1610</v>
      </c>
      <c r="D686" s="1" t="s">
        <v>1611</v>
      </c>
    </row>
    <row r="687" spans="1:4" x14ac:dyDescent="0.15">
      <c r="A687" s="1" t="s">
        <v>1612</v>
      </c>
      <c r="B687" s="3" t="str">
        <f ca="1">IFERROR(__xludf.DUMMYFUNCTION("GOOGLETRANSLATE(B687,""es"",""en"")"),"This version of the events in Las Bambas is well explained https://t.co/rjBjRPLAsP")</f>
        <v>This version of the events in Las Bambas is well explained https://t.co/rjBjRPLAsP</v>
      </c>
      <c r="C687" s="2" t="s">
        <v>1613</v>
      </c>
      <c r="D687" s="1" t="s">
        <v>1611</v>
      </c>
    </row>
    <row r="688" spans="1:4" x14ac:dyDescent="0.15">
      <c r="A688" s="1" t="s">
        <v>1614</v>
      </c>
      <c r="B688" s="3" t="str">
        <f ca="1">IFERROR(__xludf.DUMMYFUNCTION("GOOGLETRANSLATE(B688,""es"",""en"")"),"RT @CarlosLimoVi: @suselparedes Susel is that you are so capable that now they ask you to see the sneakers.")</f>
        <v>RT @CarlosLimoVi: @suselparedes Susel is that you are so capable that now they ask you to see the sneakers.</v>
      </c>
      <c r="C688" s="2" t="s">
        <v>1615</v>
      </c>
      <c r="D688" s="1" t="s">
        <v>1611</v>
      </c>
    </row>
    <row r="689" spans="1:4" x14ac:dyDescent="0.15">
      <c r="A689" s="1" t="s">
        <v>1451</v>
      </c>
      <c r="B689" s="3" t="str">
        <f ca="1">IFERROR(__xludf.DUMMYFUNCTION("GOOGLETRANSLATE(B689,""es"",""en"")"),"RT @ HacerPeruPe: ""The Peruvian State has at least two underlying problems. One is the inability to comply with minimum commitments in basic infrastructure and social policy. The second, development plans that are laundry lists of projects to be executed"&amp;""" https: //t.co/BT0RZWlA5h")</f>
        <v>RT @ HacerPeruPe: "The Peruvian State has at least two underlying problems. One is the inability to comply with minimum commitments in basic infrastructure and social policy. The second, development plans that are laundry lists of projects to be executed" https: //t.co/BT0RZWlA5h</v>
      </c>
      <c r="C689" s="2" t="s">
        <v>1616</v>
      </c>
      <c r="D689" s="1" t="s">
        <v>1617</v>
      </c>
    </row>
    <row r="690" spans="1:4" x14ac:dyDescent="0.15">
      <c r="A690" s="1" t="s">
        <v>1618</v>
      </c>
      <c r="B690" s="3" t="str">
        <f ca="1">IFERROR(__xludf.DUMMYFUNCTION("GOOGLETRANSLATE(B690,""es"",""en"")"),"LAS BAMBAS – PERU (I) read it at: https://t.co/DR5Lsvdz7R https://t.co/WLSle5b2Tf")</f>
        <v>LAS BAMBAS – PERU (I) read it at: https://t.co/DR5Lsvdz7R https://t.co/WLSle5b2Tf</v>
      </c>
      <c r="C690" s="2" t="s">
        <v>1619</v>
      </c>
      <c r="D690" s="1" t="s">
        <v>1620</v>
      </c>
    </row>
    <row r="691" spans="1:4" x14ac:dyDescent="0.15">
      <c r="A691" s="1" t="s">
        <v>1621</v>
      </c>
      <c r="B691" s="3" t="str">
        <f ca="1">IFERROR(__xludf.DUMMYFUNCTION("GOOGLETRANSLATE(B691,""es"",""en"")"),"RT @MijaelGLP: #LasBambas: What would happen if the communities were owners of the wealth of the subsoil on which they live? The State would only have to regulate. And if any mining company wants to buy their land, let them make the poor rich. That is tru"&amp;"ly free market.
https://t.co/Uf2OXFtmLa")</f>
        <v>RT @MijaelGLP: #LasBambas: What would happen if the communities were owners of the wealth of the subsoil on which they live? The State would only have to regulate. And if any mining company wants to buy their land, let them make the poor rich. That is truly free market.
https://t.co/Uf2OXFtmLa</v>
      </c>
      <c r="C691" s="2" t="s">
        <v>1622</v>
      </c>
      <c r="D691" s="1" t="s">
        <v>1623</v>
      </c>
    </row>
    <row r="692" spans="1:4" x14ac:dyDescent="0.15">
      <c r="A692" s="1" t="s">
        <v>1624</v>
      </c>
      <c r="B692" s="3" t="str">
        <f ca="1">IFERROR(__xludf.DUMMYFUNCTION("GOOGLETRANSLATE(B692,""es"",""en"")"),"RT @Ojo_Publico: #LoÚltimo Community members of Fuerabamba remain at the Manantiales sentry box, where the entrance to the #LasBambas mine is located. A few hours ago Gregorio Rojas, president of the community, arrived in #Cusco and is awaiting his arriva"&amp;"l in the district of Challhuahuacho. https://t.co/UCH9ljxxuZ https://t.co/06MksUVkTZ")</f>
        <v>RT @Ojo_Publico: #LoÚltimo Community members of Fuerabamba remain at the Manantiales sentry box, where the entrance to the #LasBambas mine is located. A few hours ago Gregorio Rojas, president of the community, arrived in #Cusco and is awaiting his arrival in the district of Challhuahuacho. https://t.co/UCH9ljxxuZ https://t.co/06MksUVkTZ</v>
      </c>
      <c r="C692" s="2" t="s">
        <v>1625</v>
      </c>
      <c r="D692" s="1" t="s">
        <v>1623</v>
      </c>
    </row>
    <row r="693" spans="1:4" x14ac:dyDescent="0.15">
      <c r="A693" s="1" t="s">
        <v>1562</v>
      </c>
      <c r="B693" s="3" t="str">
        <f ca="1">IFERROR(__xludf.DUMMYFUNCTION("GOOGLETRANSLATE(B693,""es"",""en"")"),"RT @agildemeisterrrh: And once again, the Catholic Church saving the Peruvian government's skin, intervening as a mediator this time in Las Bambas! At this rate... better that the Church govern or give it the Ministry of the Presidency! From Ripley!")</f>
        <v>RT @agildemeisterrrh: And once again, the Catholic Church saving the Peruvian government's skin, intervening as a mediator this time in Las Bambas! At this rate... better that the Church govern or give it the Ministry of the Presidency! From Ripley!</v>
      </c>
      <c r="C693" s="2" t="s">
        <v>1626</v>
      </c>
      <c r="D693" s="1" t="s">
        <v>1627</v>
      </c>
    </row>
    <row r="694" spans="1:4" x14ac:dyDescent="0.15">
      <c r="A694" s="1" t="s">
        <v>1628</v>
      </c>
      <c r="B694" s="3" t="str">
        <f ca="1">IFERROR(__xludf.DUMMYFUNCTION("GOOGLETRANSLATE(B694,""es"",""en"")"),"RT @ttovarsamanez: To better understand what is happening in Las Bambas. The version of a priest who works in Cotabambas and knows what the life of the peasants is like. They are not the rich and exploited that some journalists paint them as. They are sim"&amp;"ple people and they suffer a lot... https://t.co/gjfBeZkila")</f>
        <v>RT @ttovarsamanez: To better understand what is happening in Las Bambas. The version of a priest who works in Cotabambas and knows what the life of the peasants is like. They are not the rich and exploited that some journalists paint them as. They are simple people and they suffer a lot... https://t.co/gjfBeZkila</v>
      </c>
      <c r="C694" s="2" t="s">
        <v>1629</v>
      </c>
      <c r="D694" s="1" t="s">
        <v>1627</v>
      </c>
    </row>
    <row r="695" spans="1:4" x14ac:dyDescent="0.15">
      <c r="A695" s="1" t="s">
        <v>1630</v>
      </c>
      <c r="B695" s="3" t="str">
        <f ca="1">IFERROR(__xludf.DUMMYFUNCTION("GOOGLETRANSLATE(B695,""es"",""en"")"),"#POLITICS Welcome to the Rule of Law, where the State does not know if its paid staff are going to work in Las Bambas https://t.co/lKqlga4H5J https://t.co/UjijfkWIcD")</f>
        <v>#POLITICS Welcome to the Rule of Law, where the State does not know if its paid staff are going to work in Las Bambas https://t.co/lKqlga4H5J https://t.co/UjijfkWIcD</v>
      </c>
      <c r="C695" s="2" t="s">
        <v>1631</v>
      </c>
      <c r="D695" s="1" t="s">
        <v>1632</v>
      </c>
    </row>
    <row r="696" spans="1:4" x14ac:dyDescent="0.15">
      <c r="A696" s="1" t="s">
        <v>1633</v>
      </c>
      <c r="B696" s="3" t="str">
        <f ca="1">IFERROR(__xludf.DUMMYFUNCTION("GOOGLETRANSLATE(B696,""es"",""en"")"),"The Foreign Ministry doesn't even care about the issue of Las Bambas or giving it a good and definitive... https://t.co/Zqi2jyLh4D")</f>
        <v>The Foreign Ministry doesn't even care about the issue of Las Bambas or giving it a good and definitive... https://t.co/Zqi2jyLh4D</v>
      </c>
      <c r="C696" s="2" t="s">
        <v>1634</v>
      </c>
      <c r="D696" s="1" t="s">
        <v>1632</v>
      </c>
    </row>
    <row r="697" spans="1:4" x14ac:dyDescent="0.15">
      <c r="A697" s="1" t="s">
        <v>1075</v>
      </c>
      <c r="B697" s="3" t="str">
        <f ca="1">IFERROR(__xludf.DUMMYFUNCTION("GOOGLETRANSLATE(B697,""es"",""en"")"),"RT @matuk: #POLITICS Welcome to the Rule of Law, where the State does not know if its paid staff are going to work in Las Bambas https://t.co/lKqlga4H5J https://t.co/UjijfkWIcD")</f>
        <v>RT @matuk: #POLITICS Welcome to the Rule of Law, where the State does not know if its paid staff are going to work in Las Bambas https://t.co/lKqlga4H5J https://t.co/UjijfkWIcD</v>
      </c>
      <c r="C697" s="2" t="s">
        <v>1635</v>
      </c>
      <c r="D697" s="1" t="s">
        <v>1636</v>
      </c>
    </row>
    <row r="698" spans="1:4" x14ac:dyDescent="0.15">
      <c r="A698" s="1" t="s">
        <v>1637</v>
      </c>
      <c r="B698" s="3" t="str">
        <f ca="1">IFERROR(__xludf.DUMMYFUNCTION("GOOGLETRANSLATE(B698,""es"",""en"")"),"Tonight on @ContactoN_ we talked with @tuesta about electoral reform. With @Frospigliosi about Las Bambas and with @VictorAndresGB about the conversation with Premier @saldelsol and the future of @yonhy_lescano. 
We are waiting for you at 11 at @canalN_!"&amp;" https://t.co/W1tN76Bwc0")</f>
        <v>Tonight on @ContactoN_ we talked with @tuesta about electoral reform. With @Frospigliosi about Las Bambas and with @VictorAndresGB about the conversation with Premier @saldelsol and the future of @yonhy_lescano. 
We are waiting for you at 11 at @canalN_! https://t.co/W1tN76Bwc0</v>
      </c>
      <c r="C698" s="2" t="s">
        <v>1638</v>
      </c>
      <c r="D698" s="1" t="s">
        <v>1639</v>
      </c>
    </row>
    <row r="699" spans="1:4" x14ac:dyDescent="0.15">
      <c r="A699" s="1" t="s">
        <v>1530</v>
      </c>
      <c r="B699" s="3" t="str">
        <f ca="1">IFERROR(__xludf.DUMMYFUNCTION("GOOGLETRANSLATE(B699,""es"",""en"")"),"RT @matuk: #POLITICS Welcome to the Rule of Law, where the State does not know if its paid staff are going to work in Las Bambas https://t.co/lKqlga4H5J https://t.co/UjijfkWIcD")</f>
        <v>RT @matuk: #POLITICS Welcome to the Rule of Law, where the State does not know if its paid staff are going to work in Las Bambas https://t.co/lKqlga4H5J https://t.co/UjijfkWIcD</v>
      </c>
      <c r="C699" s="2" t="s">
        <v>1640</v>
      </c>
      <c r="D699" s="1" t="s">
        <v>1639</v>
      </c>
    </row>
    <row r="700" spans="1:4" x14ac:dyDescent="0.15">
      <c r="A700" s="1" t="s">
        <v>1641</v>
      </c>
      <c r="B700" s="3" t="str">
        <f ca="1">IFERROR(__xludf.DUMMYFUNCTION("GOOGLETRANSLATE(B700,""es"",""en"")"),"@FiscaliaPeru Please do not open doors to new “reasons” for terrorism. To the general corruption and the Judiciary, add these issues that will take a heavy toll: The terrible way of handling the Las Bambas case and the total lack of a plan to legally inse"&amp;"rt foreigners.")</f>
        <v>@FiscaliaPeru Please do not open doors to new “reasons” for terrorism. To the general corruption and the Judiciary, add these issues that will take a heavy toll: The terrible way of handling the Las Bambas case and the total lack of a plan to legally insert foreigners.</v>
      </c>
      <c r="C700" s="2" t="s">
        <v>1642</v>
      </c>
      <c r="D700" s="1" t="s">
        <v>1643</v>
      </c>
    </row>
    <row r="701" spans="1:4" x14ac:dyDescent="0.15">
      <c r="A701" s="1" t="s">
        <v>1644</v>
      </c>
      <c r="B701" s="3" t="str">
        <f ca="1">IFERROR(__xludf.DUMMYFUNCTION("GOOGLETRANSLATE(B701,""es"",""en"")"),"The return of her sneakers is like the perfume of Bohemia. I only find myself after the balance of emotions. daughter of the great whore!")</f>
        <v>The return of her sneakers is like the perfume of Bohemia. I only find myself after the balance of emotions. daughter of the great whore!</v>
      </c>
      <c r="C701" s="2" t="s">
        <v>1645</v>
      </c>
      <c r="D701" s="1" t="s">
        <v>1643</v>
      </c>
    </row>
    <row r="702" spans="1:4" x14ac:dyDescent="0.15">
      <c r="A702" s="1" t="s">
        <v>1646</v>
      </c>
      <c r="B702" s="3" t="str">
        <f ca="1">IFERROR(__xludf.DUMMYFUNCTION("GOOGLETRANSLATE(B702,""es"",""en"")"),"RT @canalN_: [LIVE] García Belaunde on Las Bambas: [To Del Solar] we have proposed the construction of a railway [...]. By declaring it as a national road, the State will subsidize it ► https://t.co/oYIW8cxAGV https://t.co/ugPFOFuMLK")</f>
        <v>RT @canalN_: [LIVE] García Belaunde on Las Bambas: [To Del Solar] we have proposed the construction of a railway [...]. By declaring it as a national road, the State will subsidize it ► https://t.co/oYIW8cxAGV https://t.co/ugPFOFuMLK</v>
      </c>
      <c r="C702" s="2" t="s">
        <v>1647</v>
      </c>
      <c r="D702" s="1" t="s">
        <v>1648</v>
      </c>
    </row>
    <row r="703" spans="1:4" x14ac:dyDescent="0.15">
      <c r="A703" s="1" t="s">
        <v>1649</v>
      </c>
      <c r="B703" s="3" t="str">
        <f ca="1">IFERROR(__xludf.DUMMYFUNCTION("GOOGLETRANSLATE(B703,""es"",""en"")"),"Now they use the burning bus on all channels as psychosocial. Everyone forget about the Bambas.
@canalN_ @exitosape @RPPNoticias @atv_noticias The marmelera leiva already came out crying??? https://t.co/yyktmrtSDr")</f>
        <v>Now they use the burning bus on all channels as psychosocial. Everyone forget about the Bambas.
@canalN_ @exitosape @RPPNoticias @atv_noticias The marmelera leiva already came out crying??? https://t.co/yyktmrtSDr</v>
      </c>
      <c r="C703" s="2" t="s">
        <v>1650</v>
      </c>
      <c r="D703" s="1" t="s">
        <v>1651</v>
      </c>
    </row>
    <row r="704" spans="1:4" x14ac:dyDescent="0.15">
      <c r="A704" s="1" t="s">
        <v>1652</v>
      </c>
      <c r="B704" s="3" t="str">
        <f ca="1">IFERROR(__xludf.DUMMYFUNCTION("GOOGLETRANSLATE(B704,""es"",""en"")"),"RT @Frospigliosi: Tres D @larepublica_pe with @alvarezrodrich @lauermirko https://t.co/Q215IJRWw9 https://t.co/Q215IJRWw9")</f>
        <v>RT @Frospigliosi: Tres D @larepublica_pe with @alvarezrodrich @lauermirko https://t.co/Q215IJRWw9 https://t.co/Q215IJRWw9</v>
      </c>
      <c r="C704" s="2" t="s">
        <v>1653</v>
      </c>
      <c r="D704" s="1" t="s">
        <v>1654</v>
      </c>
    </row>
    <row r="705" spans="1:4" x14ac:dyDescent="0.15">
      <c r="A705" s="1" t="s">
        <v>1655</v>
      </c>
      <c r="B705" s="3" t="str">
        <f ca="1">IFERROR(__xludf.DUMMYFUNCTION("GOOGLETRANSLATE(B705,""es"",""en"")"),"RT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705" s="2" t="s">
        <v>1656</v>
      </c>
      <c r="D705" s="1" t="s">
        <v>1654</v>
      </c>
    </row>
    <row r="706" spans="1:4" x14ac:dyDescent="0.15">
      <c r="A706" s="1" t="s">
        <v>1596</v>
      </c>
      <c r="B706" s="3" t="str">
        <f ca="1">IFERROR(__xludf.DUMMYFUNCTION("GOOGLETRANSLATE(B706,""es"",""en"")"),"@AlbertoBelaunde Solution to the Las Bambas lawsuit involves returning to the initial contract: Mine pipeline and not highway. Let's learn to respect what is signed to gain trust, trust is the best capital to treasure.")</f>
        <v>@AlbertoBelaunde Solution to the Las Bambas lawsuit involves returning to the initial contract: Mine pipeline and not highway. Let's learn to respect what is signed to gain trust, trust is the best capital to treasure.</v>
      </c>
      <c r="C706" s="2" t="s">
        <v>1657</v>
      </c>
      <c r="D706" s="1" t="s">
        <v>1654</v>
      </c>
    </row>
    <row r="707" spans="1:4" x14ac:dyDescent="0.15">
      <c r="A707" s="1" t="s">
        <v>1658</v>
      </c>
      <c r="B707" s="3" t="str">
        <f ca="1">IFERROR(__xludf.DUMMYFUNCTION("GOOGLETRANSLATE(B707,""es"",""en"")"),"RT @Agencia_Andina: Las Bambas: Government will persist in a solution without violence, affirms Minister Carlos Morán, head of @MininterPeru https://t.co/DfIaP5uV6X https://t.co/1j0xehaWCq")</f>
        <v>RT @Agencia_Andina: Las Bambas: Government will persist in a solution without violence, affirms Minister Carlos Morán, head of @MininterPeru https://t.co/DfIaP5uV6X https://t.co/1j0xehaWCq</v>
      </c>
      <c r="C707" s="2" t="s">
        <v>1659</v>
      </c>
      <c r="D707" s="1" t="s">
        <v>1660</v>
      </c>
    </row>
    <row r="708" spans="1:4" x14ac:dyDescent="0.15">
      <c r="A708" s="1" t="s">
        <v>1661</v>
      </c>
      <c r="B708" s="3" t="str">
        <f ca="1">IFERROR(__xludf.DUMMYFUNCTION("GOOGLETRANSLATE(B708,""es"",""en"")"),"Jorge Spelucín, Vice President of the Environmental Defense Front, reports on the actions they will take to address the country's environmental conflict problems such as the Las Bambas case https://t.co/FHbi3vzWzC")</f>
        <v>Jorge Spelucín, Vice President of the Environmental Defense Front, reports on the actions they will take to address the country's environmental conflict problems such as the Las Bambas case https://t.co/FHbi3vzWzC</v>
      </c>
      <c r="C708" s="2" t="s">
        <v>1662</v>
      </c>
      <c r="D708" s="1" t="s">
        <v>1663</v>
      </c>
    </row>
    <row r="709" spans="1:4" x14ac:dyDescent="0.15">
      <c r="A709" s="1" t="s">
        <v>1664</v>
      </c>
      <c r="B709" s="3" t="str">
        <f ca="1">IFERROR(__xludf.DUMMYFUNCTION("GOOGLETRANSLATE(B709,""es"",""en"")"),"RT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709" s="2" t="s">
        <v>1665</v>
      </c>
      <c r="D709" s="1" t="s">
        <v>1663</v>
      </c>
    </row>
    <row r="710" spans="1:4" x14ac:dyDescent="0.15">
      <c r="A710" s="1" t="s">
        <v>1666</v>
      </c>
      <c r="B710" s="3" t="str">
        <f ca="1">IFERROR(__xludf.DUMMYFUNCTION("GOOGLETRANSLATE(B710,""es"",""en"")"),"RT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710" s="2" t="s">
        <v>1667</v>
      </c>
      <c r="D710" s="1" t="s">
        <v>1668</v>
      </c>
    </row>
    <row r="711" spans="1:4" x14ac:dyDescent="0.15">
      <c r="A711" s="1" t="s">
        <v>1562</v>
      </c>
      <c r="B711" s="3" t="str">
        <f ca="1">IFERROR(__xludf.DUMMYFUNCTION("GOOGLETRANSLATE(B711,""es"",""en"")"),"RT @alfonsobaella: FIRST BLOCKADE, NOW MARCH AGAINST THE MINE. GOVERNMENT FINDS NO SOLUTION: Hundreds of residents of 38 communities of Challhuahuacho in Apurímac began the march towards the Las Bambas mining company. @LasBambasPeru @saldelsol @pcmperu @M"&amp;"artinVizcarraC https://t.co/mq5Wrq4D9I")</f>
        <v>RT @alfonsobaella: FIRST BLOCKADE, NOW MARCH AGAINST THE MINE. GOVERNMENT FINDS NO SOLUTION: Hundreds of residents of 38 communities of Challhuahuacho in Apurímac began the march towards the Las Bambas mining company. @LasBambasPeru @saldelsol @pcmperu @MartinVizcarraC https://t.co/mq5Wrq4D9I</v>
      </c>
      <c r="C711" s="2" t="s">
        <v>1669</v>
      </c>
      <c r="D711" s="1" t="s">
        <v>1668</v>
      </c>
    </row>
    <row r="712" spans="1:4" x14ac:dyDescent="0.15">
      <c r="A712" s="1" t="s">
        <v>1670</v>
      </c>
      <c r="B712" s="3" t="str">
        <f ca="1">IFERROR(__xludf.DUMMYFUNCTION("GOOGLETRANSLATE(B712,""es"",""en"")"),"RT @Pedro_vrae: The problem in Fuerabamba - in the Las Bambas mining corridor - is poverty, based on illiteracy, alcoholism and the disintegration of peasant identity. They received a lot of money from the mine, but few knew how to invest, the rest squand"&amp;"ered https://t.co/pcw8TMb4UQ")</f>
        <v>RT @Pedro_vrae: The problem in Fuerabamba - in the Las Bambas mining corridor - is poverty, based on illiteracy, alcoholism and the disintegration of peasant identity. They received a lot of money from the mine, but few knew how to invest, the rest squandered https://t.co/pcw8TMb4UQ</v>
      </c>
      <c r="C712" s="2" t="s">
        <v>1671</v>
      </c>
      <c r="D712" s="1" t="s">
        <v>1668</v>
      </c>
    </row>
    <row r="713" spans="1:4" x14ac:dyDescent="0.15">
      <c r="A713" s="1" t="s">
        <v>1672</v>
      </c>
      <c r="B713" s="3" t="str">
        <f ca="1">IFERROR(__xludf.DUMMYFUNCTION("GOOGLETRANSLATE(B713,""es"",""en"")"),"@ContactoN_ @tuesta @Frospigliosi @VictorAndresGB @saldelsol @yonhy_lescano @canalN_ Ha, ha, Ha, ha, Ha, ha, ha.
With Rospigliosi on Las Bambas 🙄🙄🙄. Better ask him about Arequipazo 😛")</f>
        <v>@ContactoN_ @tuesta @Frospigliosi @VictorAndresGB @saldelsol @yonhy_lescano @canalN_ Ha, ha, Ha, ha, Ha, ha, ha.
With Rospigliosi on Las Bambas 🙄🙄🙄. Better ask him about Arequipazo 😛</v>
      </c>
      <c r="C713" s="2" t="s">
        <v>1673</v>
      </c>
      <c r="D713" s="1" t="s">
        <v>1674</v>
      </c>
    </row>
    <row r="714" spans="1:4" x14ac:dyDescent="0.15">
      <c r="A714" s="1" t="s">
        <v>1675</v>
      </c>
      <c r="B714" s="3" t="str">
        <f ca="1">IFERROR(__xludf.DUMMYFUNCTION("GOOGLETRANSLATE(B714,""es"",""en"")"),"RT @luislchihuan: PROSECUTOR ADMITS THAT THEY RELEASED THE LEADER OF THE BAMBAS AFTER EVALUATING THE POLITICAL SITUATION. WHAT THE SHELL, IS THIS HOW THE LAWS ARE HANDLED IN PERU? KEIKO MUST BE RELEASED IMMEDIATELY. LET'S SEE WHAT CONCRESISTS OF F.P. DO.")</f>
        <v>RT @luislchihuan: PROSECUTOR ADMITS THAT THEY RELEASED THE LEADER OF THE BAMBAS AFTER EVALUATING THE POLITICAL SITUATION. WHAT THE SHELL, IS THIS HOW THE LAWS ARE HANDLED IN PERU? KEIKO MUST BE RELEASED IMMEDIATELY. LET'S SEE WHAT CONCRESISTS OF F.P. DO.</v>
      </c>
      <c r="C714" s="2" t="s">
        <v>1676</v>
      </c>
      <c r="D714" s="1" t="s">
        <v>1677</v>
      </c>
    </row>
    <row r="715" spans="1:4" x14ac:dyDescent="0.15">
      <c r="A715" s="1" t="s">
        <v>1678</v>
      </c>
      <c r="B715" s="3" t="str">
        <f ca="1">IFERROR(__xludf.DUMMYFUNCTION("GOOGLETRANSLATE(B715,""es"",""en"")"),"José de Echave: “A community is not a criminal organization” https://t.co/9P1T0nLsy0")</f>
        <v>José de Echave: “A community is not a criminal organization” https://t.co/9P1T0nLsy0</v>
      </c>
      <c r="C715" s="2" t="s">
        <v>1679</v>
      </c>
      <c r="D715" s="1" t="s">
        <v>1680</v>
      </c>
    </row>
    <row r="716" spans="1:4" x14ac:dyDescent="0.15">
      <c r="A716" s="1" t="s">
        <v>908</v>
      </c>
      <c r="B716" s="3" t="str">
        <f ca="1">IFERROR(__xludf.DUMMYFUNCTION("GOOGLETRANSLATE(B716,""es"",""en"")"),"RT @AlbertoBelaunde: Productive meeting of the Liberal Caucus with the premier. Among the topics discussed: anti-corruption fight, political reform, reconstruction, fight against gender violence, and the situation in Las Bambas.
Our confidence in his cab"&amp;"inet will be reflected in our vote this Thursday. https://t.co/AYidU7m2ZP")</f>
        <v>RT @AlbertoBelaunde: Productive meeting of the Liberal Caucus with the premier. Among the topics discussed: anti-corruption fight, political reform, reconstruction, fight against gender violence, and the situation in Las Bambas.
Our confidence in his cabinet will be reflected in our vote this Thursday. https://t.co/AYidU7m2ZP</v>
      </c>
      <c r="C716" s="2" t="s">
        <v>1681</v>
      </c>
      <c r="D716" s="1" t="s">
        <v>1682</v>
      </c>
    </row>
    <row r="717" spans="1:4" x14ac:dyDescent="0.15">
      <c r="A717" s="1" t="s">
        <v>1683</v>
      </c>
      <c r="B717" s="3" t="str">
        <f ca="1">IFERROR(__xludf.DUMMYFUNCTION("GOOGLETRANSLATE(B717,""es"",""en"")"),"@clacova13 I do not agree with either the street blockades or the blockade of mining projects, however the comparison is not good. Las bambas is a megaproject.")</f>
        <v>@clacova13 I do not agree with either the street blockades or the blockade of mining projects, however the comparison is not good. Las bambas is a megaproject.</v>
      </c>
      <c r="C717" s="2" t="s">
        <v>1684</v>
      </c>
      <c r="D717" s="1" t="s">
        <v>1685</v>
      </c>
    </row>
    <row r="718" spans="1:4" x14ac:dyDescent="0.15">
      <c r="A718" s="1" t="s">
        <v>1686</v>
      </c>
      <c r="B718" s="3" t="str">
        <f ca="1">IFERROR(__xludf.DUMMYFUNCTION("GOOGLETRANSLATE(B718,""es"",""en"")"),"RT @lamula: #LasBambas # ConflictosMineros
The PCM made that proposal to the leader of the Fuerabamba community, Gregorio Rojas, during the meeting they held on Sunday to begin a process that seeks to end the conflict. (Photo: Trome) ►https://t.co/vM0byo3"&amp;"dCT")</f>
        <v>RT @lamula: #LasBambas # ConflictosMineros
The PCM made that proposal to the leader of the Fuerabamba community, Gregorio Rojas, during the meeting they held on Sunday to begin a process that seeks to end the conflict. (Photo: Trome) ►https://t.co/vM0byo3dCT</v>
      </c>
      <c r="C718" s="2" t="s">
        <v>1687</v>
      </c>
      <c r="D718" s="1" t="s">
        <v>1688</v>
      </c>
    </row>
    <row r="719" spans="1:4" x14ac:dyDescent="0.15">
      <c r="A719" s="1" t="s">
        <v>1689</v>
      </c>
      <c r="B719" s="3" t="str">
        <f ca="1">IFERROR(__xludf.DUMMYFUNCTION("GOOGLETRANSLATE(B719,""es"",""en"")"),"Things in Las Bambas require in-depth investigation, we do not want a mining company that pollutes; Nor do we want community members who enrich themselves with the sweat of many of their own people driven by ignorance, the #Sotelo brothers have to be inve"&amp;"stigated as they should be.")</f>
        <v>Things in Las Bambas require in-depth investigation, we do not want a mining company that pollutes; Nor do we want community members who enrich themselves with the sweat of many of their own people driven by ignorance, the #Sotelo brothers have to be investigated as they should be.</v>
      </c>
      <c r="C719" s="2" t="s">
        <v>1690</v>
      </c>
      <c r="D719" s="1" t="s">
        <v>1691</v>
      </c>
    </row>
    <row r="720" spans="1:4" x14ac:dyDescent="0.15">
      <c r="A720" s="1" t="s">
        <v>1692</v>
      </c>
      <c r="B720" s="3" t="str">
        <f ca="1">IFERROR(__xludf.DUMMYFUNCTION("GOOGLETRANSLATE(B720,""es"",""en"")"),"RT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720" s="2" t="s">
        <v>1693</v>
      </c>
      <c r="D720" s="1" t="s">
        <v>1691</v>
      </c>
    </row>
    <row r="721" spans="1:4" x14ac:dyDescent="0.15">
      <c r="A721" s="1" t="s">
        <v>1694</v>
      </c>
      <c r="B721" s="3" t="str">
        <f ca="1">IFERROR(__xludf.DUMMYFUNCTION("GOOGLETRANSLATE(B721,""es"",""en"")"),"RT @Inka_Awki_Capac: @patarevalo @AdrianzenEduard Ok, the importance of the State but you have the state in chihuan mode like the congressmen and judges, who say that it is not enough for them. And even the community members of Las Bambas, who ask for S/ "&amp;"500 million because the house of U$ 750,000 and the bonus of approximately S/ 1 million per family are not enough.
What do the rest of us do?")</f>
        <v>RT @Inka_Awki_Capac: @patarevalo @AdrianzenEduard Ok, the importance of the State but you have the state in chihuan mode like the congressmen and judges, who say that it is not enough for them. And even the community members of Las Bambas, who ask for S/ 500 million because the house of U$ 750,000 and the bonus of approximately S/ 1 million per family are not enough.
What do the rest of us do?</v>
      </c>
      <c r="C721" s="2" t="s">
        <v>1695</v>
      </c>
      <c r="D721" s="1" t="s">
        <v>1696</v>
      </c>
    </row>
    <row r="722" spans="1:4" x14ac:dyDescent="0.15">
      <c r="A722" s="1" t="s">
        <v>1697</v>
      </c>
      <c r="B722" s="3" t="str">
        <f ca="1">IFERROR(__xludf.DUMMYFUNCTION("GOOGLETRANSLATE(B722,""es"",""en"")"),"@MilagrosLeivaG @rubenllerena In Las Bambas they have the luxury of not accepting from other communities in their school. And then they complain about discrimination")</f>
        <v>@MilagrosLeivaG @rubenllerena In Las Bambas they have the luxury of not accepting from other communities in their school. And then they complain about discrimination</v>
      </c>
      <c r="C722" s="2" t="s">
        <v>1698</v>
      </c>
      <c r="D722" s="1" t="s">
        <v>1696</v>
      </c>
    </row>
    <row r="723" spans="1:4" x14ac:dyDescent="0.15">
      <c r="A723" s="1" t="s">
        <v>1699</v>
      </c>
      <c r="B723" s="3" t="str">
        <f ca="1">IFERROR(__xludf.DUMMYFUNCTION("GOOGLETRANSLATE(B723,""es"",""en"")"),"@mxtv027 Seu pé ta ferrado? I don't have to spend half an hour thermal gel on my legs, my legs are wearing sneakers")</f>
        <v>@mxtv027 Seu pé ta ferrado? I don't have to spend half an hour thermal gel on my legs, my legs are wearing sneakers</v>
      </c>
      <c r="C723" s="2" t="s">
        <v>1700</v>
      </c>
      <c r="D723" s="1" t="s">
        <v>1701</v>
      </c>
    </row>
    <row r="724" spans="1:4" x14ac:dyDescent="0.15">
      <c r="A724" s="1" t="s">
        <v>1702</v>
      </c>
      <c r="B724" s="3" t="str">
        <f ca="1">IFERROR(__xludf.DUMMYFUNCTION("GOOGLETRANSLATE(B724,""es"",""en"")"),"dear crush,
You still made me look like your legs with a smile on your side like you did when I met you and wanted more than anything to kiss your mouth. You still make me smile like an idiot like you did when you said something nice when I discovered th"&amp;"at you liked vc+")</f>
        <v>dear crush,
You still made me look like your legs with a smile on your side like you did when I met you and wanted more than anything to kiss your mouth. You still make me smile like an idiot like you did when you said something nice when I discovered that you liked vc+</v>
      </c>
      <c r="C724" s="2" t="s">
        <v>1703</v>
      </c>
      <c r="D724" s="1" t="s">
        <v>1701</v>
      </c>
    </row>
    <row r="725" spans="1:4" x14ac:dyDescent="0.15">
      <c r="A725" s="1" t="s">
        <v>1704</v>
      </c>
      <c r="B725" s="3" t="str">
        <f ca="1">IFERROR(__xludf.DUMMYFUNCTION("GOOGLETRANSLATE(B725,""es"",""en"")"),"RT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725" s="2" t="s">
        <v>1705</v>
      </c>
      <c r="D725" s="1" t="s">
        <v>1706</v>
      </c>
    </row>
    <row r="726" spans="1:4" x14ac:dyDescent="0.15">
      <c r="A726" s="1" t="s">
        <v>1707</v>
      </c>
      <c r="B726" s="3" t="str">
        <f ca="1">IFERROR(__xludf.DUMMYFUNCTION("GOOGLETRANSLATE(B726,""es"",""en"")"),"RT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726" s="2" t="s">
        <v>1708</v>
      </c>
      <c r="D726" s="1" t="s">
        <v>1709</v>
      </c>
    </row>
    <row r="727" spans="1:4" x14ac:dyDescent="0.15">
      <c r="A727" s="1" t="s">
        <v>1710</v>
      </c>
      <c r="B727" s="3" t="str">
        <f ca="1">IFERROR(__xludf.DUMMYFUNCTION("GOOGLETRANSLATE(B727,""es"",""en"")"),"RT @Agencia_Andina: Las Bambas: head of @TC_Peru advocates for dialogue and collaboration of all parties https://t.co/YoV0pkIinu https://t.co/pSbgiaFL0F")</f>
        <v>RT @Agencia_Andina: Las Bambas: head of @TC_Peru advocates for dialogue and collaboration of all parties https://t.co/YoV0pkIinu https://t.co/pSbgiaFL0F</v>
      </c>
      <c r="C727" s="2" t="s">
        <v>1711</v>
      </c>
      <c r="D727" s="1" t="s">
        <v>1712</v>
      </c>
    </row>
    <row r="728" spans="1:4" x14ac:dyDescent="0.15">
      <c r="A728" s="1" t="s">
        <v>1713</v>
      </c>
      <c r="B728" s="3" t="str">
        <f ca="1">IFERROR(__xludf.DUMMYFUNCTION("GOOGLETRANSLATE(B728,""es"",""en"")"),"RT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728" s="2" t="s">
        <v>1714</v>
      </c>
      <c r="D728" s="1" t="s">
        <v>1715</v>
      </c>
    </row>
    <row r="729" spans="1:4" x14ac:dyDescent="0.15">
      <c r="A729" s="1" t="s">
        <v>1716</v>
      </c>
      <c r="B729" s="3" t="str">
        <f ca="1">IFERROR(__xludf.DUMMYFUNCTION("GOOGLETRANSLATE(B729,""es"",""en"")"),"RT @Larissa33848195: Minhas pernas estão bambas do treino de hoje.")</f>
        <v>RT @Larissa33848195: Minhas pernas estão bambas do treino de hoje.</v>
      </c>
      <c r="C729" s="2" t="s">
        <v>1717</v>
      </c>
      <c r="D729" s="1" t="s">
        <v>1715</v>
      </c>
    </row>
    <row r="730" spans="1:4" x14ac:dyDescent="0.15">
      <c r="A730" s="1" t="s">
        <v>1718</v>
      </c>
      <c r="B730" s="3" t="str">
        <f ca="1">IFERROR(__xludf.DUMMYFUNCTION("GOOGLETRANSLATE(B730,""es"",""en"")"),"RT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730" s="2" t="s">
        <v>1719</v>
      </c>
      <c r="D730" s="1" t="s">
        <v>1715</v>
      </c>
    </row>
    <row r="731" spans="1:4" x14ac:dyDescent="0.15">
      <c r="A731" s="1" t="s">
        <v>1562</v>
      </c>
      <c r="B731" s="3" t="str">
        <f ca="1">IFERROR(__xludf.DUMMYFUNCTION("GOOGLETRANSLATE(B731,""es"",""en"")"),"RT @TubinoCarlos: @canalN_ The Communeros are armed with Huaracas, IT IS A LETHAL WEAPON, I hope that the @MininterPeru does not send unarmed PNPs, we must not forget that in Tía María a PNP Technician died after being stoned. The Las Bambas Conflict has "&amp;"been allowed to grow, it has 50 days; we didn't learn anything from Bagua!!!")</f>
        <v>RT @TubinoCarlos: @canalN_ The Communeros are armed with Huaracas, IT IS A LETHAL WEAPON, I hope that the @MininterPeru does not send unarmed PNPs, we must not forget that in Tía María a PNP Technician died after being stoned. The Las Bambas Conflict has been allowed to grow, it has 50 days; we didn't learn anything from Bagua!!!</v>
      </c>
      <c r="C731" s="2" t="s">
        <v>1720</v>
      </c>
      <c r="D731" s="1" t="s">
        <v>1721</v>
      </c>
    </row>
    <row r="732" spans="1:4" x14ac:dyDescent="0.15">
      <c r="A732" s="1" t="s">
        <v>1722</v>
      </c>
      <c r="B732" s="3" t="str">
        <f ca="1">IFERROR(__xludf.DUMMYFUNCTION("GOOGLETRANSLATE(B732,""es"",""en"")"),"RT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732" s="2" t="s">
        <v>1723</v>
      </c>
      <c r="D732" s="1" t="s">
        <v>1721</v>
      </c>
    </row>
    <row r="733" spans="1:4" x14ac:dyDescent="0.15">
      <c r="A733" s="1" t="s">
        <v>1724</v>
      </c>
      <c r="B733" s="3" t="str">
        <f ca="1">IFERROR(__xludf.DUMMYFUNCTION("GOOGLETRANSLATE(B733,""es"",""en"")"),"RT @aaronsalomong: Las Bambas: State will pay up to S/ 350 million to end the conflict https://t.co/C0BWP0yt6B")</f>
        <v>RT @aaronsalomong: Las Bambas: State will pay up to S/ 350 million to end the conflict https://t.co/C0BWP0yt6B</v>
      </c>
      <c r="C733" s="2" t="s">
        <v>1725</v>
      </c>
      <c r="D733" s="1" t="s">
        <v>1726</v>
      </c>
    </row>
    <row r="734" spans="1:4" x14ac:dyDescent="0.15">
      <c r="A734" s="1" t="s">
        <v>1727</v>
      </c>
      <c r="B734" s="3" t="str">
        <f ca="1">IFERROR(__xludf.DUMMYFUNCTION("GOOGLETRANSLATE(B734,""es"",""en"")"),"RT @noticias_tvperu: LIVE | @bankada spokesperson, @TubinoCarlos, on the conflict in Las Bambas: “We are watching this issue closely, but its solution is up to the Government” #TVPerúInforma #CaraACara https://t.co/8O3i2qnzUH")</f>
        <v>RT @noticias_tvperu: LIVE | @bankada spokesperson, @TubinoCarlos, on the conflict in Las Bambas: “We are watching this issue closely, but its solution is up to the Government” #TVPerúInforma #CaraACara https://t.co/8O3i2qnzUH</v>
      </c>
      <c r="C734" s="2" t="s">
        <v>1728</v>
      </c>
      <c r="D734" s="1" t="s">
        <v>1729</v>
      </c>
    </row>
    <row r="735" spans="1:4" x14ac:dyDescent="0.15">
      <c r="A735" s="1" t="s">
        <v>1730</v>
      </c>
      <c r="B735" s="3" t="str">
        <f ca="1">IFERROR(__xludf.DUMMYFUNCTION("GOOGLETRANSLATE(B735,""es"",""en"")"),"Good question from @MavilaHuertasC to César Villanueva: If the executive spent 115 million soles on consultancies to train himself, then what happened to Las Bambas that has not yet been solved?")</f>
        <v>Good question from @MavilaHuertasC to César Villanueva: If the executive spent 115 million soles on consultancies to train himself, then what happened to Las Bambas that has not yet been solved?</v>
      </c>
      <c r="C735" s="2" t="s">
        <v>1731</v>
      </c>
      <c r="D735" s="1" t="s">
        <v>1732</v>
      </c>
    </row>
    <row r="736" spans="1:4" x14ac:dyDescent="0.15">
      <c r="A736" s="1" t="s">
        <v>845</v>
      </c>
      <c r="B736" s="3" t="str">
        <f ca="1">IFERROR(__xludf.DUMMYFUNCTION("GOOGLETRANSLATE(B736,""es"",""en"")"),"RT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736" s="2" t="s">
        <v>1733</v>
      </c>
      <c r="D736" s="1" t="s">
        <v>1734</v>
      </c>
    </row>
    <row r="737" spans="1:4" x14ac:dyDescent="0.15">
      <c r="A737" s="1" t="s">
        <v>1735</v>
      </c>
      <c r="B737" s="3" t="str">
        <f ca="1">IFERROR(__xludf.DUMMYFUNCTION("GOOGLETRANSLATE(B737,""es"",""en"")"),"RT @MijaelGLP: #LasBambas: What would happen if the communities were owners of the wealth of the subsoil on which they live? The State would only have to regulate. And if any mining company wants to buy their land, let them make the poor rich. That is tru"&amp;"ly free market.
https://t.co/Uf2OXFtmLa")</f>
        <v>RT @MijaelGLP: #LasBambas: What would happen if the communities were owners of the wealth of the subsoil on which they live? The State would only have to regulate. And if any mining company wants to buy their land, let them make the poor rich. That is truly free market.
https://t.co/Uf2OXFtmLa</v>
      </c>
      <c r="C737" s="2" t="s">
        <v>1736</v>
      </c>
      <c r="D737" s="1" t="s">
        <v>1737</v>
      </c>
    </row>
    <row r="738" spans="1:4" x14ac:dyDescent="0.15">
      <c r="A738" s="1" t="s">
        <v>1738</v>
      </c>
      <c r="B738" s="3" t="str">
        <f ca="1">IFERROR(__xludf.DUMMYFUNCTION("GOOGLETRANSLATE(B738,""es"",""en"")"),"@RPPNoticias @JaimeChincha @VictorAndresGB When he is blind and says that there is no conflict in kas sneakers. They were?")</f>
        <v>@RPPNoticias @JaimeChincha @VictorAndresGB When he is blind and says that there is no conflict in kas sneakers. They were?</v>
      </c>
      <c r="C738" s="2" t="s">
        <v>1739</v>
      </c>
      <c r="D738" s="1" t="s">
        <v>1740</v>
      </c>
    </row>
    <row r="739" spans="1:4" x14ac:dyDescent="0.15">
      <c r="A739" s="1" t="s">
        <v>641</v>
      </c>
      <c r="B739" s="3" t="str">
        <f ca="1">IFERROR(__xludf.DUMMYFUNCTION("GOOGLETRANSLATE(B739,""es"",""en"")"),"RT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739" s="2" t="s">
        <v>1741</v>
      </c>
      <c r="D739" s="1" t="s">
        <v>1740</v>
      </c>
    </row>
    <row r="740" spans="1:4" x14ac:dyDescent="0.15">
      <c r="A740" s="1" t="s">
        <v>1742</v>
      </c>
      <c r="B740" s="3" t="str">
        <f ca="1">IFERROR(__xludf.DUMMYFUNCTION("GOOGLETRANSLATE(B740,""es"",""en"")"),"RT @noticias_tvperu: LIVE | @bankada spokesperson, @TubinoCarlos, on the conflict in Las Bambas: “We are watching this issue closely, but its solution is up to the Government” #TVPerúInforma #CaraACara https://t.co/8O3i2qnzUH")</f>
        <v>RT @noticias_tvperu: LIVE | @bankada spokesperson, @TubinoCarlos, on the conflict in Las Bambas: “We are watching this issue closely, but its solution is up to the Government” #TVPerúInforma #CaraACara https://t.co/8O3i2qnzUH</v>
      </c>
      <c r="C740" s="2" t="s">
        <v>1743</v>
      </c>
      <c r="D740" s="1" t="s">
        <v>1740</v>
      </c>
    </row>
    <row r="741" spans="1:4" x14ac:dyDescent="0.15">
      <c r="A741" s="1" t="s">
        <v>1744</v>
      </c>
      <c r="B741" s="3" t="str">
        <f ca="1">IFERROR(__xludf.DUMMYFUNCTION("GOOGLETRANSLATE(B741,""es"",""en"")"),"RT @canalN_: [LIVE] #NPortada Las Bambas: residents keep the road and access to the mine blocked in the Challhuahuacho area. It turned out that Gregorio Rojas would arrive in Apurímac this morning and will go to Yavi Yavi to hold an assembly ► https://t.c"&amp;"o/oYIW8cxAGV https://t.co/pbzaOnzJrG")</f>
        <v>RT @canalN_: [LIVE] #NPortada Las Bambas: residents keep the road and access to the mine blocked in the Challhuahuacho area. It turned out that Gregorio Rojas would arrive in Apurímac this morning and will go to Yavi Yavi to hold an assembly ► https://t.co/oYIW8cxAGV https://t.co/pbzaOnzJrG</v>
      </c>
      <c r="C741" s="2" t="s">
        <v>1745</v>
      </c>
      <c r="D741" s="1" t="s">
        <v>1740</v>
      </c>
    </row>
    <row r="742" spans="1:4" x14ac:dyDescent="0.15">
      <c r="A742" s="1" t="s">
        <v>1746</v>
      </c>
      <c r="B742" s="3" t="str">
        <f ca="1">IFERROR(__xludf.DUMMYFUNCTION("GOOGLETRANSLATE(B742,""es"",""en"")"),"48-hour Regional Strike Platform in Apurimac. Lifting of the State of Emergency, cessation of judicial persecution of leaders and community members; Review of the Contract with Las Bambas, payment of taxes because they are exploiting mineral. The country "&amp;"is not sold, it is defended with courage! https://t.co/E9u91qYrn6")</f>
        <v>48-hour Regional Strike Platform in Apurimac. Lifting of the State of Emergency, cessation of judicial persecution of leaders and community members; Review of the Contract with Las Bambas, payment of taxes because they are exploiting mineral. The country is not sold, it is defended with courage! https://t.co/E9u91qYrn6</v>
      </c>
      <c r="C742" s="2" t="s">
        <v>1747</v>
      </c>
      <c r="D742" s="1" t="s">
        <v>1748</v>
      </c>
    </row>
    <row r="743" spans="1:4" x14ac:dyDescent="0.15">
      <c r="A743" s="1" t="s">
        <v>1749</v>
      </c>
      <c r="B743" s="3" t="str">
        <f ca="1">IFERROR(__xludf.DUMMYFUNCTION("GOOGLETRANSLATE(B743,""es"",""en"")"),"RT @ContactoN_: Tonight on @ContactoN_ we talked with @tuesta about electoral reform. With @Frospigliosi about Las Bambas and with @VictorAndresGB about the conversation with Premier @saldelsol and the future of @yonhy_lescano. 
We are waiting for you at"&amp;" 11 at @canalN_! https://t.co/W1tN76Bwc0")</f>
        <v>RT @ContactoN_: Tonight on @ContactoN_ we talked with @tuesta about electoral reform. With @Frospigliosi about Las Bambas and with @VictorAndresGB about the conversation with Premier @saldelsol and the future of @yonhy_lescano. 
We are waiting for you at 11 at @canalN_! https://t.co/W1tN76Bwc0</v>
      </c>
      <c r="C743" s="2" t="s">
        <v>1750</v>
      </c>
      <c r="D743" s="1" t="s">
        <v>1748</v>
      </c>
    </row>
    <row r="744" spans="1:4" x14ac:dyDescent="0.15">
      <c r="A744" s="1" t="s">
        <v>1751</v>
      </c>
      <c r="B744" s="3" t="str">
        <f ca="1">IFERROR(__xludf.DUMMYFUNCTION("GOOGLETRANSLATE(B744,""es"",""en"")"),"🔴 #NEDenRPP with @JaimeChincha | @VictorAndresGB: ""We have not seen that there is a clear solution for sneakers."" 
Follow the interview on 📺 Movistar 10 - 710 HD https://t.co/joqeBTl9dG")</f>
        <v>🔴 #NEDenRPP with @JaimeChincha | @VictorAndresGB: "We have not seen that there is a clear solution for sneakers." 
Follow the interview on 📺 Movistar 10 - 710 HD https://t.co/joqeBTl9dG</v>
      </c>
      <c r="C744" s="2" t="s">
        <v>1752</v>
      </c>
      <c r="D744" s="1" t="s">
        <v>1748</v>
      </c>
    </row>
    <row r="745" spans="1:4" x14ac:dyDescent="0.15">
      <c r="A745" s="1" t="s">
        <v>1753</v>
      </c>
      <c r="B745" s="3" t="str">
        <f ca="1">IFERROR(__xludf.DUMMYFUNCTION("GOOGLETRANSLATE(B745,""es"",""en"")"),"RT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745" s="2" t="s">
        <v>1754</v>
      </c>
      <c r="D745" s="1" t="s">
        <v>1755</v>
      </c>
    </row>
    <row r="746" spans="1:4" x14ac:dyDescent="0.15">
      <c r="A746" s="1" t="s">
        <v>1756</v>
      </c>
      <c r="B746" s="3" t="str">
        <f ca="1">IFERROR(__xludf.DUMMYFUNCTION("GOOGLETRANSLATE(B746,""es"",""en"")"),"RT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746" s="2" t="s">
        <v>1757</v>
      </c>
      <c r="D746" s="1" t="s">
        <v>1755</v>
      </c>
    </row>
    <row r="747" spans="1:4" x14ac:dyDescent="0.15">
      <c r="A747" s="1" t="s">
        <v>1758</v>
      </c>
      <c r="B747" s="3" t="str">
        <f ca="1">IFERROR(__xludf.DUMMYFUNCTION("GOOGLETRANSLATE(B747,""es"",""en"")"),"#LasBambas | Kilometers of misunderstandings, a chronicle by Fernando Vivas https://t.co/I6FTkA4772 via @elcomercio_peru")</f>
        <v>#LasBambas | Kilometers of misunderstandings, a chronicle by Fernando Vivas https://t.co/I6FTkA4772 via @elcomercio_peru</v>
      </c>
      <c r="C747" s="2" t="s">
        <v>1759</v>
      </c>
      <c r="D747" s="1" t="s">
        <v>1760</v>
      </c>
    </row>
    <row r="748" spans="1:4" x14ac:dyDescent="0.15">
      <c r="A748" s="1" t="s">
        <v>1761</v>
      </c>
      <c r="B748" s="3" t="str">
        <f ca="1">IFERROR(__xludf.DUMMYFUNCTION("GOOGLETRANSLATE(B748,""es"",""en"")"),"RT @parwasisa: As a member of @UN4Indigenous I express my deep concern to @MartinVizcarraC @pcmperu @MinCulturaPe about the conflict in #LasBambas. I urge the Peruvian State to avoid the use of force and not to deepen disagreements with #IndigenousPeoples"&amp;" https://t.co/JAY19hO1L8")</f>
        <v>RT @parwasisa: As a member of @UN4Indigenous I express my deep concern to @MartinVizcarraC @pcmperu @MinCulturaPe about the conflict in #LasBambas. I urge the Peruvian State to avoid the use of force and not to deepen disagreements with #IndigenousPeoples https://t.co/JAY19hO1L8</v>
      </c>
      <c r="C748" s="2" t="s">
        <v>1762</v>
      </c>
      <c r="D748" s="1" t="s">
        <v>1760</v>
      </c>
    </row>
    <row r="749" spans="1:4" x14ac:dyDescent="0.15">
      <c r="A749" s="1" t="s">
        <v>1761</v>
      </c>
      <c r="B749" s="3" t="str">
        <f ca="1">IFERROR(__xludf.DUMMYFUNCTION("GOOGLETRANSLATE(B749,""es"",""en"")"),"RT @chirapaqoficial: #TarcilaRivera Zea @parwasisa member of @UN4Indigenous and director of #CHIRAPAQ urges @MartinVizcarraC @pcmperu @MinCulturaPe to avoid the use of force and not add another mark to the disagreement between the State and the #Indigenou"&amp;"sPeoples https:/ /t.co/6iYldptkNJ #LasBambas https://t.co/EefAuFSxWZ")</f>
        <v>RT @chirapaqoficial: #TarcilaRivera Zea @parwasisa member of @UN4Indigenous and director of #CHIRAPAQ urges @MartinVizcarraC @pcmperu @MinCulturaPe to avoid the use of force and not add another mark to the disagreement between the State and the #IndigenousPeoples https:/ /t.co/6iYldptkNJ #LasBambas https://t.co/EefAuFSxWZ</v>
      </c>
      <c r="C749" s="2" t="s">
        <v>1763</v>
      </c>
      <c r="D749" s="1" t="s">
        <v>1760</v>
      </c>
    </row>
    <row r="750" spans="1:4" x14ac:dyDescent="0.15">
      <c r="A750" s="1" t="s">
        <v>1764</v>
      </c>
      <c r="B750" s="3" t="str">
        <f ca="1">IFERROR(__xludf.DUMMYFUNCTION("GOOGLETRANSLATE(B750,""es"",""en"")"),"RT @Gregorio_Goyo: Regional Strike Platform 48 hours in Apurimac. Lifting of the State of Emergency, cessation of judicial persecution of leaders and community members; Review of the Contract with Las Bambas, payment of taxes because they are exploiting m"&amp;"ineral. The country is not sold, it is defended with courage! https://t.co/E9u91qYrn6")</f>
        <v>RT @Gregorio_Goyo: Regional Strike Platform 48 hours in Apurimac. Lifting of the State of Emergency, cessation of judicial persecution of leaders and community members; Review of the Contract with Las Bambas, payment of taxes because they are exploiting mineral. The country is not sold, it is defended with courage! https://t.co/E9u91qYrn6</v>
      </c>
      <c r="C750" s="2" t="s">
        <v>1765</v>
      </c>
      <c r="D750" s="1" t="s">
        <v>1766</v>
      </c>
    </row>
    <row r="751" spans="1:4" x14ac:dyDescent="0.15">
      <c r="A751" s="1" t="s">
        <v>1767</v>
      </c>
      <c r="B751" s="3" t="str">
        <f ca="1">IFERROR(__xludf.DUMMYFUNCTION("GOOGLETRANSLATE(B751,""es"",""en"")"),"@mra2arq56 @diariocorreo For the first time I agree with.q in.Las Bambas must urgently build 3 7n train to Cuzco. That is for the future")</f>
        <v>@mra2arq56 @diariocorreo For the first time I agree with.q in.Las Bambas must urgently build 3 7n train to Cuzco. That is for the future</v>
      </c>
      <c r="C751" s="2" t="s">
        <v>1768</v>
      </c>
      <c r="D751" s="1" t="s">
        <v>1769</v>
      </c>
    </row>
    <row r="752" spans="1:4" x14ac:dyDescent="0.15">
      <c r="A752" s="1" t="s">
        <v>1770</v>
      </c>
      <c r="B752" s="3" t="str">
        <f ca="1">IFERROR(__xludf.DUMMYFUNCTION("GOOGLETRANSLATE(B752,""es"",""en"")"),"RT @noticias_tvperu: LIVE | @bankada spokesperson, @TubinoCarlos, on the conflict in Las Bambas: “We are watching this issue closely, but its solution is up to the Government” #TVPerúInforma #CaraACara https://t.co/8O3i2qnzUH")</f>
        <v>RT @noticias_tvperu: LIVE | @bankada spokesperson, @TubinoCarlos, on the conflict in Las Bambas: “We are watching this issue closely, but its solution is up to the Government” #TVPerúInforma #CaraACara https://t.co/8O3i2qnzUH</v>
      </c>
      <c r="C752" s="2" t="s">
        <v>1771</v>
      </c>
      <c r="D752" s="1" t="s">
        <v>1772</v>
      </c>
    </row>
    <row r="753" spans="1:4" x14ac:dyDescent="0.15">
      <c r="A753" s="1" t="s">
        <v>1773</v>
      </c>
      <c r="B753" s="3" t="str">
        <f ca="1">IFERROR(__xludf.DUMMYFUNCTION("GOOGLETRANSLATE(B753,""es"",""en"")"),"RT @Jorgedelama: @ricarparr1 @carlos1504511 Before that Xstrata had no problems in Las Bambas. Do you see how even though they are on opposite sides, the communists are the same crap on both sides? Greetings")</f>
        <v>RT @Jorgedelama: @ricarparr1 @carlos1504511 Before that Xstrata had no problems in Las Bambas. Do you see how even though they are on opposite sides, the communists are the same crap on both sides? Greetings</v>
      </c>
      <c r="C753" s="2" t="s">
        <v>1774</v>
      </c>
      <c r="D753" s="1" t="s">
        <v>1772</v>
      </c>
    </row>
    <row r="754" spans="1:4" x14ac:dyDescent="0.15">
      <c r="A754" s="1" t="s">
        <v>1775</v>
      </c>
      <c r="B754" s="3" t="str">
        <f ca="1">IFERROR(__xludf.DUMMYFUNCTION("GOOGLETRANSLATE(B754,""es"",""en"")"),"RT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754" s="2" t="s">
        <v>1776</v>
      </c>
      <c r="D754" s="1" t="s">
        <v>1772</v>
      </c>
    </row>
    <row r="755" spans="1:4" x14ac:dyDescent="0.15">
      <c r="A755" s="1" t="s">
        <v>728</v>
      </c>
      <c r="B755" s="3" t="str">
        <f ca="1">IFERROR(__xludf.DUMMYFUNCTION("GOOGLETRANSLATE(B755,""es"",""en"")"),"RT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755" s="2" t="s">
        <v>1777</v>
      </c>
      <c r="D755" s="1" t="s">
        <v>1778</v>
      </c>
    </row>
    <row r="756" spans="1:4" x14ac:dyDescent="0.15">
      <c r="A756" s="1" t="s">
        <v>1779</v>
      </c>
      <c r="B756" s="3" t="str">
        <f ca="1">IFERROR(__xludf.DUMMYFUNCTION("GOOGLETRANSLATE(B756,""es"",""en"")"),"RT @ArgollaTV: Today on ArgollaTV by @ucinoticias_pe at 11 pm Live! @claudia_mho and @franco_alsur @JaimeSerra and @elpaki we will debate about Las Bambas, informality, Vizcarra's downturn and other current issues. https://t.co/dD98pDGPgc")</f>
        <v>RT @ArgollaTV: Today on ArgollaTV by @ucinoticias_pe at 11 pm Live! @claudia_mho and @franco_alsur @JaimeSerra and @elpaki we will debate about Las Bambas, informality, Vizcarra's downturn and other current issues. https://t.co/dD98pDGPgc</v>
      </c>
      <c r="C756" s="2" t="s">
        <v>1780</v>
      </c>
      <c r="D756" s="1" t="s">
        <v>1781</v>
      </c>
    </row>
    <row r="757" spans="1:4" x14ac:dyDescent="0.15">
      <c r="A757" s="1" t="s">
        <v>1782</v>
      </c>
      <c r="B757" s="3" t="str">
        <f ca="1">IFERROR(__xludf.DUMMYFUNCTION("GOOGLETRANSLATE(B757,""es"",""en"")"),"RT @ParkerMitcham: mo bambo
mo sneakers
mo bamba
we danced
mo bamban")</f>
        <v>RT @ParkerMitcham: mo bambo
mo sneakers
mo bamba
we danced
mo bamban</v>
      </c>
      <c r="C757" s="2" t="s">
        <v>1783</v>
      </c>
      <c r="D757" s="1" t="s">
        <v>1784</v>
      </c>
    </row>
    <row r="758" spans="1:4" x14ac:dyDescent="0.15">
      <c r="A758" s="1" t="s">
        <v>1785</v>
      </c>
      <c r="B758" s="3" t="str">
        <f ca="1">IFERROR(__xludf.DUMMYFUNCTION("GOOGLETRANSLATE(B758,""es"",""en"")"),"RT @ArgollaTV: Today on ArgollaTV by @ucinoticias_pe at 11 pm Live! @claudia_mho and @franco_alsur @JaimeSerra and @elpaki we will debate about Las Bambas, informality, Vizcarra's downturn and other current issues. https://t.co/dD98pDGPgc")</f>
        <v>RT @ArgollaTV: Today on ArgollaTV by @ucinoticias_pe at 11 pm Live! @claudia_mho and @franco_alsur @JaimeSerra and @elpaki we will debate about Las Bambas, informality, Vizcarra's downturn and other current issues. https://t.co/dD98pDGPgc</v>
      </c>
      <c r="C758" s="2" t="s">
        <v>1786</v>
      </c>
      <c r="D758" s="1" t="s">
        <v>1787</v>
      </c>
    </row>
    <row r="759" spans="1:4" x14ac:dyDescent="0.15">
      <c r="A759" s="1" t="s">
        <v>1788</v>
      </c>
      <c r="B759" s="3" t="str">
        <f ca="1">IFERROR(__xludf.DUMMYFUNCTION("GOOGLETRANSLATE(B759,""es"",""en"")"),"Lima Gris Radio: President Vizcarra, Las Bambas and the Ministry of Culture https://t.co/ZnOCiSvOMd")</f>
        <v>Lima Gris Radio: President Vizcarra, Las Bambas and the Ministry of Culture https://t.co/ZnOCiSvOMd</v>
      </c>
      <c r="C759" s="2" t="s">
        <v>1789</v>
      </c>
      <c r="D759" s="1" t="s">
        <v>1790</v>
      </c>
    </row>
    <row r="760" spans="1:4" x14ac:dyDescent="0.15">
      <c r="A760" s="1" t="s">
        <v>1791</v>
      </c>
      <c r="B760" s="3" t="str">
        <f ca="1">IFERROR(__xludf.DUMMYFUNCTION("GOOGLETRANSLATE(B760,""es"",""en"")"),"RT @Servindi: Peru: They lay the foundations for a dialogued, peaceful and lasting solution to the mining conflict #LasBambas → https://t.co/VJtJJvXx4b https://t.co/hihZPleayM")</f>
        <v>RT @Servindi: Peru: They lay the foundations for a dialogued, peaceful and lasting solution to the mining conflict #LasBambas → https://t.co/VJtJJvXx4b https://t.co/hihZPleayM</v>
      </c>
      <c r="C760" s="2" t="s">
        <v>1792</v>
      </c>
      <c r="D760" s="1" t="s">
        <v>1793</v>
      </c>
    </row>
    <row r="761" spans="1:4" x14ac:dyDescent="0.15">
      <c r="A761" s="1" t="s">
        <v>1794</v>
      </c>
      <c r="B761" s="3" t="str">
        <f ca="1">IFERROR(__xludf.DUMMYFUNCTION("GOOGLETRANSLATE(B761,""es"",""en"")"),"RT @matuk: #POLITICS Welcome to the Rule of Law, where the State does not know if its paid staff are going to work in Las Bambas https://t.co/lKqlga4H5J https://t.co/UjijfkWIcD")</f>
        <v>RT @matuk: #POLITICS Welcome to the Rule of Law, where the State does not know if its paid staff are going to work in Las Bambas https://t.co/lKqlga4H5J https://t.co/UjijfkWIcD</v>
      </c>
      <c r="C761" s="2" t="s">
        <v>1795</v>
      </c>
      <c r="D761" s="1" t="s">
        <v>1796</v>
      </c>
    </row>
    <row r="762" spans="1:4" x14ac:dyDescent="0.15">
      <c r="A762" s="1" t="s">
        <v>1797</v>
      </c>
      <c r="B762" s="3" t="str">
        <f ca="1">IFERROR(__xludf.DUMMYFUNCTION("GOOGLETRANSLATE(B762,""es"",""en"")"),"RT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762" s="2" t="s">
        <v>1798</v>
      </c>
      <c r="D762" s="1" t="s">
        <v>1799</v>
      </c>
    </row>
    <row r="763" spans="1:4" x14ac:dyDescent="0.15">
      <c r="A763" s="1" t="s">
        <v>1800</v>
      </c>
      <c r="B763" s="3" t="str">
        <f ca="1">IFERROR(__xludf.DUMMYFUNCTION("GOOGLETRANSLATE(B763,""es"",""en"")"),"RT @jo22_9739: Good question from @MavilaHuertasC to César Villanueva: If the executive spent 115 million soles on consultancies to train himself, then what happened to Las Bambas that is still not solved?")</f>
        <v>RT @jo22_9739: Good question from @MavilaHuertasC to César Villanueva: If the executive spent 115 million soles on consultancies to train himself, then what happened to Las Bambas that is still not solved?</v>
      </c>
      <c r="C763" s="2" t="s">
        <v>1801</v>
      </c>
      <c r="D763" s="1" t="s">
        <v>1802</v>
      </c>
    </row>
    <row r="764" spans="1:4" x14ac:dyDescent="0.15">
      <c r="A764" s="1" t="s">
        <v>1803</v>
      </c>
      <c r="B764" s="3" t="str">
        <f ca="1">IFERROR(__xludf.DUMMYFUNCTION("GOOGLETRANSLATE(B764,""es"",""en"")"),"RT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764" s="2" t="s">
        <v>1804</v>
      </c>
      <c r="D764" s="1" t="s">
        <v>1802</v>
      </c>
    </row>
    <row r="765" spans="1:4" x14ac:dyDescent="0.15">
      <c r="A765" s="1" t="s">
        <v>1805</v>
      </c>
      <c r="B765" s="3" t="str">
        <f ca="1">IFERROR(__xludf.DUMMYFUNCTION("GOOGLETRANSLATE(B765,""es"",""en"")"),"RT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765" s="2" t="s">
        <v>1806</v>
      </c>
      <c r="D765" s="1" t="s">
        <v>1802</v>
      </c>
    </row>
    <row r="766" spans="1:4" x14ac:dyDescent="0.15">
      <c r="A766" s="1" t="s">
        <v>1807</v>
      </c>
      <c r="B766" s="3" t="str">
        <f ca="1">IFERROR(__xludf.DUMMYFUNCTION("GOOGLETRANSLATE(B766,""es"",""en"")"),"RT @Jorgedelama: José De Echave talked about Las Bambas with Sol Carreño. He is a director of Cooperación, an anti-extractivist NGO that receives funds from the Open Society like its ""allies"". Abel Gilvonio works there, son of terrorists and a communist"&amp;" who attacked Cardinal Cipriani on Twitter Photos👇 https://t.co/l8BHyMqeao")</f>
        <v>RT @Jorgedelama: José De Echave talked about Las Bambas with Sol Carreño. He is a director of Cooperación, an anti-extractivist NGO that receives funds from the Open Society like its "allies". Abel Gilvonio works there, son of terrorists and a communist who attacked Cardinal Cipriani on Twitter Photos👇 https://t.co/l8BHyMqeao</v>
      </c>
      <c r="C766" s="2" t="s">
        <v>1808</v>
      </c>
      <c r="D766" s="1" t="s">
        <v>1809</v>
      </c>
    </row>
    <row r="767" spans="1:4" x14ac:dyDescent="0.15">
      <c r="A767" s="1" t="s">
        <v>508</v>
      </c>
      <c r="B767" s="3" t="str">
        <f ca="1">IFERROR(__xludf.DUMMYFUNCTION("GOOGLETRANSLATE(B767,""es"",""en"")"),"RT @Gregorio_Goyo: Regional Strike Platform 48 hours in Apurimac. Lifting of the State of Emergency, cessation of judicial persecution of leaders and community members; Review of the Contract with Las Bambas, payment of taxes because they are exploiting m"&amp;"ineral. The country is not sold, it is defended with courage! https://t.co/E9u91qYrn6")</f>
        <v>RT @Gregorio_Goyo: Regional Strike Platform 48 hours in Apurimac. Lifting of the State of Emergency, cessation of judicial persecution of leaders and community members; Review of the Contract with Las Bambas, payment of taxes because they are exploiting mineral. The country is not sold, it is defended with courage! https://t.co/E9u91qYrn6</v>
      </c>
      <c r="C767" s="2" t="s">
        <v>1810</v>
      </c>
      <c r="D767" s="1" t="s">
        <v>1811</v>
      </c>
    </row>
    <row r="768" spans="1:4" x14ac:dyDescent="0.15">
      <c r="A768" s="1" t="s">
        <v>1196</v>
      </c>
      <c r="B768" s="3" t="str">
        <f ca="1">IFERROR(__xludf.DUMMYFUNCTION("GOOGLETRANSLATE(B768,""es"",""en"")"),"RT @Gregorio_Goyo: Regional Strike Platform 48 hours in Apurimac. Lifting of the State of Emergency, cessation of judicial persecution of leaders and community members; Review of the Contract with Las Bambas, payment of taxes because they are exploiting m"&amp;"ineral. The country is not sold, it is defended with courage! https://t.co/E9u91qYrn6")</f>
        <v>RT @Gregorio_Goyo: Regional Strike Platform 48 hours in Apurimac. Lifting of the State of Emergency, cessation of judicial persecution of leaders and community members; Review of the Contract with Las Bambas, payment of taxes because they are exploiting mineral. The country is not sold, it is defended with courage! https://t.co/E9u91qYrn6</v>
      </c>
      <c r="C768" s="2" t="s">
        <v>1812</v>
      </c>
      <c r="D768" s="1" t="s">
        <v>1813</v>
      </c>
    </row>
    <row r="769" spans="1:4" x14ac:dyDescent="0.15">
      <c r="A769" s="1" t="s">
        <v>1814</v>
      </c>
      <c r="B769" s="3" t="str">
        <f ca="1">IFERROR(__xludf.DUMMYFUNCTION("GOOGLETRANSLATE(B769,""es"",""en"")"),"The lefties, social maduristas and terrucos flaps, ""CARROÑEROS"", are crying because there are no deaths in Las Bambas")</f>
        <v>The lefties, social maduristas and terrucos flaps, "CARROÑEROS", are crying because there are no deaths in Las Bambas</v>
      </c>
      <c r="C769" s="2" t="s">
        <v>1815</v>
      </c>
      <c r="D769" s="1" t="s">
        <v>1813</v>
      </c>
    </row>
    <row r="770" spans="1:4" x14ac:dyDescent="0.15">
      <c r="A770" s="1" t="s">
        <v>1816</v>
      </c>
      <c r="B770" s="3" t="str">
        <f ca="1">IFERROR(__xludf.DUMMYFUNCTION("GOOGLETRANSLATE(B770,""es"",""en"")"),"@dabugattas16 @MininterPeru I don't think so, Mr. Abugatás, I have been in Las Bambas yesterday, the truth is different, the people demand what is fair, the road must be improved 
They have built houses and with that they excuse themselves for the lack of"&amp;" development in that province, sir.")</f>
        <v>@dabugattas16 @MininterPeru I don't think so, Mr. Abugatás, I have been in Las Bambas yesterday, the truth is different, the people demand what is fair, the road must be improved 
They have built houses and with that they excuse themselves for the lack of development in that province, sir.</v>
      </c>
      <c r="C770" s="2" t="s">
        <v>1817</v>
      </c>
      <c r="D770" s="1" t="s">
        <v>1813</v>
      </c>
    </row>
    <row r="771" spans="1:4" x14ac:dyDescent="0.15">
      <c r="A771" s="1" t="s">
        <v>1818</v>
      </c>
      <c r="B771" s="3" t="str">
        <f ca="1">IFERROR(__xludf.DUMMYFUNCTION("GOOGLETRANSLATE(B771,""es"",""en"")"),"RT @Politica_ECpe: A difficult road: kilometers of misunderstandings [Chronicle] ► https://t.co/wGfZ80anwM By @arkadin1 https://t.co/cC5J8qwkGA")</f>
        <v>RT @Politica_ECpe: A difficult road: kilometers of misunderstandings [Chronicle] ► https://t.co/wGfZ80anwM By @arkadin1 https://t.co/cC5J8qwkGA</v>
      </c>
      <c r="C771" s="2" t="s">
        <v>1819</v>
      </c>
      <c r="D771" s="1" t="s">
        <v>1813</v>
      </c>
    </row>
    <row r="772" spans="1:4" x14ac:dyDescent="0.15">
      <c r="A772" s="1" t="s">
        <v>1820</v>
      </c>
      <c r="B772" s="3" t="str">
        <f ca="1">IFERROR(__xludf.DUMMYFUNCTION("GOOGLETRANSLATE(B772,""es"",""en"")"),"RT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772" s="2" t="s">
        <v>1821</v>
      </c>
      <c r="D772" s="1" t="s">
        <v>1822</v>
      </c>
    </row>
    <row r="773" spans="1:4" x14ac:dyDescent="0.15">
      <c r="A773" s="1" t="s">
        <v>1823</v>
      </c>
      <c r="B773" s="3" t="str">
        <f ca="1">IFERROR(__xludf.DUMMYFUNCTION("GOOGLETRANSLATE(B773,""es"",""en"")"),"RT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773" s="2" t="s">
        <v>1824</v>
      </c>
      <c r="D773" s="1" t="s">
        <v>1825</v>
      </c>
    </row>
    <row r="774" spans="1:4" x14ac:dyDescent="0.15">
      <c r="A774" s="1" t="s">
        <v>1826</v>
      </c>
      <c r="B774" s="3" t="str">
        <f ca="1">IFERROR(__xludf.DUMMYFUNCTION("GOOGLETRANSLATE(B774,""es"",""en"")"),"RT @Gregorio_Goyo: Regional Strike Platform 48 hours in Apurimac. Lifting of the State of Emergency, cessation of judicial persecution of leaders and community members; Review of the Contract with Las Bambas, payment of taxes because they are exploiting m"&amp;"ineral. The country is not sold, it is defended with courage! https://t.co/E9u91qYrn6")</f>
        <v>RT @Gregorio_Goyo: Regional Strike Platform 48 hours in Apurimac. Lifting of the State of Emergency, cessation of judicial persecution of leaders and community members; Review of the Contract with Las Bambas, payment of taxes because they are exploiting mineral. The country is not sold, it is defended with courage! https://t.co/E9u91qYrn6</v>
      </c>
      <c r="C774" s="2" t="s">
        <v>1827</v>
      </c>
      <c r="D774" s="1" t="s">
        <v>1825</v>
      </c>
    </row>
    <row r="775" spans="1:4" x14ac:dyDescent="0.15">
      <c r="A775" s="1" t="s">
        <v>1828</v>
      </c>
      <c r="B775" s="3" t="str">
        <f ca="1">IFERROR(__xludf.DUMMYFUNCTION("GOOGLETRANSLATE(B775,""es"",""en"")"),"The Peruvian government has offered to end emergency measures authorizing the use of force in the Andes if indigenous protesters don't lift their blockades of roads to MMG's Las Bambas #copper mine https://t.co/JQ7fQ7HoAH")</f>
        <v>The Peruvian government has offered to end emergency measures authorizing the use of force in the Andes if indigenous protesters don't lift their blockades of roads to MMG's Las Bambas #copper mine https://t.co/JQ7fQ7HoAH</v>
      </c>
      <c r="C775" s="2" t="s">
        <v>1829</v>
      </c>
      <c r="D775" s="1" t="s">
        <v>1830</v>
      </c>
    </row>
    <row r="776" spans="1:4" x14ac:dyDescent="0.15">
      <c r="A776" s="1" t="s">
        <v>1831</v>
      </c>
      <c r="B776" s="3" t="str">
        <f ca="1">IFERROR(__xludf.DUMMYFUNCTION("GOOGLETRANSLATE(B776,""es"",""en"")"),"RT @Ojo_Publico: #LoÚltimo Community members of Fuerabamba remain at the Manantiales sentry box, where the entrance to the #LasBambas mine is located. A few hours ago Gregorio Rojas, president of the community, arrived in #Cusco and is awaiting his arriva"&amp;"l in the district of Challhuahuacho. https://t.co/UCH9ljxxuZ https://t.co/06MksUVkTZ")</f>
        <v>RT @Ojo_Publico: #LoÚltimo Community members of Fuerabamba remain at the Manantiales sentry box, where the entrance to the #LasBambas mine is located. A few hours ago Gregorio Rojas, president of the community, arrived in #Cusco and is awaiting his arrival in the district of Challhuahuacho. https://t.co/UCH9ljxxuZ https://t.co/06MksUVkTZ</v>
      </c>
      <c r="C776" s="2" t="s">
        <v>1832</v>
      </c>
      <c r="D776" s="1" t="s">
        <v>1830</v>
      </c>
    </row>
    <row r="777" spans="1:4" x14ac:dyDescent="0.15">
      <c r="A777" s="1" t="s">
        <v>1083</v>
      </c>
      <c r="B777" s="3" t="str">
        <f ca="1">IFERROR(__xludf.DUMMYFUNCTION("GOOGLETRANSLATE(B777,""es"",""en"")"),"RT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777" s="2" t="s">
        <v>1833</v>
      </c>
      <c r="D777" s="1" t="s">
        <v>1834</v>
      </c>
    </row>
    <row r="778" spans="1:4" x14ac:dyDescent="0.15">
      <c r="A778" s="1" t="s">
        <v>1835</v>
      </c>
      <c r="B778" s="3" t="str">
        <f ca="1">IFERROR(__xludf.DUMMYFUNCTION("GOOGLETRANSLATE(B778,""es"",""en"")"),"RT @matuk: #POLITICS Welcome to the Rule of Law, where the State does not know if its paid staff are going to work in Las Bambas https://t.co/lKqlga4H5J https://t.co/UjijfkWIcD")</f>
        <v>RT @matuk: #POLITICS Welcome to the Rule of Law, where the State does not know if its paid staff are going to work in Las Bambas https://t.co/lKqlga4H5J https://t.co/UjijfkWIcD</v>
      </c>
      <c r="C778" s="2" t="s">
        <v>1836</v>
      </c>
      <c r="D778" s="1" t="s">
        <v>1834</v>
      </c>
    </row>
    <row r="779" spans="1:4" x14ac:dyDescent="0.15">
      <c r="A779" s="1" t="s">
        <v>1837</v>
      </c>
      <c r="B779" s="3" t="str">
        <f ca="1">IFERROR(__xludf.DUMMYFUNCTION("GOOGLETRANSLATE(B779,""es"",""en"")"),"RT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779" s="2" t="s">
        <v>1838</v>
      </c>
      <c r="D779" s="1" t="s">
        <v>1834</v>
      </c>
    </row>
    <row r="780" spans="1:4" x14ac:dyDescent="0.15">
      <c r="A780" s="1" t="s">
        <v>1839</v>
      </c>
      <c r="B780" s="3" t="str">
        <f ca="1">IFERROR(__xludf.DUMMYFUNCTION("GOOGLETRANSLATE(B780,""es"",""en"")"),"Hey @DiarioDeCurwen uploads a video about the sneakers, because this way HugoX ChugoX's voice reaches my ears.")</f>
        <v>Hey @DiarioDeCurwen uploads a video about the sneakers, because this way HugoX ChugoX's voice reaches my ears.</v>
      </c>
      <c r="C780" s="2" t="s">
        <v>1840</v>
      </c>
      <c r="D780" s="1" t="s">
        <v>1841</v>
      </c>
    </row>
    <row r="781" spans="1:4" x14ac:dyDescent="0.15">
      <c r="A781" s="1" t="s">
        <v>1842</v>
      </c>
      <c r="B781" s="3" t="str">
        <f ca="1">IFERROR(__xludf.DUMMYFUNCTION("GOOGLETRANSLATE(B781,""es"",""en"")"),"@braches1 As you can see that the pair of INEPTOS are in #NadineMode and their ""badas consultancies"" on oil palm and hair centers")</f>
        <v>@braches1 As you can see that the pair of INEPTOS are in #NadineMode and their "badas consultancies" on oil palm and hair centers</v>
      </c>
      <c r="C781" s="2" t="s">
        <v>1843</v>
      </c>
      <c r="D781" s="1" t="s">
        <v>1841</v>
      </c>
    </row>
    <row r="782" spans="1:4" x14ac:dyDescent="0.15">
      <c r="A782" s="1" t="s">
        <v>1844</v>
      </c>
      <c r="B782" s="3" t="str">
        <f ca="1">IFERROR(__xludf.DUMMYFUNCTION("GOOGLETRANSLATE(B782,""es"",""en"")"),"@AliciARojas Congratulations on the work! I have followed your messages and notes carefully over the last week. They have been very useful to me in analyzing the conflict in Las Bambas.")</f>
        <v>@AliciARojas Congratulations on the work! I have followed your messages and notes carefully over the last week. They have been very useful to me in analyzing the conflict in Las Bambas.</v>
      </c>
      <c r="C782" s="2" t="s">
        <v>1845</v>
      </c>
      <c r="D782" s="1" t="s">
        <v>1846</v>
      </c>
    </row>
    <row r="783" spans="1:4" x14ac:dyDescent="0.15">
      <c r="A783" s="1" t="s">
        <v>1847</v>
      </c>
      <c r="B783" s="3" t="str">
        <f ca="1">IFERROR(__xludf.DUMMYFUNCTION("GOOGLETRANSLATE(B783,""es"",""en"")"),"RT @willaxtv: #ComButters 
@Phill_Butters: ""Those who are accused of raping a mentally retarded girl have been given 9 months of preventive detention, but what has caused stupor in Peru? Sheyla Rojas has generated a scandal that seems to interest her mor"&amp;"e ""Peru than Las Bambas""")</f>
        <v>RT @willaxtv: #ComButters 
@Phill_Butters: "Those who are accused of raping a mentally retarded girl have been given 9 months of preventive detention, but what has caused stupor in Peru? Sheyla Rojas has generated a scandal that seems to interest her more "Peru than Las Bambas"</v>
      </c>
      <c r="C783" s="2" t="s">
        <v>1848</v>
      </c>
      <c r="D783" s="1" t="s">
        <v>1849</v>
      </c>
    </row>
    <row r="784" spans="1:4" x14ac:dyDescent="0.15">
      <c r="A784" s="1" t="s">
        <v>1724</v>
      </c>
      <c r="B784" s="3" t="str">
        <f ca="1">IFERROR(__xludf.DUMMYFUNCTION("GOOGLETRANSLATE(B784,""es"",""en"")"),"RT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784" s="2" t="s">
        <v>1850</v>
      </c>
      <c r="D784" s="1" t="s">
        <v>1849</v>
      </c>
    </row>
    <row r="785" spans="1:4" x14ac:dyDescent="0.15">
      <c r="A785" s="1" t="s">
        <v>1851</v>
      </c>
      <c r="B785" s="3" t="str">
        <f ca="1">IFERROR(__xludf.DUMMYFUNCTION("GOOGLETRANSLATE(B785,""es"",""en"")"),"RT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785" s="2" t="s">
        <v>1852</v>
      </c>
      <c r="D785" s="1" t="s">
        <v>1853</v>
      </c>
    </row>
    <row r="786" spans="1:4" x14ac:dyDescent="0.15">
      <c r="A786" s="1" t="s">
        <v>1854</v>
      </c>
      <c r="B786" s="3" t="str">
        <f ca="1">IFERROR(__xludf.DUMMYFUNCTION("GOOGLETRANSLATE(B786,""es"",""en"")"),"@YeniVilcatoma2 @MartinVizcarraC Vacancy now! Cowards from @BankadaFP, they don't even subject @dsalaverryv to an ethics commission for hiring former workers from their bankrupt company. Favoritism, abuse of power? etc.Everyone takes off their underwear a"&amp;"nd underwear due to threats of closure to Congress and Bambas-Extortion? https://t.co/4ZU3XDT8dK")</f>
        <v>@YeniVilcatoma2 @MartinVizcarraC Vacancy now! Cowards from @BankadaFP, they don't even subject @dsalaverryv to an ethics commission for hiring former workers from their bankrupt company. Favoritism, abuse of power? etc.Everyone takes off their underwear and underwear due to threats of closure to Congress and Bambas-Extortion? https://t.co/4ZU3XDT8dK</v>
      </c>
      <c r="C786" s="2" t="s">
        <v>1855</v>
      </c>
      <c r="D786" s="1" t="s">
        <v>1853</v>
      </c>
    </row>
    <row r="787" spans="1:4" x14ac:dyDescent="0.15">
      <c r="A787" s="1" t="s">
        <v>1856</v>
      </c>
      <c r="B787" s="3" t="str">
        <f ca="1">IFERROR(__xludf.DUMMYFUNCTION("GOOGLETRANSLATE(B787,""es"",""en"")"),"RT @Politica_ECpe: Pablo de la Flor: “It is regrettable that the government has waited almost 50 days” ► https://t.co/w7HF9tR6UC By @arkadin1 https://t.co/3vC87URnDE")</f>
        <v>RT @Politica_ECpe: Pablo de la Flor: “It is regrettable that the government has waited almost 50 days” ► https://t.co/w7HF9tR6UC By @arkadin1 https://t.co/3vC87URnDE</v>
      </c>
      <c r="C787" s="2" t="s">
        <v>1857</v>
      </c>
      <c r="D787" s="1" t="s">
        <v>1858</v>
      </c>
    </row>
    <row r="788" spans="1:4" x14ac:dyDescent="0.15">
      <c r="A788" s="1" t="s">
        <v>1859</v>
      </c>
      <c r="B788" s="3" t="str">
        <f ca="1">IFERROR(__xludf.DUMMYFUNCTION("GOOGLETRANSLATE(B788,""es"",""en"")"),"RT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788" s="2" t="s">
        <v>1860</v>
      </c>
      <c r="D788" s="1" t="s">
        <v>1861</v>
      </c>
    </row>
    <row r="789" spans="1:4" x14ac:dyDescent="0.15">
      <c r="A789" s="1" t="s">
        <v>1862</v>
      </c>
      <c r="B789" s="3" t="str">
        <f ca="1">IFERROR(__xludf.DUMMYFUNCTION("GOOGLETRANSLATE(B789,""es"",""en"")"),"RT @willaxtv: #ComButters 
@Phill_Butters: ""Those who are accused of raping a mentally retarded girl have been given 9 months of preventive detention, but what has caused stupor in Peru? Sheyla Rojas has generated a scandal that seems to interest her mor"&amp;"e ""Peru than Las Bambas""")</f>
        <v>RT @willaxtv: #ComButters 
@Phill_Butters: "Those who are accused of raping a mentally retarded girl have been given 9 months of preventive detention, but what has caused stupor in Peru? Sheyla Rojas has generated a scandal that seems to interest her more "Peru than Las Bambas"</v>
      </c>
      <c r="C789" s="2" t="s">
        <v>1863</v>
      </c>
      <c r="D789" s="1" t="s">
        <v>1864</v>
      </c>
    </row>
    <row r="790" spans="1:4" x14ac:dyDescent="0.15">
      <c r="A790" s="1" t="s">
        <v>1865</v>
      </c>
      <c r="B790" s="3" t="str">
        <f ca="1">IFERROR(__xludf.DUMMYFUNCTION("GOOGLETRANSLATE(B790,""es"",""en"")"),"RT @ContactoN_: Tonight on @ContactoN_ we talked with @tuesta about electoral reform. With @Frospigliosi about Las Bambas and with @VictorAndresGB about the conversation with Premier @saldelsol and the future of @yonhy_lescano. 
We are waiting for you at"&amp;" 11 at @canalN_! https://t.co/W1tN76Bwc0")</f>
        <v>RT @ContactoN_: Tonight on @ContactoN_ we talked with @tuesta about electoral reform. With @Frospigliosi about Las Bambas and with @VictorAndresGB about the conversation with Premier @saldelsol and the future of @yonhy_lescano. 
We are waiting for you at 11 at @canalN_! https://t.co/W1tN76Bwc0</v>
      </c>
      <c r="C790" s="2" t="s">
        <v>1866</v>
      </c>
      <c r="D790" s="1" t="s">
        <v>1864</v>
      </c>
    </row>
    <row r="791" spans="1:4" x14ac:dyDescent="0.15">
      <c r="A791" s="1" t="s">
        <v>1867</v>
      </c>
      <c r="B791" s="3" t="str">
        <f ca="1">IFERROR(__xludf.DUMMYFUNCTION("GOOGLETRANSLATE(B791,""es"",""en"")"),"RT @anamavidalc: Since October 2017, the PNP and the company MMG Las Bambas have had an #Agreement through which the police provide private services. In Cotabambas the PNP does not take care of the citizens, it takes care of the company. How much does the"&amp;" mine pay the Police? From whom do the Police receive orders? https://t.co/Bspg0GLOFR")</f>
        <v>RT @anamavidalc: Since October 2017, the PNP and the company MMG Las Bambas have had an #Agreement through which the police provide private services. In Cotabambas the PNP does not take care of the citizens, it takes care of the company. How much does the mine pay the Police? From whom do the Police receive orders? https://t.co/Bspg0GLOFR</v>
      </c>
      <c r="C791" s="2" t="s">
        <v>1868</v>
      </c>
      <c r="D791" s="1" t="s">
        <v>1869</v>
      </c>
    </row>
    <row r="792" spans="1:4" x14ac:dyDescent="0.15">
      <c r="A792" s="1" t="s">
        <v>1870</v>
      </c>
      <c r="B792" s="3" t="str">
        <f ca="1">IFERROR(__xludf.DUMMYFUNCTION("GOOGLETRANSLATE(B792,""es"",""en"")"),"RT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792" s="2" t="s">
        <v>1871</v>
      </c>
      <c r="D792" s="1" t="s">
        <v>1869</v>
      </c>
    </row>
    <row r="793" spans="1:4" x14ac:dyDescent="0.15">
      <c r="A793" s="1" t="s">
        <v>1872</v>
      </c>
      <c r="B793" s="3" t="str">
        <f ca="1">IFERROR(__xludf.DUMMYFUNCTION("GOOGLETRANSLATE(B793,""es"",""en"")"),"The community members of Las Bambas expose the government's repressive policy. They are the other side of the coin, the vanguard of the Peruvian people, who show their total distrust of the State. The community members feel that there is no division of po"&amp;"wers but division of labor, which is why they are included as ""State")</f>
        <v>The community members of Las Bambas expose the government's repressive policy. They are the other side of the coin, the vanguard of the Peruvian people, who show their total distrust of the State. The community members feel that there is no division of powers but division of labor, which is why they are included as "State</v>
      </c>
      <c r="C793" s="2" t="s">
        <v>1873</v>
      </c>
      <c r="D793" s="1" t="s">
        <v>1869</v>
      </c>
    </row>
    <row r="794" spans="1:4" x14ac:dyDescent="0.15">
      <c r="A794" s="1" t="s">
        <v>1252</v>
      </c>
      <c r="B794" s="3" t="str">
        <f ca="1">IFERROR(__xludf.DUMMYFUNCTION("GOOGLETRANSLATE(B794,""es"",""en"")"),"RT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794" s="2" t="s">
        <v>1874</v>
      </c>
      <c r="D794" s="1" t="s">
        <v>1875</v>
      </c>
    </row>
    <row r="795" spans="1:4" x14ac:dyDescent="0.15">
      <c r="A795" s="1" t="s">
        <v>1876</v>
      </c>
      <c r="B795" s="3" t="str">
        <f ca="1">IFERROR(__xludf.DUMMYFUNCTION("GOOGLETRANSLATE(B795,""es"",""en"")"),"This smells like a smokescreen to me... (arson) To distract from the ""LAS BAMBAS"" case #Mining https://t.co/FkLqlOGGob")</f>
        <v>This smells like a smokescreen to me... (arson) To distract from the "LAS BAMBAS" case #Mining https://t.co/FkLqlOGGob</v>
      </c>
      <c r="C795" s="2" t="s">
        <v>1877</v>
      </c>
      <c r="D795" s="1" t="s">
        <v>1878</v>
      </c>
    </row>
    <row r="796" spans="1:4" x14ac:dyDescent="0.15">
      <c r="A796" s="1" t="s">
        <v>1879</v>
      </c>
      <c r="B796" s="3" t="str">
        <f ca="1">IFERROR(__xludf.DUMMYFUNCTION("GOOGLETRANSLATE(B796,""es"",""en"")"),"RT @jo22_9739: Good question from @MavilaHuertasC to César Villanueva: If the executive spent 115 million soles on consultancies to train himself, then what happened to Las Bambas that is still not solved?")</f>
        <v>RT @jo22_9739: Good question from @MavilaHuertasC to César Villanueva: If the executive spent 115 million soles on consultancies to train himself, then what happened to Las Bambas that is still not solved?</v>
      </c>
      <c r="C796" s="2" t="s">
        <v>1880</v>
      </c>
      <c r="D796" s="1" t="s">
        <v>1881</v>
      </c>
    </row>
    <row r="797" spans="1:4" x14ac:dyDescent="0.15">
      <c r="A797" s="1" t="s">
        <v>1882</v>
      </c>
      <c r="B797" s="3" t="str">
        <f ca="1">IFERROR(__xludf.DUMMYFUNCTION("GOOGLETRANSLATE(B797,""es"",""en"")"),"RT @ArgollaTV: Today on ArgollaTV by @ucinoticias_pe at 11 pm Live! @claudia_mho and @franco_alsur @JaimeSerra and @elpaki we will debate about Las Bambas, informality, Vizcarra's downturn and other current issues. https://t.co/dD98pDGPgc")</f>
        <v>RT @ArgollaTV: Today on ArgollaTV by @ucinoticias_pe at 11 pm Live! @claudia_mho and @franco_alsur @JaimeSerra and @elpaki we will debate about Las Bambas, informality, Vizcarra's downturn and other current issues. https://t.co/dD98pDGPgc</v>
      </c>
      <c r="C797" s="2" t="s">
        <v>1883</v>
      </c>
      <c r="D797" s="1" t="s">
        <v>1884</v>
      </c>
    </row>
    <row r="798" spans="1:4" x14ac:dyDescent="0.15">
      <c r="A798" s="1" t="s">
        <v>1885</v>
      </c>
      <c r="B798" s="3" t="str">
        <f ca="1">IFERROR(__xludf.DUMMYFUNCTION("GOOGLETRANSLATE(B798,""es"",""en"")"),"RT @Gregorio_Goyo: Regional Strike Platform 48 hours in Apurimac. Lifting of the State of Emergency, cessation of judicial persecution of leaders and community members; Review of the Contract with Las Bambas, payment of taxes because they are exploiting m"&amp;"ineral. The country is not sold, it is defended with courage! https://t.co/E9u91qYrn6")</f>
        <v>RT @Gregorio_Goyo: Regional Strike Platform 48 hours in Apurimac. Lifting of the State of Emergency, cessation of judicial persecution of leaders and community members; Review of the Contract with Las Bambas, payment of taxes because they are exploiting mineral. The country is not sold, it is defended with courage! https://t.co/E9u91qYrn6</v>
      </c>
      <c r="C798" s="2" t="s">
        <v>1886</v>
      </c>
      <c r="D798" s="1" t="s">
        <v>1887</v>
      </c>
    </row>
    <row r="799" spans="1:4" x14ac:dyDescent="0.15">
      <c r="A799" s="1" t="s">
        <v>1888</v>
      </c>
      <c r="B799" s="3" t="str">
        <f ca="1">IFERROR(__xludf.DUMMYFUNCTION("GOOGLETRANSLATE(B799,""es"",""en"")"),"RT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799" s="2" t="s">
        <v>1889</v>
      </c>
      <c r="D799" s="1" t="s">
        <v>1887</v>
      </c>
    </row>
    <row r="800" spans="1:4" x14ac:dyDescent="0.15">
      <c r="A800" s="1" t="s">
        <v>335</v>
      </c>
      <c r="B800" s="3" t="str">
        <f ca="1">IFERROR(__xludf.DUMMYFUNCTION("GOOGLETRANSLATE(B800,""es"",""en"")"),"RT @FranciscoOrbeg1: NOW IT IS SEEN THAT THE ENTIRE FLEET OF MINERAL TRANSPORTING TRUCKS IN LAS BAMBAS IS FROM PPK IT WAS KNOWN THAT HE WAS A LUXURY THIEF FOR SO MANY YEARS HE LOOTED US PERUVIANS EVEN SO THE SONSITOS SAID YOU HAVE TO VOTE FOR THE OLD MAN "&amp;"AND NOW THERE THIS IS HIS LUXURIOUS OLD MAN SAID SHEPUT")</f>
        <v>RT @FranciscoOrbeg1: NOW IT IS SEEN THAT THE ENTIRE FLEET OF MINERAL TRANSPORTING TRUCKS IN LAS BAMBAS IS FROM PPK IT WAS KNOWN THAT HE WAS A LUXURY THIEF FOR SO MANY YEARS HE LOOTED US PERUVIANS EVEN SO THE SONSITOS SAID YOU HAVE TO VOTE FOR THE OLD MAN AND NOW THERE THIS IS HIS LUXURIOUS OLD MAN SAID SHEPUT</v>
      </c>
      <c r="C800" s="2" t="s">
        <v>1890</v>
      </c>
      <c r="D800" s="1" t="s">
        <v>1887</v>
      </c>
    </row>
    <row r="801" spans="1:4" x14ac:dyDescent="0.15">
      <c r="A801" s="1" t="s">
        <v>1891</v>
      </c>
      <c r="B801" s="3" t="str">
        <f ca="1">IFERROR(__xludf.DUMMYFUNCTION("GOOGLETRANSLATE(B801,""es"",""en"")"),"RT @willaxtv: #ComButters 
@Phill_Butters: ""Those who are accused of raping a mentally retarded girl have been given 9 months of preventive detention, but what has caused stupor in Peru? Sheyla Rojas has generated a scandal that seems to interest her mor"&amp;"e ""Peru than Las Bambas""")</f>
        <v>RT @willaxtv: #ComButters 
@Phill_Butters: "Those who are accused of raping a mentally retarded girl have been given 9 months of preventive detention, but what has caused stupor in Peru? Sheyla Rojas has generated a scandal that seems to interest her more "Peru than Las Bambas"</v>
      </c>
      <c r="C801" s="2" t="s">
        <v>1892</v>
      </c>
      <c r="D801" s="1" t="s">
        <v>1887</v>
      </c>
    </row>
    <row r="802" spans="1:4" x14ac:dyDescent="0.15">
      <c r="A802" s="1" t="s">
        <v>1893</v>
      </c>
      <c r="B802" s="3" t="str">
        <f ca="1">IFERROR(__xludf.DUMMYFUNCTION("GOOGLETRANSLATE(B802,""es"",""en"")"),"RT @canalN_: [LIVE] García Belaunde on Las Bambas: [To Del Solar] we have proposed the construction of a railway [...]. By declaring it as a national road, the State will subsidize it ► https://t.co/oYIW8cxAGV https://t.co/ugPFOFuMLK")</f>
        <v>RT @canalN_: [LIVE] García Belaunde on Las Bambas: [To Del Solar] we have proposed the construction of a railway [...]. By declaring it as a national road, the State will subsidize it ► https://t.co/oYIW8cxAGV https://t.co/ugPFOFuMLK</v>
      </c>
      <c r="C802" s="2" t="s">
        <v>1894</v>
      </c>
      <c r="D802" s="1" t="s">
        <v>1895</v>
      </c>
    </row>
    <row r="803" spans="1:4" x14ac:dyDescent="0.15">
      <c r="A803" s="1" t="s">
        <v>1896</v>
      </c>
      <c r="B803" s="3" t="str">
        <f ca="1">IFERROR(__xludf.DUMMYFUNCTION("GOOGLETRANSLATE(B803,""es"",""en"")"),"RT @ HacerPeruPe: ""If we continue to believe that the private sector will assume the responsibilities that in any modern society correspond to the State, this will not happen."" David Rivera's new column in @ HacerPeruPe https://t.co/BT0RZW3YGH")</f>
        <v>RT @ HacerPeruPe: "If we continue to believe that the private sector will assume the responsibilities that in any modern society correspond to the State, this will not happen." David Rivera's new column in @ HacerPeruPe https://t.co/BT0RZW3YGH</v>
      </c>
      <c r="C803" s="2" t="s">
        <v>1897</v>
      </c>
      <c r="D803" s="1" t="s">
        <v>1898</v>
      </c>
    </row>
    <row r="804" spans="1:4" x14ac:dyDescent="0.15">
      <c r="A804" s="1" t="s">
        <v>1899</v>
      </c>
      <c r="B804" s="3" t="str">
        <f ca="1">IFERROR(__xludf.DUMMYFUNCTION("GOOGLETRANSLATE(B804,""es"",""en"")"),"RT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804" s="2" t="s">
        <v>1900</v>
      </c>
      <c r="D804" s="1" t="s">
        <v>1898</v>
      </c>
    </row>
    <row r="805" spans="1:4" x14ac:dyDescent="0.15">
      <c r="A805" s="1" t="s">
        <v>1901</v>
      </c>
      <c r="B805" s="3" t="str">
        <f ca="1">IFERROR(__xludf.DUMMYFUNCTION("GOOGLETRANSLATE(B805,""es"",""en"")"),"He tried to see what it was and he just couldn't get it or didn't understand. My body with my head was extremely heavy, my legs were so heavy that I couldn't move straight, as if in summer I had a paralysis. E com isso tudo a coisa ainda tava aft de mim+")</f>
        <v>He tried to see what it was and he just couldn't get it or didn't understand. My body with my head was extremely heavy, my legs were so heavy that I couldn't move straight, as if in summer I had a paralysis. E com isso tudo a coisa ainda tava aft de mim+</v>
      </c>
      <c r="C805" s="2" t="s">
        <v>1902</v>
      </c>
      <c r="D805" s="1" t="s">
        <v>1903</v>
      </c>
    </row>
    <row r="806" spans="1:4" x14ac:dyDescent="0.15">
      <c r="A806" s="1" t="s">
        <v>537</v>
      </c>
      <c r="B806" s="3" t="str">
        <f ca="1">IFERROR(__xludf.DUMMYFUNCTION("GOOGLETRANSLATE(B806,""es"",""en"")"),"RT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806" s="2" t="s">
        <v>1904</v>
      </c>
      <c r="D806" s="1" t="s">
        <v>1905</v>
      </c>
    </row>
    <row r="807" spans="1:4" x14ac:dyDescent="0.15">
      <c r="A807" s="1" t="s">
        <v>1906</v>
      </c>
      <c r="B807" s="3" t="str">
        <f ca="1">IFERROR(__xludf.DUMMYFUNCTION("GOOGLETRANSLATE(B807,""es"",""en"")"),"#Live #ComButters 
@jdealthaus about Las Bambas: ""they have been misused to receiving money and not developing their own family economies to integrate into the market, that is the problem""")</f>
        <v>#Live #ComButters 
@jdealthaus about Las Bambas: "they have been misused to receiving money and not developing their own family economies to integrate into the market, that is the problem"</v>
      </c>
      <c r="C807" s="2" t="s">
        <v>1907</v>
      </c>
      <c r="D807" s="1" t="s">
        <v>1908</v>
      </c>
    </row>
    <row r="808" spans="1:4" x14ac:dyDescent="0.15">
      <c r="A808" s="1" t="s">
        <v>1445</v>
      </c>
      <c r="B808" s="3" t="str">
        <f ca="1">IFERROR(__xludf.DUMMYFUNCTION("GOOGLETRANSLATE(B808,""es"",""en"")"),"RT @FranciscoOrbeg1: NOW IT IS SEEN THAT THE ENTIRE FLEET OF MINERAL TRANSPORTING TRUCKS IN LAS BAMBAS IS FROM PPK IT WAS KNOWN THAT HE WAS A LUXURY THIEF FOR SO MANY YEARS HE LOOTED US PERUVIANS EVEN SO THE SONSITOS SAID YOU HAVE TO VOTE FOR THE OLD MAN "&amp;"AND NOW THERE THIS IS HIS LUXURIOUS OLD MAN SAID SHEPUT")</f>
        <v>RT @FranciscoOrbeg1: NOW IT IS SEEN THAT THE ENTIRE FLEET OF MINERAL TRANSPORTING TRUCKS IN LAS BAMBAS IS FROM PPK IT WAS KNOWN THAT HE WAS A LUXURY THIEF FOR SO MANY YEARS HE LOOTED US PERUVIANS EVEN SO THE SONSITOS SAID YOU HAVE TO VOTE FOR THE OLD MAN AND NOW THERE THIS IS HIS LUXURIOUS OLD MAN SAID SHEPUT</v>
      </c>
      <c r="C808" s="2" t="s">
        <v>1909</v>
      </c>
      <c r="D808" s="1" t="s">
        <v>1908</v>
      </c>
    </row>
    <row r="809" spans="1:4" x14ac:dyDescent="0.15">
      <c r="A809" s="1" t="s">
        <v>1910</v>
      </c>
      <c r="B809" s="3" t="str">
        <f ca="1">IFERROR(__xludf.DUMMYFUNCTION("GOOGLETRANSLATE(B809,""es"",""en"")"),"RT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809" s="2" t="s">
        <v>1911</v>
      </c>
      <c r="D809" s="1" t="s">
        <v>1912</v>
      </c>
    </row>
    <row r="810" spans="1:4" x14ac:dyDescent="0.15">
      <c r="A810" s="1" t="s">
        <v>1913</v>
      </c>
      <c r="B810" s="3" t="str">
        <f ca="1">IFERROR(__xludf.DUMMYFUNCTION("GOOGLETRANSLATE(B810,""es"",""en"")"),"Las Bambas: Elements for a dialogued, peaceful and lasting solution | National Human Rights Coordinator – Peru https://t.co/ck5vvDRaZK")</f>
        <v>Las Bambas: Elements for a dialogued, peaceful and lasting solution | National Human Rights Coordinator – Peru https://t.co/ck5vvDRaZK</v>
      </c>
      <c r="C810" s="2" t="s">
        <v>1914</v>
      </c>
      <c r="D810" s="1" t="s">
        <v>1912</v>
      </c>
    </row>
    <row r="811" spans="1:4" x14ac:dyDescent="0.15">
      <c r="A811" s="1" t="s">
        <v>802</v>
      </c>
      <c r="B811" s="3" t="str">
        <f ca="1">IFERROR(__xludf.DUMMYFUNCTION("GOOGLETRANSLATE(B811,""es"",""en"")"),"RT @Gestionpe: Government estimates paying S/ 350 million to overcome conflict in Las Bambas ► https://t.co/cpIX0vU7UG https://t.co/Sid7fRCZwp")</f>
        <v>RT @Gestionpe: Government estimates paying S/ 350 million to overcome conflict in Las Bambas ► https://t.co/cpIX0vU7UG https://t.co/Sid7fRCZwp</v>
      </c>
      <c r="C811" s="2" t="s">
        <v>1915</v>
      </c>
      <c r="D811" s="1" t="s">
        <v>1916</v>
      </c>
    </row>
    <row r="812" spans="1:4" x14ac:dyDescent="0.15">
      <c r="A812" s="1" t="s">
        <v>1917</v>
      </c>
      <c r="B812" s="3" t="str">
        <f ca="1">IFERROR(__xludf.DUMMYFUNCTION("GOOGLETRANSLATE(B812,""es"",""en"")"),"RT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812" s="2" t="s">
        <v>1918</v>
      </c>
      <c r="D812" s="1" t="s">
        <v>1919</v>
      </c>
    </row>
    <row r="813" spans="1:4" x14ac:dyDescent="0.15">
      <c r="A813" s="1" t="s">
        <v>1920</v>
      </c>
      <c r="B813" s="3" t="str">
        <f ca="1">IFERROR(__xludf.DUMMYFUNCTION("GOOGLETRANSLATE(B813,""es"",""en"")"),"Today we talked about the current status of the Las Bambas project. In my opinion, in this mess of 3 (the state, the communities and the Chinese company MMG), the one who is most harmed is us. Disgustingly the phrase ""The enemy of the Peruvian is another"&amp;" Peruvian"" fits perfectly (1/3).")</f>
        <v>Today we talked about the current status of the Las Bambas project. In my opinion, in this mess of 3 (the state, the communities and the Chinese company MMG), the one who is most harmed is us. Disgustingly the phrase "The enemy of the Peruvian is another Peruvian" fits perfectly (1/3).</v>
      </c>
      <c r="C813" s="2" t="s">
        <v>1921</v>
      </c>
      <c r="D813" s="1" t="s">
        <v>1922</v>
      </c>
    </row>
    <row r="814" spans="1:4" x14ac:dyDescent="0.15">
      <c r="A814" s="1" t="s">
        <v>1923</v>
      </c>
      <c r="B814" s="3" t="str">
        <f ca="1">IFERROR(__xludf.DUMMYFUNCTION("GOOGLETRANSLATE(B814,""es"",""en"")"),"RT @willaxtv: #Live #ComButters 
@jdealthaus about Las Bambas: ""they have been misused to receiving money and not developing their own family economies to integrate into the market, that is the problem""")</f>
        <v>RT @willaxtv: #Live #ComButters 
@jdealthaus about Las Bambas: "they have been misused to receiving money and not developing their own family economies to integrate into the market, that is the problem"</v>
      </c>
      <c r="C814" s="2" t="s">
        <v>1924</v>
      </c>
      <c r="D814" s="1" t="s">
        <v>1925</v>
      </c>
    </row>
    <row r="815" spans="1:4" x14ac:dyDescent="0.15">
      <c r="A815" s="1" t="s">
        <v>1415</v>
      </c>
      <c r="B815" s="3" t="str">
        <f ca="1">IFERROR(__xludf.DUMMYFUNCTION("GOOGLETRANSLATE(B815,""es"",""en"")"),"RT @canalN_: [LIVE] #NPortada Las Bambas: residents keep the road and access to the mine blocked in the Challhuahuacho area. It turned out that Gregorio Rojas would arrive in Apurímac this morning and will go to Yavi Yavi to hold an assembly ► https://t.c"&amp;"o/oYIW8cxAGV https://t.co/pbzaOnzJrG")</f>
        <v>RT @canalN_: [LIVE] #NPortada Las Bambas: residents keep the road and access to the mine blocked in the Challhuahuacho area. It turned out that Gregorio Rojas would arrive in Apurímac this morning and will go to Yavi Yavi to hold an assembly ► https://t.co/oYIW8cxAGV https://t.co/pbzaOnzJrG</v>
      </c>
      <c r="C815" s="2" t="s">
        <v>1926</v>
      </c>
      <c r="D815" s="1" t="s">
        <v>1925</v>
      </c>
    </row>
    <row r="816" spans="1:4" x14ac:dyDescent="0.15">
      <c r="A816" s="1" t="s">
        <v>1927</v>
      </c>
      <c r="B816" s="3" t="str">
        <f ca="1">IFERROR(__xludf.DUMMYFUNCTION("GOOGLETRANSLATE(B816,""es"",""en"")"),"Sneakers project https://t.co/HeWORQzj9G")</f>
        <v>Sneakers project https://t.co/HeWORQzj9G</v>
      </c>
      <c r="C816" s="2" t="s">
        <v>1928</v>
      </c>
      <c r="D816" s="1" t="s">
        <v>1929</v>
      </c>
    </row>
    <row r="817" spans="1:4" x14ac:dyDescent="0.15">
      <c r="A817" s="1" t="s">
        <v>1186</v>
      </c>
      <c r="B817" s="3" t="str">
        <f ca="1">IFERROR(__xludf.DUMMYFUNCTION("GOOGLETRANSLATE(B817,""es"",""en"")"),"RT @leo_valra: The country upside down, does this criminal have a crown? He runs over police officers, his followers stone them and in a few hours he is released?
TERRORISTS MANAGED BY THE GOVERNMENT, 
 https://t.co/NBkFoMkvr9")</f>
        <v>RT @leo_valra: The country upside down, does this criminal have a crown? He runs over police officers, his followers stone them and in a few hours he is released?
TERRORISTS MANAGED BY THE GOVERNMENT, 
 https://t.co/NBkFoMkvr9</v>
      </c>
      <c r="C817" s="2" t="s">
        <v>1930</v>
      </c>
      <c r="D817" s="1" t="s">
        <v>1929</v>
      </c>
    </row>
    <row r="818" spans="1:4" x14ac:dyDescent="0.15">
      <c r="A818" s="1" t="s">
        <v>1931</v>
      </c>
      <c r="B818" s="3" t="str">
        <f ca="1">IFERROR(__xludf.DUMMYFUNCTION("GOOGLETRANSLATE(B818,""es"",""en"")"),"RT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818" s="2" t="s">
        <v>1932</v>
      </c>
      <c r="D818" s="1" t="s">
        <v>1929</v>
      </c>
    </row>
    <row r="819" spans="1:4" x14ac:dyDescent="0.15">
      <c r="A819" s="1" t="s">
        <v>1933</v>
      </c>
      <c r="B819" s="3" t="str">
        <f ca="1">IFERROR(__xludf.DUMMYFUNCTION("GOOGLETRANSLATE(B819,""es"",""en"")"),"RT @ Graciasperon0: Take the brave police to Las Bambas to put in their place the peaceful community members who stoned the police officers who arrested their leader for driving while intoxicated. https://t.co/kLUGpUBCgK")</f>
        <v>RT @ Graciasperon0: Take the brave police to Las Bambas to put in their place the peaceful community members who stoned the police officers who arrested their leader for driving while intoxicated. https://t.co/kLUGpUBCgK</v>
      </c>
      <c r="C819" s="2" t="s">
        <v>1934</v>
      </c>
      <c r="D819" s="1" t="s">
        <v>1935</v>
      </c>
    </row>
    <row r="820" spans="1:4" x14ac:dyDescent="0.15">
      <c r="A820" s="1" t="s">
        <v>1936</v>
      </c>
      <c r="B820" s="3" t="str">
        <f ca="1">IFERROR(__xludf.DUMMYFUNCTION("GOOGLETRANSLATE(B820,""es"",""en"")"),"RT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820" s="2" t="s">
        <v>1937</v>
      </c>
      <c r="D820" s="1" t="s">
        <v>1935</v>
      </c>
    </row>
    <row r="821" spans="1:4" x14ac:dyDescent="0.15">
      <c r="A821" s="1" t="s">
        <v>1938</v>
      </c>
      <c r="B821" s="3" t="str">
        <f ca="1">IFERROR(__xludf.DUMMYFUNCTION("GOOGLETRANSLATE(B821,""es"",""en"")"),"RT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821" s="2" t="s">
        <v>1939</v>
      </c>
      <c r="D821" s="1" t="s">
        <v>1935</v>
      </c>
    </row>
    <row r="822" spans="1:4" x14ac:dyDescent="0.15">
      <c r="A822" s="1" t="s">
        <v>1940</v>
      </c>
      <c r="B822" s="3" t="str">
        <f ca="1">IFERROR(__xludf.DUMMYFUNCTION("GOOGLETRANSLATE(B822,""es"",""en"")"),"@canalN_ Just in the problem of the BAMBAS THIS HAPPENS, it's a little strange isn't it????")</f>
        <v>@canalN_ Just in the problem of the BAMBAS THIS HAPPENS, it's a little strange isn't it????</v>
      </c>
      <c r="C822" s="2" t="s">
        <v>1941</v>
      </c>
      <c r="D822" s="1" t="s">
        <v>1942</v>
      </c>
    </row>
    <row r="823" spans="1:4" x14ac:dyDescent="0.15">
      <c r="A823" s="1" t="s">
        <v>216</v>
      </c>
      <c r="B823" s="3" t="str">
        <f ca="1">IFERROR(__xludf.DUMMYFUNCTION("GOOGLETRANSLATE(B823,""es"",""en"")"),"RT @ HacerPeruPe: ""If we continue to believe that the private sector will assume the responsibilities that in any modern society correspond to the State, this will not happen."" David Rivera's new column in @ HacerPeruPe https://t.co/BT0RZW3YGH")</f>
        <v>RT @ HacerPeruPe: "If we continue to believe that the private sector will assume the responsibilities that in any modern society correspond to the State, this will not happen." David Rivera's new column in @ HacerPeruPe https://t.co/BT0RZW3YGH</v>
      </c>
      <c r="C823" s="2" t="s">
        <v>1943</v>
      </c>
      <c r="D823" s="1" t="s">
        <v>1942</v>
      </c>
    </row>
    <row r="824" spans="1:4" x14ac:dyDescent="0.15">
      <c r="A824" s="1" t="s">
        <v>1944</v>
      </c>
      <c r="B824" s="3" t="str">
        <f ca="1">IFERROR(__xludf.DUMMYFUNCTION("GOOGLETRANSLATE(B824,""es"",""en"")"),"RT @AlbertoBelaunde: Productive meeting of the Liberal Caucus with the premier. Among the topics discussed: anti-corruption fight, political reform, reconstruction, fight against gender violence, and the situation in Las Bambas.
Our confidence in his cab"&amp;"inet will be reflected in our vote this Thursday. https://t.co/AYidU7m2ZP")</f>
        <v>RT @AlbertoBelaunde: Productive meeting of the Liberal Caucus with the premier. Among the topics discussed: anti-corruption fight, political reform, reconstruction, fight against gender violence, and the situation in Las Bambas.
Our confidence in his cabinet will be reflected in our vote this Thursday. https://t.co/AYidU7m2ZP</v>
      </c>
      <c r="C824" s="2" t="s">
        <v>1945</v>
      </c>
      <c r="D824" s="1" t="s">
        <v>1946</v>
      </c>
    </row>
    <row r="825" spans="1:4" x14ac:dyDescent="0.15">
      <c r="A825" s="1" t="s">
        <v>1947</v>
      </c>
      <c r="B825" s="3" t="str">
        <f ca="1">IFERROR(__xludf.DUMMYFUNCTION("GOOGLETRANSLATE(B825,""es"",""en"")"),"RT @MilagrosLeivaG: Children who walk two or three hours to go to school. Unsheltered, only with their flip flops. And so we say that in Las Bambas you live like in Switzerland? 😞😡 https://t.co/JzlgU905xt")</f>
        <v>RT @MilagrosLeivaG: Children who walk two or three hours to go to school. Unsheltered, only with their flip flops. And so we say that in Las Bambas you live like in Switzerland? 😞😡 https://t.co/JzlgU905xt</v>
      </c>
      <c r="C825" s="2" t="s">
        <v>1948</v>
      </c>
      <c r="D825" s="1" t="s">
        <v>1946</v>
      </c>
    </row>
    <row r="826" spans="1:4" x14ac:dyDescent="0.15">
      <c r="A826" s="1" t="s">
        <v>1949</v>
      </c>
      <c r="B826" s="3" t="str">
        <f ca="1">IFERROR(__xludf.DUMMYFUNCTION("GOOGLETRANSLATE(B826,""es"",""en"")"),"RT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826" s="2" t="s">
        <v>1950</v>
      </c>
      <c r="D826" s="1" t="s">
        <v>1951</v>
      </c>
    </row>
    <row r="827" spans="1:4" x14ac:dyDescent="0.15">
      <c r="A827" s="1" t="s">
        <v>1952</v>
      </c>
      <c r="B827" s="3" t="str">
        <f ca="1">IFERROR(__xludf.DUMMYFUNCTION("GOOGLETRANSLATE(B827,""es"",""en"")"),"RT @AminoMecumBe: @IuliusAlfonsus @Piery711 @PipoHUERTA @GabyPac54589881 @delurens @BenditaVerdad @jesusdealegre01 @Artemisa0209 @ressenwanger @SILVYTA27 @DorisAzores @ugluis @gabrielitaaa10 @Gatitadelsur @alvarosarco @Bellatrixtoo @Paloma2623 @PirulaPiru"&amp;"lete @hincha_pc @gildatrkovic @MarttinnoBA @ormusverum @GustavoOrozcoH @BurroNo @guerra_mau @pasajesolveinte @veroisapunk @jimmybussol @PeruanaRebelde @OleFernandini @carloswaite @antiNeoMarxista @SOL_AGUSTIN @xafu @NoemiRojasSoto1 @SanQuintin13 @Zrgiulia"&amp;" @FelicianoGalvan @MALCOM_X_ @Giberita @DN_Mariano @PasquinDeM @AmyM1angelmouth @O scarSignus @sangreirlandesa @gabriellaperu @giulianacaccia @CiudadanosHQ @crisjoelr1 Nero plays (the lyre) while Rome burns... #VizcarraInepto plays (tennis) while Peru is "&amp;"taken by the Reds
Tragicomedy of an announced and choreographed chaos :/
https://t.co/Cvl0m20a2c")</f>
        <v>RT @AminoMecumBe: @IuliusAlfonsus @Piery711 @PipoHUERTA @GabyPac54589881 @delurens @BenditaVerdad @jesusdealegre01 @Artemisa0209 @ressenwanger @SILVYTA27 @DorisAzores @ugluis @gabrielitaaa10 @Gatitadelsur @alvarosarco @Bellatrixtoo @Paloma2623 @PirulaPirulete @hincha_pc @gildatrkovic @MarttinnoBA @ormusverum @GustavoOrozcoH @BurroNo @guerra_mau @pasajesolveinte @veroisapunk @jimmybussol @PeruanaRebelde @OleFernandini @carloswaite @antiNeoMarxista @SOL_AGUSTIN @xafu @NoemiRojasSoto1 @SanQuintin13 @Zrgiulia @FelicianoGalvan @MALCOM_X_ @Giberita @DN_Mariano @PasquinDeM @AmyM1angelmouth @O scarSignus @sangreirlandesa @gabriellaperu @giulianacaccia @CiudadanosHQ @crisjoelr1 Nero plays (the lyre) while Rome burns... #VizcarraInepto plays (tennis) while Peru is taken by the Reds
Tragicomedy of an announced and choreographed chaos :/
https://t.co/Cvl0m20a2c</v>
      </c>
      <c r="C827" s="2" t="s">
        <v>1953</v>
      </c>
      <c r="D827" s="1" t="s">
        <v>1954</v>
      </c>
    </row>
    <row r="828" spans="1:4" x14ac:dyDescent="0.15">
      <c r="A828" s="1" t="s">
        <v>1955</v>
      </c>
      <c r="B828" s="3" t="str">
        <f ca="1">IFERROR(__xludf.DUMMYFUNCTION("GOOGLETRANSLATE(B828,""es"",""en"")"),"Government estimates paying S/ 350 million to overcome conflict in Las Bambas ► https://t.co/cpIX0vU7UG https://t.co/fQaFI4s4eH")</f>
        <v>Government estimates paying S/ 350 million to overcome conflict in Las Bambas ► https://t.co/cpIX0vU7UG https://t.co/fQaFI4s4eH</v>
      </c>
      <c r="C828" s="2" t="s">
        <v>1956</v>
      </c>
      <c r="D828" s="1" t="s">
        <v>1957</v>
      </c>
    </row>
    <row r="829" spans="1:4" x14ac:dyDescent="0.15">
      <c r="A829" s="1" t="s">
        <v>1958</v>
      </c>
      <c r="B829" s="3" t="str">
        <f ca="1">IFERROR(__xludf.DUMMYFUNCTION("GOOGLETRANSLATE(B829,""es"",""en"")"),"RT @agildemeisterrrh: And once again, the Catholic Church saving the Peruvian government's skin, intervening as a mediator this time in Las Bambas! At this rate... better that the Church govern or give it the Ministry of the Presidency! From Ripley!")</f>
        <v>RT @agildemeisterrrh: And once again, the Catholic Church saving the Peruvian government's skin, intervening as a mediator this time in Las Bambas! At this rate... better that the Church govern or give it the Ministry of the Presidency! From Ripley!</v>
      </c>
      <c r="C829" s="2" t="s">
        <v>1959</v>
      </c>
      <c r="D829" s="1" t="s">
        <v>1957</v>
      </c>
    </row>
    <row r="830" spans="1:4" x14ac:dyDescent="0.15">
      <c r="A830" s="1" t="s">
        <v>1718</v>
      </c>
      <c r="B830" s="3" t="str">
        <f ca="1">IFERROR(__xludf.DUMMYFUNCTION("GOOGLETRANSLATE(B830,""es"",""en"")"),"RT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830" s="2" t="s">
        <v>1960</v>
      </c>
      <c r="D830" s="1" t="s">
        <v>1961</v>
      </c>
    </row>
    <row r="831" spans="1:4" x14ac:dyDescent="0.15">
      <c r="A831" s="1" t="s">
        <v>1962</v>
      </c>
      <c r="B831" s="3" t="str">
        <f ca="1">IFERROR(__xludf.DUMMYFUNCTION("GOOGLETRANSLATE(B831,""es"",""en"")"),"RT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831" s="2" t="s">
        <v>1963</v>
      </c>
      <c r="D831" s="1" t="s">
        <v>1964</v>
      </c>
    </row>
    <row r="832" spans="1:4" x14ac:dyDescent="0.15">
      <c r="A832" s="1" t="s">
        <v>1965</v>
      </c>
      <c r="B832" s="3" t="str">
        <f ca="1">IFERROR(__xludf.DUMMYFUNCTION("GOOGLETRANSLATE(B832,""es"",""en"")"),"RT @Vponce64: Curtain revealed: @Ideele comes out in defense of anti-miners openly. What does @ACTransparencia say about it? Confused liberal friends, businessmen without definitions, the caviar world is a light version of anti-capitalism. Today they unit"&amp;"e with extremism against Las Bambas!")</f>
        <v>RT @Vponce64: Curtain revealed: @Ideele comes out in defense of anti-miners openly. What does @ACTransparencia say about it? Confused liberal friends, businessmen without definitions, the caviar world is a light version of anti-capitalism. Today they unite with extremism against Las Bambas!</v>
      </c>
      <c r="C832" s="2" t="s">
        <v>1966</v>
      </c>
      <c r="D832" s="1" t="s">
        <v>1964</v>
      </c>
    </row>
    <row r="833" spans="1:4" x14ac:dyDescent="0.15">
      <c r="A833" s="1" t="s">
        <v>1967</v>
      </c>
      <c r="B833" s="3" t="str">
        <f ca="1">IFERROR(__xludf.DUMMYFUNCTION("GOOGLETRANSLATE(B833,""es"",""en"")"),"RT @PasquinDeM: Peru is falling apart: There is no reconstruction in the north, sneakers are in emergency, there is no employment, crime is increasing!
And what is the President thinking about? In playing tennis? Go to the stadium? or a visit to the King?"&amp;" 
VIZCARRA GET TO WORK FOR PERUVIANS ONCE AND FOR ALL!!! https://t.co/mPC25VesiY")</f>
        <v>RT @PasquinDeM: Peru is falling apart: There is no reconstruction in the north, sneakers are in emergency, there is no employment, crime is increasing!
And what is the President thinking about? In playing tennis? Go to the stadium? or a visit to the King? 
VIZCARRA GET TO WORK FOR PERUVIANS ONCE AND FOR ALL!!! https://t.co/mPC25VesiY</v>
      </c>
      <c r="C833" s="2" t="s">
        <v>1968</v>
      </c>
      <c r="D833" s="1" t="s">
        <v>1964</v>
      </c>
    </row>
    <row r="834" spans="1:4" x14ac:dyDescent="0.15">
      <c r="A834" s="1" t="s">
        <v>1969</v>
      </c>
      <c r="B834" s="3" t="str">
        <f ca="1">IFERROR(__xludf.DUMMYFUNCTION("GOOGLETRANSLATE(B834,""es"",""en"")"),"RT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834" s="2" t="s">
        <v>1970</v>
      </c>
      <c r="D834" s="1" t="s">
        <v>1964</v>
      </c>
    </row>
    <row r="835" spans="1:4" x14ac:dyDescent="0.15">
      <c r="A835" s="1" t="s">
        <v>1971</v>
      </c>
      <c r="B835" s="3" t="str">
        <f ca="1">IFERROR(__xludf.DUMMYFUNCTION("GOOGLETRANSLATE(B835,""es"",""en"")"),"RT @willaxtv: #ComButters 
@Phill_Butters: ""Those who are accused of raping a mentally retarded girl have been given 9 months of preventive detention, but what has caused stupor in Peru? Sheyla Rojas has generated a scandal that seems to interest her mor"&amp;"e ""Peru than Las Bambas""")</f>
        <v>RT @willaxtv: #ComButters 
@Phill_Butters: "Those who are accused of raping a mentally retarded girl have been given 9 months of preventive detention, but what has caused stupor in Peru? Sheyla Rojas has generated a scandal that seems to interest her more "Peru than Las Bambas"</v>
      </c>
      <c r="C835" s="2" t="s">
        <v>1972</v>
      </c>
      <c r="D835" s="1" t="s">
        <v>1973</v>
      </c>
    </row>
    <row r="836" spans="1:4" x14ac:dyDescent="0.15">
      <c r="A836" s="1" t="s">
        <v>1974</v>
      </c>
      <c r="B836" s="3" t="str">
        <f ca="1">IFERROR(__xludf.DUMMYFUNCTION("GOOGLETRANSLATE(B836,""es"",""en"")"),"Young man attacks lawyer Rosa María Palacios and some media that report on the conflict in Las Bambas https://t.co/e5SdbRzWCq")</f>
        <v>Young man attacks lawyer Rosa María Palacios and some media that report on the conflict in Las Bambas https://t.co/e5SdbRzWCq</v>
      </c>
      <c r="C836" s="2" t="s">
        <v>1975</v>
      </c>
      <c r="D836" s="1" t="s">
        <v>1976</v>
      </c>
    </row>
    <row r="837" spans="1:4" x14ac:dyDescent="0.15">
      <c r="A837" s="1" t="s">
        <v>1977</v>
      </c>
      <c r="B837" s="3" t="str">
        <f ca="1">IFERROR(__xludf.DUMMYFUNCTION("GOOGLETRANSLATE(B837,""es"",""en"")"),"RT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837" s="2" t="s">
        <v>1978</v>
      </c>
      <c r="D837" s="1" t="s">
        <v>1979</v>
      </c>
    </row>
    <row r="838" spans="1:4" x14ac:dyDescent="0.15">
      <c r="A838" s="1" t="s">
        <v>1980</v>
      </c>
      <c r="B838" s="3" t="str">
        <f ca="1">IFERROR(__xludf.DUMMYFUNCTION("GOOGLETRANSLATE(B838,""es"",""en"")"),"@msantiagogp @JulianaOxenford But the country is a complete informality, these are a consequence of Bambas taxis, combis, street vendors everywhere, slave labor, overcrowded seamstresses, labor instability and many congressmen, businessmen, friends, famil"&amp;"y all involved, the problem is at its roots .")</f>
        <v>@msantiagogp @JulianaOxenford But the country is a complete informality, these are a consequence of Bambas taxis, combis, street vendors everywhere, slave labor, overcrowded seamstresses, labor instability and many congressmen, businessmen, friends, family all involved, the problem is at its roots .</v>
      </c>
      <c r="C838" s="2" t="s">
        <v>1981</v>
      </c>
      <c r="D838" s="1" t="s">
        <v>1982</v>
      </c>
    </row>
    <row r="839" spans="1:4" x14ac:dyDescent="0.15">
      <c r="A839" s="1" t="s">
        <v>1983</v>
      </c>
      <c r="B839" s="3" t="str">
        <f ca="1">IFERROR(__xludf.DUMMYFUNCTION("GOOGLETRANSLATE(B839,""es"",""en"")"),"@noticiAmerica It is not easy, we must take into account that the government will have to compensate the Bambas because they are international contracts and in the end where will the money come from? From Peruvians well @RPPNoticias @MavilaHuertasC @RPPNo"&amp;"ticias @VeroLinaresC @exitosape @Capital967 @atvmasnoticias")</f>
        <v>@noticiAmerica It is not easy, we must take into account that the government will have to compensate the Bambas because they are international contracts and in the end where will the money come from? From Peruvians well @RPPNoticias @MavilaHuertasC @RPPNoticias @VeroLinaresC @exitosape @Capital967 @atvmasnoticias</v>
      </c>
      <c r="C839" s="2" t="s">
        <v>1984</v>
      </c>
      <c r="D839" s="1" t="s">
        <v>1982</v>
      </c>
    </row>
    <row r="840" spans="1:4" x14ac:dyDescent="0.15">
      <c r="A840" s="1" t="s">
        <v>1985</v>
      </c>
      <c r="B840" s="3" t="str">
        <f ca="1">IFERROR(__xludf.DUMMYFUNCTION("GOOGLETRANSLATE(B840,""es"",""en"")"),"RT @Gregorio_Goyo: Regional Strike Platform 48 hours in Apurimac. Lifting of the State of Emergency, cessation of judicial persecution of leaders and community members; Review of the Contract with Las Bambas, payment of taxes because they are exploiting m"&amp;"ineral. The country is not sold, it is defended with courage! https://t.co/E9u91qYrn6")</f>
        <v>RT @Gregorio_Goyo: Regional Strike Platform 48 hours in Apurimac. Lifting of the State of Emergency, cessation of judicial persecution of leaders and community members; Review of the Contract with Las Bambas, payment of taxes because they are exploiting mineral. The country is not sold, it is defended with courage! https://t.co/E9u91qYrn6</v>
      </c>
      <c r="C840" s="2" t="s">
        <v>1986</v>
      </c>
      <c r="D840" s="1" t="s">
        <v>1987</v>
      </c>
    </row>
    <row r="841" spans="1:4" x14ac:dyDescent="0.15">
      <c r="A841" s="1" t="s">
        <v>1988</v>
      </c>
      <c r="B841" s="3" t="str">
        <f ca="1">IFERROR(__xludf.DUMMYFUNCTION("GOOGLETRANSLATE(B841,""es"",""en"")"),"RT @Ojo_Publico: #LasBambas The disagreements between the leaders of Fuerabamba and the authorities of Apurímac, the absence of dialogue and distrust of the government are the main characteristics of the protest in Challhuahuacho against the Chinese minin"&amp;"g company MMG. https://t.co/UCH9ljxxuZ")</f>
        <v>RT @Ojo_Publico: #LasBambas The disagreements between the leaders of Fuerabamba and the authorities of Apurímac, the absence of dialogue and distrust of the government are the main characteristics of the protest in Challhuahuacho against the Chinese mining company MMG. https://t.co/UCH9ljxxuZ</v>
      </c>
      <c r="C841" s="2" t="s">
        <v>1989</v>
      </c>
      <c r="D841" s="1" t="s">
        <v>1987</v>
      </c>
    </row>
    <row r="842" spans="1:4" x14ac:dyDescent="0.15">
      <c r="A842" s="1" t="s">
        <v>7</v>
      </c>
      <c r="B842" s="3" t="str">
        <f ca="1">IFERROR(__xludf.DUMMYFUNCTION("GOOGLETRANSLATE(B842,""es"",""en"")"),"RT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842" s="2" t="s">
        <v>1990</v>
      </c>
      <c r="D842" s="1" t="s">
        <v>1991</v>
      </c>
    </row>
    <row r="843" spans="1:4" x14ac:dyDescent="0.15">
      <c r="A843" s="1" t="s">
        <v>1992</v>
      </c>
      <c r="B843" s="3" t="str">
        <f ca="1">IFERROR(__xludf.DUMMYFUNCTION("GOOGLETRANSLATE(B843,""es"",""en"")"),"RT @magnoayacucho: @NestorPopolizio @Agencia_Andina @jguaido Worry about the sneakers... I totally imagine that the cabinet is a single team.")</f>
        <v>RT @magnoayacucho: @NestorPopolizio @Agencia_Andina @jguaido Worry about the sneakers... I totally imagine that the cabinet is a single team.</v>
      </c>
      <c r="C843" s="2" t="s">
        <v>1993</v>
      </c>
      <c r="D843" s="1" t="s">
        <v>1994</v>
      </c>
    </row>
    <row r="844" spans="1:4" x14ac:dyDescent="0.15">
      <c r="A844" s="1" t="s">
        <v>1995</v>
      </c>
      <c r="B844" s="3" t="str">
        <f ca="1">IFERROR(__xludf.DUMMYFUNCTION("GOOGLETRANSLATE(B844,""es"",""en"")"),"RT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844" s="2" t="s">
        <v>1996</v>
      </c>
      <c r="D844" s="1" t="s">
        <v>1994</v>
      </c>
    </row>
    <row r="845" spans="1:4" x14ac:dyDescent="0.15">
      <c r="A845" s="1" t="s">
        <v>1997</v>
      </c>
      <c r="B845" s="3" t="str">
        <f ca="1">IFERROR(__xludf.DUMMYFUNCTION("GOOGLETRANSLATE(B845,""es"",""en"")"),"RT @Gregorio_Goyo: Regional Strike Platform 48 hours in Apurimac. Lifting of the State of Emergency, cessation of judicial persecution of leaders and community members; Review of the Contract with Las Bambas, payment of taxes because they are exploiting m"&amp;"ineral. The country is not sold, it is defended with courage! https://t.co/E9u91qYrn6")</f>
        <v>RT @Gregorio_Goyo: Regional Strike Platform 48 hours in Apurimac. Lifting of the State of Emergency, cessation of judicial persecution of leaders and community members; Review of the Contract with Las Bambas, payment of taxes because they are exploiting mineral. The country is not sold, it is defended with courage! https://t.co/E9u91qYrn6</v>
      </c>
      <c r="C845" s="2" t="s">
        <v>1998</v>
      </c>
      <c r="D845" s="1" t="s">
        <v>1994</v>
      </c>
    </row>
    <row r="846" spans="1:4" x14ac:dyDescent="0.15">
      <c r="A846" s="1" t="s">
        <v>1999</v>
      </c>
      <c r="B846" s="3" t="str">
        <f ca="1">IFERROR(__xludf.DUMMYFUNCTION("GOOGLETRANSLATE(B846,""es"",""en"")"),"RT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846" s="2" t="s">
        <v>2000</v>
      </c>
      <c r="D846" s="1" t="s">
        <v>2001</v>
      </c>
    </row>
    <row r="847" spans="1:4" x14ac:dyDescent="0.15">
      <c r="A847" s="1" t="s">
        <v>2002</v>
      </c>
      <c r="B847" s="3" t="str">
        <f ca="1">IFERROR(__xludf.DUMMYFUNCTION("GOOGLETRANSLATE(B847,""es"",""en"")"),"RT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847" s="2" t="s">
        <v>2003</v>
      </c>
      <c r="D847" s="1" t="s">
        <v>2001</v>
      </c>
    </row>
    <row r="848" spans="1:4" x14ac:dyDescent="0.15">
      <c r="A848" s="1" t="s">
        <v>2004</v>
      </c>
      <c r="B848" s="3" t="str">
        <f ca="1">IFERROR(__xludf.DUMMYFUNCTION("GOOGLETRANSLATE(B848,""es"",""en"")"),"RT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848" s="2" t="s">
        <v>2005</v>
      </c>
      <c r="D848" s="1" t="s">
        <v>2006</v>
      </c>
    </row>
    <row r="849" spans="1:4" x14ac:dyDescent="0.15">
      <c r="A849" s="1" t="s">
        <v>2007</v>
      </c>
      <c r="B849" s="3" t="str">
        <f ca="1">IFERROR(__xludf.DUMMYFUNCTION("GOOGLETRANSLATE(B849,""es"",""en"")"),"They haven't even asked the church to solve a conflict like Las Bambas. The president knows that we are a multicultural country and that the Catholic religion is often not the means because there are other beliefs specific to the region, right? I feel lik"&amp;"e it's 1532 again csm.")</f>
        <v>They haven't even asked the church to solve a conflict like Las Bambas. The president knows that we are a multicultural country and that the Catholic religion is often not the means because there are other beliefs specific to the region, right? I feel like it's 1532 again csm.</v>
      </c>
      <c r="C849" s="2" t="s">
        <v>2008</v>
      </c>
      <c r="D849" s="1" t="s">
        <v>2009</v>
      </c>
    </row>
    <row r="850" spans="1:4" x14ac:dyDescent="0.15">
      <c r="A850" s="1" t="s">
        <v>1447</v>
      </c>
      <c r="B850" s="3" t="str">
        <f ca="1">IFERROR(__xludf.DUMMYFUNCTION("GOOGLETRANSLATE(B850,""es"",""en"")"),"The Minister of Defense, José Huerta, stated that now is not the time to use violence to confront the conflict in Las Bambas https://t.co/Gd7K4m8OLY")</f>
        <v>The Minister of Defense, José Huerta, stated that now is not the time to use violence to confront the conflict in Las Bambas https://t.co/Gd7K4m8OLY</v>
      </c>
      <c r="C850" s="2" t="s">
        <v>2010</v>
      </c>
      <c r="D850" s="1" t="s">
        <v>2009</v>
      </c>
    </row>
    <row r="851" spans="1:4" x14ac:dyDescent="0.15">
      <c r="A851" s="1" t="s">
        <v>2011</v>
      </c>
      <c r="B851" s="3" t="str">
        <f ca="1">IFERROR(__xludf.DUMMYFUNCTION("GOOGLETRANSLATE(B851,""es"",""en"")"),"@jdealthaus What should be claimed is that the Government should not spend S/ 1,600 million of OURS to pave the road to the Las Bambas mine. 
They shamelessly say that it is a ""national road for the use of all"", but it leads only to the mine. Let the mi"&amp;"ne buy the land and build its road!")</f>
        <v>@jdealthaus What should be claimed is that the Government should not spend S/ 1,600 million of OURS to pave the road to the Las Bambas mine. 
They shamelessly say that it is a "national road for the use of all", but it leads only to the mine. Let the mine buy the land and build its road!</v>
      </c>
      <c r="C851" s="2" t="s">
        <v>2012</v>
      </c>
      <c r="D851" s="1" t="s">
        <v>2013</v>
      </c>
    </row>
    <row r="852" spans="1:4" x14ac:dyDescent="0.15">
      <c r="A852" s="1" t="s">
        <v>2014</v>
      </c>
      <c r="B852" s="3" t="str">
        <f ca="1">IFERROR(__xludf.DUMMYFUNCTION("GOOGLETRANSLATE(B852,""es"",""en"")"),"RT @AlbertoBelaunde: Productive meeting of the Liberal Caucus with the premier. Among the topics discussed: anti-corruption fight, political reform, reconstruction, fight against gender violence, and the situation in Las Bambas.
Our confidence in his cab"&amp;"inet will be reflected in our vote this Thursday. https://t.co/AYidU7m2ZP")</f>
        <v>RT @AlbertoBelaunde: Productive meeting of the Liberal Caucus with the premier. Among the topics discussed: anti-corruption fight, political reform, reconstruction, fight against gender violence, and the situation in Las Bambas.
Our confidence in his cabinet will be reflected in our vote this Thursday. https://t.co/AYidU7m2ZP</v>
      </c>
      <c r="C852" s="2" t="s">
        <v>2015</v>
      </c>
      <c r="D852" s="1" t="s">
        <v>2016</v>
      </c>
    </row>
    <row r="853" spans="1:4" x14ac:dyDescent="0.15">
      <c r="A853" s="1" t="s">
        <v>2017</v>
      </c>
      <c r="B853" s="3" t="str">
        <f ca="1">IFERROR(__xludf.DUMMYFUNCTION("GOOGLETRANSLATE(B853,""es"",""en"")"),"RT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853" s="2" t="s">
        <v>2018</v>
      </c>
      <c r="D853" s="1" t="s">
        <v>2019</v>
      </c>
    </row>
    <row r="854" spans="1:4" x14ac:dyDescent="0.15">
      <c r="A854" s="1" t="s">
        <v>2020</v>
      </c>
      <c r="B854" s="3" t="str">
        <f ca="1">IFERROR(__xludf.DUMMYFUNCTION("GOOGLETRANSLATE(B854,""es"",""en"")"),"RT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854" s="2" t="s">
        <v>2021</v>
      </c>
      <c r="D854" s="1" t="s">
        <v>2019</v>
      </c>
    </row>
    <row r="855" spans="1:4" x14ac:dyDescent="0.15">
      <c r="A855" s="1" t="s">
        <v>1337</v>
      </c>
      <c r="B855" s="3" t="str">
        <f ca="1">IFERROR(__xludf.DUMMYFUNCTION("GOOGLETRANSLATE(B855,""es"",""en"")"),"RT @parwasisa: As a member of @UN4Indigenous I express my deep concern to @MartinVizcarraC @pcmperu @MinCulturaPe about the conflict in #LasBambas. I urge the Peruvian State to avoid the use of force and not to deepen disagreements with #IndigenousPeoples"&amp;" https://t.co/JAY19hO1L8")</f>
        <v>RT @parwasisa: As a member of @UN4Indigenous I express my deep concern to @MartinVizcarraC @pcmperu @MinCulturaPe about the conflict in #LasBambas. I urge the Peruvian State to avoid the use of force and not to deepen disagreements with #IndigenousPeoples https://t.co/JAY19hO1L8</v>
      </c>
      <c r="C855" s="2" t="s">
        <v>2022</v>
      </c>
      <c r="D855" s="1" t="s">
        <v>2019</v>
      </c>
    </row>
    <row r="856" spans="1:4" x14ac:dyDescent="0.15">
      <c r="A856" s="1" t="s">
        <v>124</v>
      </c>
      <c r="B856" s="3" t="str">
        <f ca="1">IFERROR(__xludf.DUMMYFUNCTION("GOOGLETRANSLATE(B856,""es"",""en"")"),"⭕️ LIVE | An in-depth analysis of the conflict in Las Bambas, together with @franco_alsur from @spaciolibre and @claudia_mho.
📺 Follow the program LIVE here → https://t.co/kzZ6OMwbn6 and https://t.co/MP89zmg3Ao https://t.co/ITLxz0buLX")</f>
        <v>⭕️ LIVE | An in-depth analysis of the conflict in Las Bambas, together with @franco_alsur from @spaciolibre and @claudia_mho.
📺 Follow the program LIVE here → https://t.co/kzZ6OMwbn6 and https://t.co/MP89zmg3Ao https://t.co/ITLxz0buLX</v>
      </c>
      <c r="C856" s="2" t="s">
        <v>2023</v>
      </c>
      <c r="D856" s="1" t="s">
        <v>2024</v>
      </c>
    </row>
    <row r="857" spans="1:4" x14ac:dyDescent="0.15">
      <c r="A857" s="1" t="s">
        <v>2025</v>
      </c>
      <c r="B857" s="3" t="str">
        <f ca="1">IFERROR(__xludf.DUMMYFUNCTION("GOOGLETRANSLATE(B857,""es"",""en"")"),"RT @canalN_: The Minister of Defense, José Huerta, stated that now is not the time to use violence to confront the conflict in Las Bambas https://t.co/Gd7K4m8OLY")</f>
        <v>RT @canalN_: The Minister of Defense, José Huerta, stated that now is not the time to use violence to confront the conflict in Las Bambas https://t.co/Gd7K4m8OLY</v>
      </c>
      <c r="C857" s="2" t="s">
        <v>2026</v>
      </c>
      <c r="D857" s="1" t="s">
        <v>2027</v>
      </c>
    </row>
    <row r="858" spans="1:4" x14ac:dyDescent="0.15">
      <c r="A858" s="1" t="s">
        <v>2028</v>
      </c>
      <c r="B858" s="3" t="str">
        <f ca="1">IFERROR(__xludf.DUMMYFUNCTION("GOOGLETRANSLATE(B858,""es"",""en"")"),"RT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858" s="2" t="s">
        <v>2029</v>
      </c>
      <c r="D858" s="1" t="s">
        <v>2030</v>
      </c>
    </row>
    <row r="859" spans="1:4" x14ac:dyDescent="0.15">
      <c r="A859" s="1" t="s">
        <v>2031</v>
      </c>
      <c r="B859" s="3" t="str">
        <f ca="1">IFERROR(__xludf.DUMMYFUNCTION("GOOGLETRANSLATE(B859,""es"",""en"")"),"They have to make a claster in Las Bambas, they would be the beginnings of Development. Value added.")</f>
        <v>They have to make a claster in Las Bambas, they would be the beginnings of Development. Value added.</v>
      </c>
      <c r="C859" s="2" t="s">
        <v>2032</v>
      </c>
      <c r="D859" s="1" t="s">
        <v>2030</v>
      </c>
    </row>
    <row r="860" spans="1:4" x14ac:dyDescent="0.15">
      <c r="A860" s="1" t="s">
        <v>2033</v>
      </c>
      <c r="B860" s="3" t="str">
        <f ca="1">IFERROR(__xludf.DUMMYFUNCTION("GOOGLETRANSLATE(B860,""es"",""en"")"),"A difficult road: kilometers of misunderstandings [Chronicle] ► https://t.co/D83YAghlgI https://t.co/PNCPVVgpz3")</f>
        <v>A difficult road: kilometers of misunderstandings [Chronicle] ► https://t.co/D83YAghlgI https://t.co/PNCPVVgpz3</v>
      </c>
      <c r="C860" s="2" t="s">
        <v>2034</v>
      </c>
      <c r="D860" s="1" t="s">
        <v>2035</v>
      </c>
    </row>
    <row r="861" spans="1:4" x14ac:dyDescent="0.15">
      <c r="A861" s="1" t="s">
        <v>2036</v>
      </c>
      <c r="B861" s="3" t="str">
        <f ca="1">IFERROR(__xludf.DUMMYFUNCTION("GOOGLETRANSLATE(B861,""es"",""en"")"),"RT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861" s="2" t="s">
        <v>2037</v>
      </c>
      <c r="D861" s="1" t="s">
        <v>2035</v>
      </c>
    </row>
    <row r="862" spans="1:4" x14ac:dyDescent="0.15">
      <c r="A862" s="1" t="s">
        <v>669</v>
      </c>
      <c r="B862" s="3" t="str">
        <f ca="1">IFERROR(__xludf.DUMMYFUNCTION("GOOGLETRANSLATE(B862,""es"",""en"")"),"The Minister of Defense, José Huerta, highlighted that the Government's policy is to use dialogue to solve social conflicts https://t.co/yQmWKJ0X69")</f>
        <v>The Minister of Defense, José Huerta, highlighted that the Government's policy is to use dialogue to solve social conflicts https://t.co/yQmWKJ0X69</v>
      </c>
      <c r="C862" s="2" t="s">
        <v>2038</v>
      </c>
      <c r="D862" s="1" t="s">
        <v>2039</v>
      </c>
    </row>
    <row r="863" spans="1:4" x14ac:dyDescent="0.15">
      <c r="A863" s="1" t="s">
        <v>2040</v>
      </c>
      <c r="B863" s="3" t="str">
        <f ca="1">IFERROR(__xludf.DUMMYFUNCTION("GOOGLETRANSLATE(B863,""es"",""en"")"),"The Minister of Defense, José Huerta, highlighted that the Government's policy is to use dialogue to solve social conflicts https://t.co/eNyYG4g9v8")</f>
        <v>The Minister of Defense, José Huerta, highlighted that the Government's policy is to use dialogue to solve social conflicts https://t.co/eNyYG4g9v8</v>
      </c>
      <c r="C863" s="2" t="s">
        <v>2041</v>
      </c>
      <c r="D863" s="1" t="s">
        <v>2042</v>
      </c>
    </row>
    <row r="864" spans="1:4" x14ac:dyDescent="0.15">
      <c r="A864" s="1" t="s">
        <v>2043</v>
      </c>
      <c r="B864" s="3" t="str">
        <f ca="1">IFERROR(__xludf.DUMMYFUNCTION("GOOGLETRANSLATE(B864,""es"",""en"")"),"RT @Ojo_Publico: #LoÚltimo Community members of Fuerabamba remain at the Manantiales sentry box, where the entrance to the #LasBambas mine is located. A few hours ago Gregorio Rojas, president of the community, arrived in #Cusco and is awaiting his arriva"&amp;"l in the district of Challhuahuacho. https://t.co/UCH9ljxxuZ https://t.co/06MksUVkTZ")</f>
        <v>RT @Ojo_Publico: #LoÚltimo Community members of Fuerabamba remain at the Manantiales sentry box, where the entrance to the #LasBambas mine is located. A few hours ago Gregorio Rojas, president of the community, arrived in #Cusco and is awaiting his arrival in the district of Challhuahuacho. https://t.co/UCH9ljxxuZ https://t.co/06MksUVkTZ</v>
      </c>
      <c r="C864" s="2" t="s">
        <v>2044</v>
      </c>
      <c r="D864" s="1" t="s">
        <v>2042</v>
      </c>
    </row>
    <row r="865" spans="1:4" x14ac:dyDescent="0.15">
      <c r="A865" s="1" t="s">
        <v>2045</v>
      </c>
      <c r="B865" s="3" t="str">
        <f ca="1">IFERROR(__xludf.DUMMYFUNCTION("GOOGLETRANSLATE(B865,""es"",""en"")"),"Now what will @MartinVizcarraC do to regain his fictitious popularity? Will he put A García in prison? Will you give more money to the prostipress and Datum? Will he give the reds positions of trust? Will he put Gorriti as a mediator in the BAMBAS? Will h"&amp;"e send Keiko to the wall? Will there be another referendum?")</f>
        <v>Now what will @MartinVizcarraC do to regain his fictitious popularity? Will he put A García in prison? Will you give more money to the prostipress and Datum? Will he give the reds positions of trust? Will he put Gorriti as a mediator in the BAMBAS? Will he send Keiko to the wall? Will there be another referendum?</v>
      </c>
      <c r="C865" s="2" t="s">
        <v>2046</v>
      </c>
      <c r="D865" s="1" t="s">
        <v>2047</v>
      </c>
    </row>
    <row r="866" spans="1:4" x14ac:dyDescent="0.15">
      <c r="A866" s="1" t="s">
        <v>2048</v>
      </c>
      <c r="B866" s="3" t="str">
        <f ca="1">IFERROR(__xludf.DUMMYFUNCTION("GOOGLETRANSLATE(B866,""es"",""en"")"),"I got a scare, my legs are wearing sneakers.")</f>
        <v>I got a scare, my legs are wearing sneakers.</v>
      </c>
      <c r="C866" s="2" t="s">
        <v>2049</v>
      </c>
      <c r="D866" s="1" t="s">
        <v>2050</v>
      </c>
    </row>
    <row r="867" spans="1:4" x14ac:dyDescent="0.15">
      <c r="A867" s="1" t="s">
        <v>2051</v>
      </c>
      <c r="B867" s="3" t="str">
        <f ca="1">IFERROR(__xludf.DUMMYFUNCTION("GOOGLETRANSLATE(B867,""es"",""en"")"),"RT @ Graciasperon0: Take the brave police to Las Bambas to put in their place the peaceful community members who stoned the police officers who arrested their leader for driving while intoxicated. https://t.co/kLUGpUBCgK")</f>
        <v>RT @ Graciasperon0: Take the brave police to Las Bambas to put in their place the peaceful community members who stoned the police officers who arrested their leader for driving while intoxicated. https://t.co/kLUGpUBCgK</v>
      </c>
      <c r="C867" s="2" t="s">
        <v>2052</v>
      </c>
      <c r="D867" s="1" t="s">
        <v>2053</v>
      </c>
    </row>
    <row r="868" spans="1:4" x14ac:dyDescent="0.15">
      <c r="A868" s="1" t="s">
        <v>2054</v>
      </c>
      <c r="B868" s="3" t="str">
        <f ca="1">IFERROR(__xludf.DUMMYFUNCTION("GOOGLETRANSLATE(B868,""es"",""en"")"),"RT @Ojo_Publico: #LoÚltimo Community members of Fuerabamba remain at the Manantiales sentry box, where the entrance to the #LasBambas mine is located. A few hours ago Gregorio Rojas, president of the community, arrived in #Cusco and is awaiting his arriva"&amp;"l in the district of Challhuahuacho. https://t.co/UCH9ljxxuZ https://t.co/06MksUVkTZ")</f>
        <v>RT @Ojo_Publico: #LoÚltimo Community members of Fuerabamba remain at the Manantiales sentry box, where the entrance to the #LasBambas mine is located. A few hours ago Gregorio Rojas, president of the community, arrived in #Cusco and is awaiting his arrival in the district of Challhuahuacho. https://t.co/UCH9ljxxuZ https://t.co/06MksUVkTZ</v>
      </c>
      <c r="C868" s="2" t="s">
        <v>2055</v>
      </c>
      <c r="D868" s="1" t="s">
        <v>2053</v>
      </c>
    </row>
    <row r="869" spans="1:4" x14ac:dyDescent="0.15">
      <c r="A869" s="1" t="s">
        <v>2056</v>
      </c>
      <c r="B869" s="3" t="str">
        <f ca="1">IFERROR(__xludf.DUMMYFUNCTION("GOOGLETRANSLATE(B869,""es"",""en"")"),"RT @ucinoticias_pe: ⭕️ LIVE | An in-depth analysis of the conflict in Las Bambas, together with @franco_alsur from @spaciolibre and @claudia_mho.
📺 Follow the program LIVE here → https://t.co/kzZ6OMwbn6 and https://t.co/MP89zmg3Ao https://t.co/ITLxz0buL"&amp;"X")</f>
        <v>RT @ucinoticias_pe: ⭕️ LIVE | An in-depth analysis of the conflict in Las Bambas, together with @franco_alsur from @spaciolibre and @claudia_mho.
📺 Follow the program LIVE here → https://t.co/kzZ6OMwbn6 and https://t.co/MP89zmg3Ao https://t.co/ITLxz0buLX</v>
      </c>
      <c r="C869" s="2" t="s">
        <v>2057</v>
      </c>
      <c r="D869" s="1" t="s">
        <v>2058</v>
      </c>
    </row>
    <row r="870" spans="1:4" x14ac:dyDescent="0.15">
      <c r="A870" s="1" t="s">
        <v>2059</v>
      </c>
      <c r="B870" s="3" t="str">
        <f ca="1">IFERROR(__xludf.DUMMYFUNCTION("GOOGLETRANSLATE(B870,""es"",""en"")"),"RT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870" s="2" t="s">
        <v>2060</v>
      </c>
      <c r="D870" s="1" t="s">
        <v>2061</v>
      </c>
    </row>
    <row r="871" spans="1:4" x14ac:dyDescent="0.15">
      <c r="A871" s="1" t="s">
        <v>889</v>
      </c>
      <c r="B871" s="3" t="str">
        <f ca="1">IFERROR(__xludf.DUMMYFUNCTION("GOOGLETRANSLATE(B871,""es"",""en"")"),"RT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871" s="2" t="s">
        <v>2062</v>
      </c>
      <c r="D871" s="1" t="s">
        <v>2061</v>
      </c>
    </row>
    <row r="872" spans="1:4" x14ac:dyDescent="0.15">
      <c r="A872" s="1" t="s">
        <v>289</v>
      </c>
      <c r="B872" s="3" t="str">
        <f ca="1">IFERROR(__xludf.DUMMYFUNCTION("GOOGLETRANSLATE(B872,""es"",""en"")"),"RT @comitedelectura: Very good article by David Rivera in @larepublica_pe about what the conflict in Las Bambas has revealed, once again, regarding the structural deficiencies of the Peruvian State. https://t.co/V05NN5Kp3s")</f>
        <v>RT @comitedelectura: Very good article by David Rivera in @larepublica_pe about what the conflict in Las Bambas has revealed, once again, regarding the structural deficiencies of the Peruvian State. https://t.co/V05NN5Kp3s</v>
      </c>
      <c r="C872" s="2" t="s">
        <v>2063</v>
      </c>
      <c r="D872" s="1" t="s">
        <v>2064</v>
      </c>
    </row>
    <row r="873" spans="1:4" x14ac:dyDescent="0.15">
      <c r="A873" s="1" t="s">
        <v>2065</v>
      </c>
      <c r="B873" s="3" t="str">
        <f ca="1">IFERROR(__xludf.DUMMYFUNCTION("GOOGLETRANSLATE(B873,""es"",""en"")"),"─The government has several specialists in conflict resolution
─Spend thousands of soles on consulting about it
─He put in the PCM a prime minister whose strong point is communication
and all so that the church can be the intermediary in Bambas and seek "&amp;"to solve the problem")</f>
        <v>─The government has several specialists in conflict resolution
─Spend thousands of soles on consulting about it
─He put in the PCM a prime minister whose strong point is communication
and all so that the church can be the intermediary in Bambas and seek to solve the problem</v>
      </c>
      <c r="C873" s="2" t="s">
        <v>2066</v>
      </c>
      <c r="D873" s="1" t="s">
        <v>2067</v>
      </c>
    </row>
    <row r="874" spans="1:4" x14ac:dyDescent="0.15">
      <c r="A874" s="1" t="s">
        <v>2011</v>
      </c>
      <c r="B874" s="3" t="str">
        <f ca="1">IFERROR(__xludf.DUMMYFUNCTION("GOOGLETRANSLATE(B874,""es"",""en"")"),"@diariocorreo And the Government wants to spend S/ 1,600 million of OURS to build its road to the Las Bambas mine 😠")</f>
        <v>@diariocorreo And the Government wants to spend S/ 1,600 million of OURS to build its road to the Las Bambas mine 😠</v>
      </c>
      <c r="C874" s="2" t="s">
        <v>2068</v>
      </c>
      <c r="D874" s="1" t="s">
        <v>2069</v>
      </c>
    </row>
    <row r="875" spans="1:4" x14ac:dyDescent="0.15">
      <c r="A875" s="1" t="s">
        <v>2070</v>
      </c>
      <c r="B875" s="3" t="str">
        <f ca="1">IFERROR(__xludf.DUMMYFUNCTION("GOOGLETRANSLATE(B875,""es"",""en"")"),"RT @patarevalo: Finally I read a clear explanation of the Las Bambas problem. If the agreements are not fulfilled, what can be expected? If they are modified without consensus and people's lives are changed, this happens. Let's start by seeing it.
https:/"&amp;"/t.co/hl3qu9VrJN")</f>
        <v>RT @patarevalo: Finally I read a clear explanation of the Las Bambas problem. If the agreements are not fulfilled, what can be expected? If they are modified without consensus and people's lives are changed, this happens. Let's start by seeing it.
https://t.co/hl3qu9VrJN</v>
      </c>
      <c r="C875" s="2" t="s">
        <v>2071</v>
      </c>
      <c r="D875" s="1" t="s">
        <v>2072</v>
      </c>
    </row>
    <row r="876" spans="1:4" x14ac:dyDescent="0.15">
      <c r="A876" s="1" t="s">
        <v>2073</v>
      </c>
      <c r="B876" s="3" t="str">
        <f ca="1">IFERROR(__xludf.DUMMYFUNCTION("GOOGLETRANSLATE(B876,""es"",""en"")"),"RT @jgodoym: Good editorial from @SEMANAeconomica about Las Bambas. We must kill the dog in the manger https://t.co/8TArvrmQMl")</f>
        <v>RT @jgodoym: Good editorial from @SEMANAeconomica about Las Bambas. We must kill the dog in the manger https://t.co/8TArvrmQMl</v>
      </c>
      <c r="C876" s="2" t="s">
        <v>2074</v>
      </c>
      <c r="D876" s="1" t="s">
        <v>2072</v>
      </c>
    </row>
    <row r="877" spans="1:4" x14ac:dyDescent="0.15">
      <c r="A877" s="1" t="s">
        <v>2075</v>
      </c>
      <c r="B877" s="3" t="str">
        <f ca="1">IFERROR(__xludf.DUMMYFUNCTION("GOOGLETRANSLATE(B877,""es"",""en"")"),"@ContactoN_ @Frospigliosi @MijaelGLP @canalN_ There would be no reason. What happened in Las Bambas is a social conflict that - even - Vizcarra will be able to match.")</f>
        <v>@ContactoN_ @Frospigliosi @MijaelGLP @canalN_ There would be no reason. What happened in Las Bambas is a social conflict that - even - Vizcarra will be able to match.</v>
      </c>
      <c r="C877" s="2" t="s">
        <v>2076</v>
      </c>
      <c r="D877" s="1" t="s">
        <v>2072</v>
      </c>
    </row>
    <row r="878" spans="1:4" x14ac:dyDescent="0.15">
      <c r="A878" s="1" t="s">
        <v>442</v>
      </c>
      <c r="B878" s="3" t="str">
        <f ca="1">IFERROR(__xludf.DUMMYFUNCTION("GOOGLETRANSLATE(B878,""es"",""en"")"),"RT @PasquinDeM: Peru is falling apart: There is no reconstruction in the north, sneakers are in emergency, there is no employment, crime is increasing!
And what is the President thinking about? In playing tennis? Go to the stadium? or a visit to the King?"&amp;" 
VIZCARRA GET TO WORK FOR PERUVIANS ONCE AND FOR ALL!!! https://t.co/mPC25VesiY")</f>
        <v>RT @PasquinDeM: Peru is falling apart: There is no reconstruction in the north, sneakers are in emergency, there is no employment, crime is increasing!
And what is the President thinking about? In playing tennis? Go to the stadium? or a visit to the King? 
VIZCARRA GET TO WORK FOR PERUVIANS ONCE AND FOR ALL!!! https://t.co/mPC25VesiY</v>
      </c>
      <c r="C878" s="2" t="s">
        <v>2077</v>
      </c>
      <c r="D878" s="1" t="s">
        <v>2078</v>
      </c>
    </row>
    <row r="879" spans="1:4" x14ac:dyDescent="0.15">
      <c r="A879" s="1" t="s">
        <v>2079</v>
      </c>
      <c r="B879" s="3" t="str">
        <f ca="1">IFERROR(__xludf.DUMMYFUNCTION("GOOGLETRANSLATE(B879,""es"",""en"")"),"@giancarlo1413 @mikimenav @julioguzmanperu In other words, according to your common sense, for you it is more important to talk about the Bambas than to express condolences to the families for a terrible accident where many lives were lost due to the lack"&amp;" of oversight. of the authorities on duty? Is that what you mean?")</f>
        <v>@giancarlo1413 @mikimenav @julioguzmanperu In other words, according to your common sense, for you it is more important to talk about the Bambas than to express condolences to the families for a terrible accident where many lives were lost due to the lack of oversight. of the authorities on duty? Is that what you mean?</v>
      </c>
      <c r="C879" s="2" t="s">
        <v>2080</v>
      </c>
      <c r="D879" s="1" t="s">
        <v>2078</v>
      </c>
    </row>
    <row r="880" spans="1:4" x14ac:dyDescent="0.15">
      <c r="A880" s="1" t="s">
        <v>1228</v>
      </c>
      <c r="B880" s="3" t="str">
        <f ca="1">IFERROR(__xludf.DUMMYFUNCTION("GOOGLETRANSLATE(B880,""es"",""en"")"),"RT @FranciscoOrbeg1: NOW IT IS SEEN THAT THE ENTIRE FLEET OF MINERAL TRANSPORTING TRUCKS IN LAS BAMBAS IS FROM PPK IT WAS KNOWN THAT HE WAS A LUXURY THIEF FOR SO MANY YEARS HE LOOTED US PERUVIANS EVEN SO THE SONSITOS SAID YOU HAVE TO VOTE FOR THE OLD MAN "&amp;"AND NOW THERE THIS IS HIS LUXURIOUS OLD MAN SAID SHEPUT")</f>
        <v>RT @FranciscoOrbeg1: NOW IT IS SEEN THAT THE ENTIRE FLEET OF MINERAL TRANSPORTING TRUCKS IN LAS BAMBAS IS FROM PPK IT WAS KNOWN THAT HE WAS A LUXURY THIEF FOR SO MANY YEARS HE LOOTED US PERUVIANS EVEN SO THE SONSITOS SAID YOU HAVE TO VOTE FOR THE OLD MAN AND NOW THERE THIS IS HIS LUXURIOUS OLD MAN SAID SHEPUT</v>
      </c>
      <c r="C880" s="2" t="s">
        <v>2081</v>
      </c>
      <c r="D880" s="1" t="s">
        <v>2082</v>
      </c>
    </row>
    <row r="881" spans="1:4" x14ac:dyDescent="0.15">
      <c r="A881" s="1" t="s">
        <v>2083</v>
      </c>
      <c r="B881" s="3" t="str">
        <f ca="1">IFERROR(__xludf.DUMMYFUNCTION("GOOGLETRANSLATE(B881,""es"",""en"")"),"Now Rospligliosi thinks about the BAMBAs when he was a disaster in resolving the conflict in Arequipa, he no longer remembers.
INCREDIBLE. The cow does not remember when it was a calf. CITIZEN MEMORY. He is not the one to give his opinion.")</f>
        <v>Now Rospligliosi thinks about the BAMBAs when he was a disaster in resolving the conflict in Arequipa, he no longer remembers.
INCREDIBLE. The cow does not remember when it was a calf. CITIZEN MEMORY. He is not the one to give his opinion.</v>
      </c>
      <c r="C881" s="2" t="s">
        <v>2084</v>
      </c>
      <c r="D881" s="1" t="s">
        <v>2085</v>
      </c>
    </row>
    <row r="882" spans="1:4" x14ac:dyDescent="0.15">
      <c r="A882" s="1" t="s">
        <v>2086</v>
      </c>
      <c r="B882" s="3" t="str">
        <f ca="1">IFERROR(__xludf.DUMMYFUNCTION("GOOGLETRANSLATE(B882,""es"",""en"")"),"@noticiAmerica this is another smokescreen to divert attention from what really matters and that is that the government is incapable of resolving the social conflict of the bambas")</f>
        <v>@noticiAmerica this is another smokescreen to divert attention from what really matters and that is that the government is incapable of resolving the social conflict of the bambas</v>
      </c>
      <c r="C882" s="2" t="s">
        <v>2087</v>
      </c>
      <c r="D882" s="1" t="s">
        <v>2088</v>
      </c>
    </row>
    <row r="883" spans="1:4" x14ac:dyDescent="0.15">
      <c r="A883" s="1" t="s">
        <v>2086</v>
      </c>
      <c r="B883" s="3" t="str">
        <f ca="1">IFERROR(__xludf.DUMMYFUNCTION("GOOGLETRANSLATE(B883,""es"",""en"")"),"@peruenlanoticia this is another smokescreen to divert attention from what really matters and that is that the government is incapable of resolving the social conflict of the bambas")</f>
        <v>@peruenlanoticia this is another smokescreen to divert attention from what really matters and that is that the government is incapable of resolving the social conflict of the bambas</v>
      </c>
      <c r="C883" s="2" t="s">
        <v>2089</v>
      </c>
      <c r="D883" s="1" t="s">
        <v>2090</v>
      </c>
    </row>
    <row r="884" spans="1:4" x14ac:dyDescent="0.15">
      <c r="A884" s="1" t="s">
        <v>2086</v>
      </c>
      <c r="B884" s="3" t="str">
        <f ca="1">IFERROR(__xludf.DUMMYFUNCTION("GOOGLETRANSLATE(B884,""es"",""en"")"),"@americatv_peru this is another smokescreen to divert attention from what really matters and that is that the government is incapable of resolving the social conflict of the basketball team")</f>
        <v>@americatv_peru this is another smokescreen to divert attention from what really matters and that is that the government is incapable of resolving the social conflict of the basketball team</v>
      </c>
      <c r="C884" s="2" t="s">
        <v>2091</v>
      </c>
      <c r="D884" s="1" t="s">
        <v>2090</v>
      </c>
    </row>
    <row r="885" spans="1:4" x14ac:dyDescent="0.15">
      <c r="A885" s="1" t="s">
        <v>2092</v>
      </c>
      <c r="B885" s="3" t="str">
        <f ca="1">IFERROR(__xludf.DUMMYFUNCTION("GOOGLETRANSLATE(B885,""es"",""en"")"),"Chini - phrase of the year: 
""I don't have sneakers""")</f>
        <v>Chini - phrase of the year: 
"I don't have sneakers"</v>
      </c>
      <c r="C885" s="2" t="s">
        <v>2093</v>
      </c>
      <c r="D885" s="1" t="s">
        <v>2090</v>
      </c>
    </row>
    <row r="886" spans="1:4" x14ac:dyDescent="0.15">
      <c r="A886" s="1" t="s">
        <v>22</v>
      </c>
      <c r="B886" s="3" t="str">
        <f ca="1">IFERROR(__xludf.DUMMYFUNCTION("GOOGLETRANSLATE(B886,""es"",""en"")"),"RT @willaxtv: #ComButters 
@Phill_Butters: ""Those who are accused of raping a mentally retarded girl have been given 9 months of preventive detention, but what has caused stupor in Peru? Sheyla Rojas has generated a scandal that seems to interest her mor"&amp;"e ""Peru than Las Bambas""")</f>
        <v>RT @willaxtv: #ComButters 
@Phill_Butters: "Those who are accused of raping a mentally retarded girl have been given 9 months of preventive detention, but what has caused stupor in Peru? Sheyla Rojas has generated a scandal that seems to interest her more "Peru than Las Bambas"</v>
      </c>
      <c r="C886" s="2" t="s">
        <v>2094</v>
      </c>
      <c r="D886" s="1" t="s">
        <v>2090</v>
      </c>
    </row>
    <row r="887" spans="1:4" x14ac:dyDescent="0.15">
      <c r="A887" s="1" t="s">
        <v>2095</v>
      </c>
      <c r="B887" s="3" t="str">
        <f ca="1">IFERROR(__xludf.DUMMYFUNCTION("GOOGLETRANSLATE(B887,""es"",""en"")"),"Moloko's podcast led me to investigate the problem of the Sneakers a little more and what a surprise I found with the topic 🤔")</f>
        <v>Moloko's podcast led me to investigate the problem of the Sneakers a little more and what a surprise I found with the topic 🤔</v>
      </c>
      <c r="C887" s="2" t="s">
        <v>2096</v>
      </c>
      <c r="D887" s="1" t="s">
        <v>2097</v>
      </c>
    </row>
    <row r="888" spans="1:4" x14ac:dyDescent="0.15">
      <c r="A888" s="1" t="s">
        <v>777</v>
      </c>
      <c r="B888" s="3" t="str">
        <f ca="1">IFERROR(__xludf.DUMMYFUNCTION("GOOGLETRANSLATE(B888,""es"",""en"")"),"José Huerta on Las Bambas: “The way out has to be through dialogue” https://t.co/n7dbPo1sxw https://t.co/ruNKlKVr9o")</f>
        <v>José Huerta on Las Bambas: “The way out has to be through dialogue” https://t.co/n7dbPo1sxw https://t.co/ruNKlKVr9o</v>
      </c>
      <c r="C888" s="2" t="s">
        <v>2098</v>
      </c>
      <c r="D888" s="1" t="s">
        <v>2099</v>
      </c>
    </row>
    <row r="889" spans="1:4" x14ac:dyDescent="0.15">
      <c r="A889" s="1" t="s">
        <v>2100</v>
      </c>
      <c r="B889" s="3" t="str">
        <f ca="1">IFERROR(__xludf.DUMMYFUNCTION("GOOGLETRANSLATE(B889,""es"",""en"")"),"chris evans is the synonym of sexy that homem mds faria até as pernas fica sneakers https://t.co/zIDVsYKmMx")</f>
        <v>chris evans is the synonym of sexy that homem mds faria até as pernas fica sneakers https://t.co/zIDVsYKmMx</v>
      </c>
      <c r="C889" s="2" t="s">
        <v>2101</v>
      </c>
      <c r="D889" s="1" t="s">
        <v>2099</v>
      </c>
    </row>
    <row r="890" spans="1:4" x14ac:dyDescent="0.15">
      <c r="A890" s="1" t="s">
        <v>715</v>
      </c>
      <c r="B890" s="3" t="str">
        <f ca="1">IFERROR(__xludf.DUMMYFUNCTION("GOOGLETRANSLATE(B890,""es"",""en"")"),"RT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890" s="2" t="s">
        <v>2102</v>
      </c>
      <c r="D890" s="1" t="s">
        <v>2103</v>
      </c>
    </row>
    <row r="891" spans="1:4" x14ac:dyDescent="0.15">
      <c r="A891" s="1" t="s">
        <v>2104</v>
      </c>
      <c r="B891" s="3" t="str">
        <f ca="1">IFERROR(__xludf.DUMMYFUNCTION("GOOGLETRANSLATE(B891,""es"",""en"")"),"@jdealthaus You have to cry on the beach... those with green eyes do not want the original farmers to become millionaires. Las Bambas has to be exploited for 100 years. Besides, it is their land and they can sell it at any price they want. It hurts!!")</f>
        <v>@jdealthaus You have to cry on the beach... those with green eyes do not want the original farmers to become millionaires. Las Bambas has to be exploited for 100 years. Besides, it is their land and they can sell it at any price they want. It hurts!!</v>
      </c>
      <c r="C891" s="2" t="s">
        <v>2105</v>
      </c>
      <c r="D891" s="1" t="s">
        <v>2106</v>
      </c>
    </row>
    <row r="892" spans="1:4" x14ac:dyDescent="0.15">
      <c r="A892" s="1" t="s">
        <v>2107</v>
      </c>
      <c r="B892" s="3" t="str">
        <f ca="1">IFERROR(__xludf.DUMMYFUNCTION("GOOGLETRANSLATE(B892,""es"",""en"")"),"RT @Amotivarnoss: @rmapalacios What if we unite like our countrymen in sneakers and we don't see RPP for a few days and they will see that the news is not given by them but by us?")</f>
        <v>RT @Amotivarnoss: @rmapalacios What if we unite like our countrymen in sneakers and we don't see RPP for a few days and they will see that the news is not given by them but by us?</v>
      </c>
      <c r="C892" s="2" t="s">
        <v>2108</v>
      </c>
      <c r="D892" s="1" t="s">
        <v>2109</v>
      </c>
    </row>
    <row r="893" spans="1:4" x14ac:dyDescent="0.15">
      <c r="A893" s="1" t="s">
        <v>2110</v>
      </c>
      <c r="B893" s="3" t="str">
        <f ca="1">IFERROR(__xludf.DUMMYFUNCTION("GOOGLETRANSLATE(B893,""es"",""en"")"),"RT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893" s="2" t="s">
        <v>2111</v>
      </c>
      <c r="D893" s="1" t="s">
        <v>2112</v>
      </c>
    </row>
    <row r="894" spans="1:4" x14ac:dyDescent="0.15">
      <c r="A894" s="1" t="s">
        <v>2113</v>
      </c>
      <c r="B894" s="3" t="str">
        <f ca="1">IFERROR(__xludf.DUMMYFUNCTION("GOOGLETRANSLATE(B894,""es"",""en"")"),"RT @MilagrosLeivaG: Children who walk two or three hours to go to school. Unsheltered, only with their flip flops. And so we say that in Las Bambas you live like in Switzerland? 😞😡 https://t.co/JzlgU905xt")</f>
        <v>RT @MilagrosLeivaG: Children who walk two or three hours to go to school. Unsheltered, only with their flip flops. And so we say that in Las Bambas you live like in Switzerland? 😞😡 https://t.co/JzlgU905xt</v>
      </c>
      <c r="C894" s="2" t="s">
        <v>2114</v>
      </c>
      <c r="D894" s="1" t="s">
        <v>2112</v>
      </c>
    </row>
    <row r="895" spans="1:4" x14ac:dyDescent="0.15">
      <c r="A895" s="1" t="s">
        <v>2115</v>
      </c>
      <c r="B895" s="3" t="str">
        <f ca="1">IFERROR(__xludf.DUMMYFUNCTION("GOOGLETRANSLATE(B895,""es"",""en"")"),"RT @KM2PE: In the Las Bambas case the challenge for Peruvians is to defend and respect the rule of law. That is why the importance of Education and training of citizens so as not to have to face more surreal situations in parallel worlds like this one. KM"&amp;"2 https://t.co/HDeNiS8RPq")</f>
        <v>RT @KM2PE: In the Las Bambas case the challenge for Peruvians is to defend and respect the rule of law. That is why the importance of Education and training of citizens so as not to have to face more surreal situations in parallel worlds like this one. KM2 https://t.co/HDeNiS8RPq</v>
      </c>
      <c r="C895" s="2" t="s">
        <v>2116</v>
      </c>
      <c r="D895" s="1" t="s">
        <v>2117</v>
      </c>
    </row>
    <row r="896" spans="1:4" x14ac:dyDescent="0.15">
      <c r="A896" s="1" t="s">
        <v>2118</v>
      </c>
      <c r="B896" s="3" t="str">
        <f ca="1">IFERROR(__xludf.DUMMYFUNCTION("GOOGLETRANSLATE(B896,""es"",""en"")"),"President of the TC, Ernesto Blume, said that all parties must dialogue and contribute to find a solution to the problem regarding the Las Bambas mining project.
https://t.co/zHyNSHAZ9d")</f>
        <v>President of the TC, Ernesto Blume, said that all parties must dialogue and contribute to find a solution to the problem regarding the Las Bambas mining project.
https://t.co/zHyNSHAZ9d</v>
      </c>
      <c r="C896" s="2" t="s">
        <v>2119</v>
      </c>
      <c r="D896" s="1" t="s">
        <v>2120</v>
      </c>
    </row>
    <row r="897" spans="1:4" x14ac:dyDescent="0.15">
      <c r="A897" s="1" t="s">
        <v>2121</v>
      </c>
      <c r="B897" s="3" t="str">
        <f ca="1">IFERROR(__xludf.DUMMYFUNCTION("GOOGLETRANSLATE(B897,""es"",""en"")"),"RT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897" s="2" t="s">
        <v>2122</v>
      </c>
      <c r="D897" s="1" t="s">
        <v>2123</v>
      </c>
    </row>
    <row r="898" spans="1:4" x14ac:dyDescent="0.15">
      <c r="A898" s="1" t="s">
        <v>2124</v>
      </c>
      <c r="B898" s="3" t="str">
        <f ca="1">IFERROR(__xludf.DUMMYFUNCTION("GOOGLETRANSLATE(B898,""es"",""en"")"),"@jdealthaus The rule of law is built with the SUPREMACY OF REALITY - TRUTH and if the STATE and the MMG company did not build the ROAD and/or the MINERODUCT they deceived those people. Las BAMBAS is the example of who protects CORRUPTION and who takes adv"&amp;"antage of it... https://t.co/5mMhYVhbWd")</f>
        <v>@jdealthaus The rule of law is built with the SUPREMACY OF REALITY - TRUTH and if the STATE and the MMG company did not build the ROAD and/or the MINERODUCT they deceived those people. Las BAMBAS is the example of who protects CORRUPTION and who takes advantage of it... https://t.co/5mMhYVhbWd</v>
      </c>
      <c r="C898" s="2" t="s">
        <v>2125</v>
      </c>
      <c r="D898" s="1" t="s">
        <v>2126</v>
      </c>
    </row>
    <row r="899" spans="1:4" x14ac:dyDescent="0.15">
      <c r="A899" s="1" t="s">
        <v>2124</v>
      </c>
      <c r="B899" s="3" t="str">
        <f ca="1">IFERROR(__xludf.DUMMYFUNCTION("GOOGLETRANSLATE(B899,""es"",""en"")"),"@ernestoam21 @heinzroque I agree but I would start by taking out so many useless lawyers who are usurping the salary budget of high-level technical professionals. The sneakers and conversion of the ROAD to NATIONAL ROAD is an example of the perverse use o"&amp;"f the STATE to the detriment of the CITIZEN. @CancilleriaPeru https://t.co/oJQ3MznlEs")</f>
        <v>@ernestoam21 @heinzroque I agree but I would start by taking out so many useless lawyers who are usurping the salary budget of high-level technical professionals. The sneakers and conversion of the ROAD to NATIONAL ROAD is an example of the perverse use of the STATE to the detriment of the CITIZEN. @CancilleriaPeru https://t.co/oJQ3MznlEs</v>
      </c>
      <c r="C899" s="2" t="s">
        <v>2127</v>
      </c>
      <c r="D899" s="1" t="s">
        <v>2128</v>
      </c>
    </row>
    <row r="900" spans="1:4" x14ac:dyDescent="0.15">
      <c r="A900" s="1" t="s">
        <v>2129</v>
      </c>
      <c r="B900" s="3" t="str">
        <f ca="1">IFERROR(__xludf.DUMMYFUNCTION("GOOGLETRANSLATE(B900,""es"",""en"")"),"RT @manifiesto_peru: PROSECUTOR ADMITS THAT THEY RELEASED THE LEADER EVALUATING THE POLITICAL SITUATION
They detained Gregorio Rojas after 6 months of investigation and wiretapping, but only then did they realize that protesters were asking him for dialo"&amp;"gue in Las Bambas ▶️ https://t.co/XtKUcgKWvW https://t.co/Sn1c9rY2Ra")</f>
        <v>RT @manifiesto_peru: PROSECUTOR ADMITS THAT THEY RELEASED THE LEADER EVALUATING THE POLITICAL SITUATION
They detained Gregorio Rojas after 6 months of investigation and wiretapping, but only then did they realize that protesters were asking him for dialogue in Las Bambas ▶️ https://t.co/XtKUcgKWvW https://t.co/Sn1c9rY2Ra</v>
      </c>
      <c r="C900" s="2" t="s">
        <v>2130</v>
      </c>
      <c r="D900" s="1" t="s">
        <v>2128</v>
      </c>
    </row>
    <row r="901" spans="1:4" x14ac:dyDescent="0.15">
      <c r="A901" s="1" t="s">
        <v>2131</v>
      </c>
      <c r="B901" s="3" t="str">
        <f ca="1">IFERROR(__xludf.DUMMYFUNCTION("GOOGLETRANSLATE(B901,""es"",""en"")"),"RT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901" s="2" t="s">
        <v>2132</v>
      </c>
      <c r="D901" s="1" t="s">
        <v>2133</v>
      </c>
    </row>
    <row r="902" spans="1:4" x14ac:dyDescent="0.15">
      <c r="A902" s="1" t="s">
        <v>2134</v>
      </c>
      <c r="B902" s="3" t="str">
        <f ca="1">IFERROR(__xludf.DUMMYFUNCTION("GOOGLETRANSLATE(B902,""es"",""en"")"),"RT @javierto65: Now that we are all paying attention to the Las Bambas conflict, it is good to remember the agreements between the PNP and the mining and oil companies... https://t.co/OGrp84HTm9")</f>
        <v>RT @javierto65: Now that we are all paying attention to the Las Bambas conflict, it is good to remember the agreements between the PNP and the mining and oil companies... https://t.co/OGrp84HTm9</v>
      </c>
      <c r="C902" s="2" t="s">
        <v>2135</v>
      </c>
      <c r="D902" s="1" t="s">
        <v>2136</v>
      </c>
    </row>
    <row r="903" spans="1:4" x14ac:dyDescent="0.15">
      <c r="A903" s="1" t="s">
        <v>2137</v>
      </c>
      <c r="B903" s="3" t="str">
        <f ca="1">IFERROR(__xludf.DUMMYFUNCTION("GOOGLETRANSLATE(B903,""es"",""en"")"),"RT @Frospigliosi: del Solar arrives prematurely worn out to his presentation before Congress, partly due to inherited problems and partly due to his own mistakes, which have disenchanted those who believed he had the leadership qualities that the presiden"&amp;"t lacks. https://t.co/fesiSiPVYv")</f>
        <v>RT @Frospigliosi: del Solar arrives prematurely worn out to his presentation before Congress, partly due to inherited problems and partly due to his own mistakes, which have disenchanted those who believed he had the leadership qualities that the president lacks. https://t.co/fesiSiPVYv</v>
      </c>
      <c r="C903" s="2" t="s">
        <v>2138</v>
      </c>
      <c r="D903" s="1" t="s">
        <v>2139</v>
      </c>
    </row>
    <row r="904" spans="1:4" x14ac:dyDescent="0.15">
      <c r="A904" s="1" t="s">
        <v>710</v>
      </c>
      <c r="B904" s="3" t="str">
        <f ca="1">IFERROR(__xludf.DUMMYFUNCTION("GOOGLETRANSLATE(B904,""es"",""en"")"),"Can we learn from Bagua to solve Las Bambas? | https://t.co/FnQxz6p5i5")</f>
        <v>Can we learn from Bagua to solve Las Bambas? | https://t.co/FnQxz6p5i5</v>
      </c>
      <c r="C904" s="2" t="s">
        <v>2140</v>
      </c>
      <c r="D904" s="1" t="s">
        <v>2141</v>
      </c>
    </row>
    <row r="905" spans="1:4" x14ac:dyDescent="0.15">
      <c r="A905" s="1" t="s">
        <v>2118</v>
      </c>
      <c r="B905" s="3" t="str">
        <f ca="1">IFERROR(__xludf.DUMMYFUNCTION("GOOGLETRANSLATE(B905,""es"",""en"")"),"The brothers Jorge and Frank Chávez Sotelo are accused of the crime of extortion against the Las Bambas mining project.
https://t.co/Lodg7EnynY")</f>
        <v>The brothers Jorge and Frank Chávez Sotelo are accused of the crime of extortion against the Las Bambas mining project.
https://t.co/Lodg7EnynY</v>
      </c>
      <c r="C905" s="2" t="s">
        <v>2142</v>
      </c>
      <c r="D905" s="1" t="s">
        <v>2143</v>
      </c>
    </row>
    <row r="906" spans="1:4" x14ac:dyDescent="0.15">
      <c r="A906" s="1" t="s">
        <v>2144</v>
      </c>
      <c r="B906" s="3" t="str">
        <f ca="1">IFERROR(__xludf.DUMMYFUNCTION("GOOGLETRANSLATE(B906,""es"",""en"")"),"@vipeventdriver @BBCMOTD @SkySports The bad news is no VAR in the championship should that happen and yes the offside goal would have been disallowed as would bambas against brighton.")</f>
        <v>@vipeventdriver @BBCMOTD @SkySports The bad news is no VAR in the championship should that happen and yes the offside goal would have been disallowed as would bambas against brighton.</v>
      </c>
      <c r="C906" s="2" t="s">
        <v>2145</v>
      </c>
      <c r="D906" s="1" t="s">
        <v>2146</v>
      </c>
    </row>
    <row r="907" spans="1:4" x14ac:dyDescent="0.15">
      <c r="A907" s="1" t="s">
        <v>2147</v>
      </c>
      <c r="B907" s="3" t="str">
        <f ca="1">IFERROR(__xludf.DUMMYFUNCTION("GOOGLETRANSLATE(B907,""es"",""en"")"),"2/3 Issuing inorganic Fiat money that distributes in a circle of international friends is more corruption and money laundering. Buying assets. Example: the #Sambas. Holistic multisectoral effects of UIT rise and inflation. Harm to citizens in projects")</f>
        <v>2/3 Issuing inorganic Fiat money that distributes in a circle of international friends is more corruption and money laundering. Buying assets. Example: the #Sambas. Holistic multisectoral effects of UIT rise and inflation. Harm to citizens in projects</v>
      </c>
      <c r="C907" s="2" t="s">
        <v>2148</v>
      </c>
      <c r="D907" s="1" t="s">
        <v>2149</v>
      </c>
    </row>
    <row r="908" spans="1:4" x14ac:dyDescent="0.15">
      <c r="A908" s="1" t="s">
        <v>1029</v>
      </c>
      <c r="B908" s="3" t="str">
        <f ca="1">IFERROR(__xludf.DUMMYFUNCTION("GOOGLETRANSLATE(B908,""es"",""en"")"),"RT @unlolazo_: Nike sweatshirt: €50 chiclin
Nike pants: €40 chiclin
Adidas sneakers: €70 chiclin
That my girlfriend is the girl reading this: priceless")</f>
        <v>RT @unlolazo_: Nike sweatshirt: €50 chiclin
Nike pants: €40 chiclin
Adidas sneakers: €70 chiclin
That my girlfriend is the girl reading this: priceless</v>
      </c>
      <c r="C908" s="2" t="s">
        <v>2150</v>
      </c>
      <c r="D908" s="1" t="s">
        <v>2151</v>
      </c>
    </row>
    <row r="909" spans="1:4" x14ac:dyDescent="0.15">
      <c r="A909" s="1" t="s">
        <v>2152</v>
      </c>
      <c r="B909" s="3" t="str">
        <f ca="1">IFERROR(__xludf.DUMMYFUNCTION("GOOGLETRANSLATE(B909,""es"",""en"")"),"RT @Ojo_Publico: #LoÚltimo Community members of Fuerabamba remain at the Manantiales sentry box, where the entrance to the #LasBambas mine is located. A few hours ago Gregorio Rojas, president of the community, arrived in #Cusco and is awaiting his arriva"&amp;"l in the district of Challhuahuacho. https://t.co/UCH9ljxxuZ https://t.co/06MksUVkTZ")</f>
        <v>RT @Ojo_Publico: #LoÚltimo Community members of Fuerabamba remain at the Manantiales sentry box, where the entrance to the #LasBambas mine is located. A few hours ago Gregorio Rojas, president of the community, arrived in #Cusco and is awaiting his arrival in the district of Challhuahuacho. https://t.co/UCH9ljxxuZ https://t.co/06MksUVkTZ</v>
      </c>
      <c r="C909" s="2" t="s">
        <v>2153</v>
      </c>
      <c r="D909" s="1" t="s">
        <v>2154</v>
      </c>
    </row>
    <row r="910" spans="1:4" x14ac:dyDescent="0.15">
      <c r="A910" s="1" t="s">
        <v>2152</v>
      </c>
      <c r="B910" s="3" t="str">
        <f ca="1">IFERROR(__xludf.DUMMYFUNCTION("GOOGLETRANSLATE(B910,""es"",""en"")"),"RT @Ojo_Publico: #LasBambas The disagreements between the leaders of Fuerabamba and the authorities of Apurímac, the absence of dialogue and distrust of the government are the main characteristics of the protest in Challhuahuacho against the Chinese minin"&amp;"g company MMG. https://t.co/UCH9ljxxuZ")</f>
        <v>RT @Ojo_Publico: #LasBambas The disagreements between the leaders of Fuerabamba and the authorities of Apurímac, the absence of dialogue and distrust of the government are the main characteristics of the protest in Challhuahuacho against the Chinese mining company MMG. https://t.co/UCH9ljxxuZ</v>
      </c>
      <c r="C910" s="2" t="s">
        <v>2155</v>
      </c>
      <c r="D910" s="1" t="s">
        <v>2156</v>
      </c>
    </row>
    <row r="911" spans="1:4" x14ac:dyDescent="0.15">
      <c r="A911" s="1" t="s">
        <v>424</v>
      </c>
      <c r="B911" s="3" t="str">
        <f ca="1">IFERROR(__xludf.DUMMYFUNCTION("GOOGLETRANSLATE(B911,""es"",""en"")"),"Kilometers of misunderstandings, a chronicle by Fernando Vivas - El Comercio - Perú https://t.co/xx4By3zqkQ https://t.co/GhsVGUzXIe")</f>
        <v>Kilometers of misunderstandings, a chronicle by Fernando Vivas - El Comercio - Perú https://t.co/xx4By3zqkQ https://t.co/GhsVGUzXIe</v>
      </c>
      <c r="C911" s="2" t="s">
        <v>2157</v>
      </c>
      <c r="D911" s="1" t="s">
        <v>2156</v>
      </c>
    </row>
    <row r="912" spans="1:4" x14ac:dyDescent="0.15">
      <c r="A912" s="1" t="s">
        <v>2158</v>
      </c>
      <c r="B912" s="3" t="str">
        <f ca="1">IFERROR(__xludf.DUMMYFUNCTION("GOOGLETRANSLATE(B912,""es"",""en"")"),"#cuivre #copper : The return tour confirmed the dollar and the collapse of the tensions in Las Bambas au Pérou laissez-faire the courses of the contract under pressure, in the attempt to return to the Chinese/USA négociations demain.
https://t.co/2vhb9Hy"&amp;"7W6 https://t.co/2yXHVGuUDj")</f>
        <v>#cuivre #copper : The return tour confirmed the dollar and the collapse of the tensions in Las Bambas au Pérou laissez-faire the courses of the contract under pressure, in the attempt to return to the Chinese/USA négociations demain.
https://t.co/2vhb9Hy7W6 https://t.co/2yXHVGuUDj</v>
      </c>
      <c r="C912" s="2" t="s">
        <v>2159</v>
      </c>
      <c r="D912" s="1" t="s">
        <v>2160</v>
      </c>
    </row>
    <row r="913" spans="1:4" x14ac:dyDescent="0.15">
      <c r="A913" s="1" t="s">
        <v>2161</v>
      </c>
      <c r="B913" s="3" t="str">
        <f ca="1">IFERROR(__xludf.DUMMYFUNCTION("GOOGLETRANSLATE(B913,""es"",""en"")"),"RT @VincentBoy_IG: #cuivre #copper : Le retour haussier confirmed sur le dollar et l’apaisement des tensions à Las Bambas au Pérou laissent le cours du cuivre sous pression, dans l’attente du retour des négociations Chine/USA demain.
https://t.co/2vhb9Hy"&amp;"7W6 https://t.co/2yXHVGuUDj")</f>
        <v>RT @VincentBoy_IG: #cuivre #copper : Le retour haussier confirmed sur le dollar et l’apaisement des tensions à Las Bambas au Pérou laissent le cours du cuivre sous pression, dans l’attente du retour des négociations Chine/USA demain.
https://t.co/2vhb9Hy7W6 https://t.co/2yXHVGuUDj</v>
      </c>
      <c r="C913" s="2" t="s">
        <v>2162</v>
      </c>
      <c r="D913" s="1" t="s">
        <v>2160</v>
      </c>
    </row>
    <row r="914" spans="1:4" x14ac:dyDescent="0.15">
      <c r="A914" s="1" t="s">
        <v>2163</v>
      </c>
      <c r="B914" s="3" t="str">
        <f ca="1">IFERROR(__xludf.DUMMYFUNCTION("GOOGLETRANSLATE(B914,""es"",""en"")"),"Las Bambas: let's kill the dog in the manger - @SEMANAeconomica https://t.co/YteX92d9yb")</f>
        <v>Las Bambas: let's kill the dog in the manger - @SEMANAeconomica https://t.co/YteX92d9yb</v>
      </c>
      <c r="C914" s="2" t="s">
        <v>2164</v>
      </c>
      <c r="D914" s="1" t="s">
        <v>2165</v>
      </c>
    </row>
    <row r="915" spans="1:4" x14ac:dyDescent="0.15">
      <c r="A915" s="1" t="s">
        <v>2166</v>
      </c>
      <c r="B915" s="3" t="str">
        <f ca="1">IFERROR(__xludf.DUMMYFUNCTION("GOOGLETRANSLATE(B915,""es"",""en"")"),"RT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915" s="2" t="s">
        <v>2167</v>
      </c>
      <c r="D915" s="1" t="s">
        <v>2165</v>
      </c>
    </row>
    <row r="916" spans="1:4" x14ac:dyDescent="0.15">
      <c r="A916" s="1" t="s">
        <v>2168</v>
      </c>
      <c r="B916" s="3" t="str">
        <f ca="1">IFERROR(__xludf.DUMMYFUNCTION("GOOGLETRANSLATE(B916,""es"",""en"")"),"RT @Humbertolaechea: @MarthaChavezC @ugluis Report demonstrates corruption with receipt of fees; clientele of all that scourge of progress and caviar, which climbs every government, is the reason why we have a scumbag government; well @RosanaCuevaM clarif"&amp;"y that #Fuzzo of Digital Government, has nothing to do with thieves of black consultancies")</f>
        <v>RT @Humbertolaechea: @MarthaChavezC @ugluis Report demonstrates corruption with receipt of fees; clientele of all that scourge of progress and caviar, which climbs every government, is the reason why we have a scumbag government; well @RosanaCuevaM clarify that #Fuzzo of Digital Government, has nothing to do with thieves of black consultancies</v>
      </c>
      <c r="C916" s="2" t="s">
        <v>2169</v>
      </c>
      <c r="D916" s="1" t="s">
        <v>2170</v>
      </c>
    </row>
    <row r="917" spans="1:4" x14ac:dyDescent="0.15">
      <c r="A917" s="1" t="s">
        <v>2171</v>
      </c>
      <c r="B917" s="3" t="str">
        <f ca="1">IFERROR(__xludf.DUMMYFUNCTION("GOOGLETRANSLATE(B917,""es"",""en"")"),"RT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917" s="2" t="s">
        <v>2172</v>
      </c>
      <c r="D917" s="1" t="s">
        <v>2173</v>
      </c>
    </row>
    <row r="918" spans="1:4" x14ac:dyDescent="0.15">
      <c r="A918" s="1" t="s">
        <v>2174</v>
      </c>
      <c r="B918" s="3" t="str">
        <f ca="1">IFERROR(__xludf.DUMMYFUNCTION("GOOGLETRANSLATE(B918,""es"",""en"")"),"RT @eljorobado: The fundamental point to resolve in Peru is the relationship between citizen and law. Go to the sociological bases of the rule of law. Informality, the Bambas, etc. are explained in this failed link...that is the neuralgic point of any ins"&amp;"titutional reform. Kind regards,")</f>
        <v>RT @eljorobado: The fundamental point to resolve in Peru is the relationship between citizen and law. Go to the sociological bases of the rule of law. Informality, the Bambas, etc. are explained in this failed link...that is the neuralgic point of any institutional reform. Kind regards,</v>
      </c>
      <c r="C918" s="2" t="s">
        <v>2175</v>
      </c>
      <c r="D918" s="1" t="s">
        <v>2173</v>
      </c>
    </row>
    <row r="919" spans="1:4" x14ac:dyDescent="0.15">
      <c r="A919" s="1" t="s">
        <v>395</v>
      </c>
      <c r="B919" s="3" t="str">
        <f ca="1">IFERROR(__xludf.DUMMYFUNCTION("GOOGLETRANSLATE(B919,""es"",""en"")"),"RT @luislchihuan: PROSECUTOR ADMITS THAT THEY RELEASED THE LEADER OF THE BAMBAS AFTER EVALUATING THE POLITICAL SITUATION. WHAT THE SHELL, IS THIS HOW THE LAWS ARE HANDLED IN PERU? KEIKO MUST BE RELEASED IMMEDIATELY. LET'S SEE WHAT CONCRESISTS OF F.P. DO.")</f>
        <v>RT @luislchihuan: PROSECUTOR ADMITS THAT THEY RELEASED THE LEADER OF THE BAMBAS AFTER EVALUATING THE POLITICAL SITUATION. WHAT THE SHELL, IS THIS HOW THE LAWS ARE HANDLED IN PERU? KEIKO MUST BE RELEASED IMMEDIATELY. LET'S SEE WHAT CONCRESISTS OF F.P. DO.</v>
      </c>
      <c r="C919" s="2" t="s">
        <v>2176</v>
      </c>
      <c r="D919" s="1" t="s">
        <v>2173</v>
      </c>
    </row>
    <row r="920" spans="1:4" x14ac:dyDescent="0.15">
      <c r="A920" s="1" t="s">
        <v>2177</v>
      </c>
      <c r="B920" s="3" t="str">
        <f ca="1">IFERROR(__xludf.DUMMYFUNCTION("GOOGLETRANSLATE(B920,""es"",""en"")"),"This was the release of Gregorio Rojas, president of the Fuerabamba community https://t.co/4f5mTB2vN3")</f>
        <v>This was the release of Gregorio Rojas, president of the Fuerabamba community https://t.co/4f5mTB2vN3</v>
      </c>
      <c r="C920" s="2" t="s">
        <v>2178</v>
      </c>
      <c r="D920" s="1" t="s">
        <v>2179</v>
      </c>
    </row>
    <row r="921" spans="1:4" x14ac:dyDescent="0.15">
      <c r="A921" s="1" t="s">
        <v>2180</v>
      </c>
      <c r="B921" s="3" t="str">
        <f ca="1">IFERROR(__xludf.DUMMYFUNCTION("GOOGLETRANSLATE(B921,""es"",""en"")"),"RT @willaxtv: #ComButters 
@Phill_Butters: ""Those who are accused of raping a mentally retarded girl have been given 9 months of preventive detention, but what has caused stupor in Peru? Sheyla Rojas has generated a scandal that seems to interest her mor"&amp;"e ""Peru than Las Bambas""")</f>
        <v>RT @willaxtv: #ComButters 
@Phill_Butters: "Those who are accused of raping a mentally retarded girl have been given 9 months of preventive detention, but what has caused stupor in Peru? Sheyla Rojas has generated a scandal that seems to interest her more "Peru than Las Bambas"</v>
      </c>
      <c r="C921" s="2" t="s">
        <v>2181</v>
      </c>
      <c r="D921" s="1" t="s">
        <v>2182</v>
      </c>
    </row>
    <row r="922" spans="1:4" x14ac:dyDescent="0.15">
      <c r="A922" s="1" t="s">
        <v>2183</v>
      </c>
      <c r="B922" s="3" t="str">
        <f ca="1">IFERROR(__xludf.DUMMYFUNCTION("GOOGLETRANSLATE(B922,""es"",""en"")"),"RT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922" s="2" t="s">
        <v>2184</v>
      </c>
      <c r="D922" s="1" t="s">
        <v>2182</v>
      </c>
    </row>
    <row r="923" spans="1:4" x14ac:dyDescent="0.15">
      <c r="A923" s="1" t="s">
        <v>2185</v>
      </c>
      <c r="B923" s="3" t="str">
        <f ca="1">IFERROR(__xludf.DUMMYFUNCTION("GOOGLETRANSLATE(B923,""es"",""en"")"),"até I'm missing or ar, as pernas ficam bambas")</f>
        <v>até I'm missing or ar, as pernas ficam bambas</v>
      </c>
      <c r="C923" s="2" t="s">
        <v>2186</v>
      </c>
      <c r="D923" s="1" t="s">
        <v>2187</v>
      </c>
    </row>
    <row r="924" spans="1:4" x14ac:dyDescent="0.15">
      <c r="A924" s="1" t="s">
        <v>2188</v>
      </c>
      <c r="B924" s="3" t="str">
        <f ca="1">IFERROR(__xludf.DUMMYFUNCTION("GOOGLETRANSLATE(B924,""es"",""en"")"),"@MartinVizcarraC Pure blah blah, sir, first solve the problem of Apurímac, which is being oppressed by the Las Bambas mining company, we want you to nationalize the foreign companies.")</f>
        <v>@MartinVizcarraC Pure blah blah, sir, first solve the problem of Apurímac, which is being oppressed by the Las Bambas mining company, we want you to nationalize the foreign companies.</v>
      </c>
      <c r="C924" s="2" t="s">
        <v>2189</v>
      </c>
      <c r="D924" s="1" t="s">
        <v>2190</v>
      </c>
    </row>
    <row r="925" spans="1:4" x14ac:dyDescent="0.15">
      <c r="A925" s="1" t="s">
        <v>2191</v>
      </c>
      <c r="B925" s="3" t="str">
        <f ca="1">IFERROR(__xludf.DUMMYFUNCTION("GOOGLETRANSLATE(B925,""es"",""en"")"),"This inept further aggravates the situation in Las Bambas: Salvador del Solar and Gregorio Rojas talk at the headquarters of the Episcopal Conference https://t.co/bzR3vb9guw")</f>
        <v>This inept further aggravates the situation in Las Bambas: Salvador del Solar and Gregorio Rojas talk at the headquarters of the Episcopal Conference https://t.co/bzR3vb9guw</v>
      </c>
      <c r="C925" s="2" t="s">
        <v>2192</v>
      </c>
      <c r="D925" s="1" t="s">
        <v>2190</v>
      </c>
    </row>
    <row r="926" spans="1:4" x14ac:dyDescent="0.15">
      <c r="A926" s="1" t="s">
        <v>2193</v>
      </c>
      <c r="B926" s="3" t="str">
        <f ca="1">IFERROR(__xludf.DUMMYFUNCTION("GOOGLETRANSLATE(B926,""es"",""en"")"),"RT @eudmed: From time to time, as in the case of Las Bambas, Peru reminds us that it comprises a territory in which several nations live. We don't want to face it, we like to believe that we are one. But everyone, absolutely everyone, knows that it is not"&amp;" true.")</f>
        <v>RT @eudmed: From time to time, as in the case of Las Bambas, Peru reminds us that it comprises a territory in which several nations live. We don't want to face it, we like to believe that we are one. But everyone, absolutely everyone, knows that it is not true.</v>
      </c>
      <c r="C926" s="2" t="s">
        <v>2194</v>
      </c>
      <c r="D926" s="1" t="s">
        <v>2195</v>
      </c>
    </row>
    <row r="927" spans="1:4" x14ac:dyDescent="0.15">
      <c r="A927" s="1" t="s">
        <v>2196</v>
      </c>
      <c r="B927" s="3" t="str">
        <f ca="1">IFERROR(__xludf.DUMMYFUNCTION("GOOGLETRANSLATE(B927,""es"",""en"")"),"RT @eudmed: From time to time, as in the case of Las Bambas, Peru reminds us that it comprises a territory in which several nations live. We don't want to face it, we like to believe that we are one. But everyone, absolutely everyone, knows that it is not"&amp;" true.")</f>
        <v>RT @eudmed: From time to time, as in the case of Las Bambas, Peru reminds us that it comprises a territory in which several nations live. We don't want to face it, we like to believe that we are one. But everyone, absolutely everyone, knows that it is not true.</v>
      </c>
      <c r="C927" s="2" t="s">
        <v>2197</v>
      </c>
      <c r="D927" s="1" t="s">
        <v>2195</v>
      </c>
    </row>
    <row r="928" spans="1:4" x14ac:dyDescent="0.15">
      <c r="A928" s="1" t="s">
        <v>2198</v>
      </c>
      <c r="B928" s="3" t="str">
        <f ca="1">IFERROR(__xludf.DUMMYFUNCTION("GOOGLETRANSLATE(B928,""es"",""en"")"),"RT @vozdelatierra: The Las Bambas conflict is making visible the claims of many more communities that were ignored by the mining company and the State. Fuerabamba is just the tip of the iceberg of a megaproject that was rushed and imposed without attentio"&amp;"n to the reality of the entire province and the southern region https://t.co/xg1royerD2")</f>
        <v>RT @vozdelatierra: The Las Bambas conflict is making visible the claims of many more communities that were ignored by the mining company and the State. Fuerabamba is just the tip of the iceberg of a megaproject that was rushed and imposed without attention to the reality of the entire province and the southern region https://t.co/xg1royerD2</v>
      </c>
      <c r="C928" s="2" t="s">
        <v>2199</v>
      </c>
      <c r="D928" s="1" t="s">
        <v>2200</v>
      </c>
    </row>
    <row r="929" spans="1:4" x14ac:dyDescent="0.15">
      <c r="A929" s="1" t="s">
        <v>2201</v>
      </c>
      <c r="B929" s="3" t="str">
        <f ca="1">IFERROR(__xludf.DUMMYFUNCTION("GOOGLETRANSLATE(B929,""es"",""en"")"),"RT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929" s="2" t="s">
        <v>2202</v>
      </c>
      <c r="D929" s="1" t="s">
        <v>2203</v>
      </c>
    </row>
    <row r="930" spans="1:4" x14ac:dyDescent="0.15">
      <c r="A930" s="1" t="s">
        <v>1168</v>
      </c>
      <c r="B930" s="3" t="str">
        <f ca="1">IFERROR(__xludf.DUMMYFUNCTION("GOOGLETRANSLATE(B930,""es"",""en"")"),"RT @eudmed: From time to time, as in the case of Las Bambas, Peru reminds us that it comprises a territory in which several nations live. We don't want to face it, we like to believe that we are one. But everyone, absolutely everyone, knows that it is not"&amp;" true.")</f>
        <v>RT @eudmed: From time to time, as in the case of Las Bambas, Peru reminds us that it comprises a territory in which several nations live. We don't want to face it, we like to believe that we are one. But everyone, absolutely everyone, knows that it is not true.</v>
      </c>
      <c r="C930" s="2" t="s">
        <v>2204</v>
      </c>
      <c r="D930" s="1" t="s">
        <v>2203</v>
      </c>
    </row>
    <row r="931" spans="1:4" x14ac:dyDescent="0.15">
      <c r="A931" s="1" t="s">
        <v>2205</v>
      </c>
      <c r="B931" s="3" t="str">
        <f ca="1">IFERROR(__xludf.DUMMYFUNCTION("GOOGLETRANSLATE(B931,""es"",""en"")"),"RT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931" s="2" t="s">
        <v>2206</v>
      </c>
      <c r="D931" s="1" t="s">
        <v>2207</v>
      </c>
    </row>
    <row r="932" spans="1:4" x14ac:dyDescent="0.15">
      <c r="A932" s="1" t="s">
        <v>2208</v>
      </c>
      <c r="B932" s="3" t="str">
        <f ca="1">IFERROR(__xludf.DUMMYFUNCTION("GOOGLETRANSLATE(B932,""es"",""en"")"),"RT @aleskrause: If you are looking to understand the origin of the conflict in Las Bambas, I suggest you read this article by Madeleine Osterling. Very clear.  https://t.co/SBywlaZCe8")</f>
        <v>RT @aleskrause: If you are looking to understand the origin of the conflict in Las Bambas, I suggest you read this article by Madeleine Osterling. Very clear.  https://t.co/SBywlaZCe8</v>
      </c>
      <c r="C932" s="2" t="s">
        <v>2209</v>
      </c>
      <c r="D932" s="1" t="s">
        <v>2207</v>
      </c>
    </row>
    <row r="933" spans="1:4" x14ac:dyDescent="0.15">
      <c r="A933" s="1" t="s">
        <v>2210</v>
      </c>
      <c r="B933" s="3" t="str">
        <f ca="1">IFERROR(__xludf.DUMMYFUNCTION("GOOGLETRANSLATE(B933,""es"",""en"")"),"RT @SignoriTita: Now what will @MartinVizcarraC do to regain his fictitious popularity? Will he put A García in prison? Will you give more money to the prostipress and Datum? Will he give the reds positions of trust? Will he put Gorriti as a mediator in t"&amp;"he BAMBAS? Will he send Keiko to the wall? Will there be another referendum?")</f>
        <v>RT @SignoriTita: Now what will @MartinVizcarraC do to regain his fictitious popularity? Will he put A García in prison? Will you give more money to the prostipress and Datum? Will he give the reds positions of trust? Will he put Gorriti as a mediator in the BAMBAS? Will he send Keiko to the wall? Will there be another referendum?</v>
      </c>
      <c r="C933" s="2" t="s">
        <v>2211</v>
      </c>
      <c r="D933" s="1" t="s">
        <v>2207</v>
      </c>
    </row>
    <row r="934" spans="1:4" x14ac:dyDescent="0.15">
      <c r="A934" s="1" t="s">
        <v>2212</v>
      </c>
      <c r="B934" s="3" t="str">
        <f ca="1">IFERROR(__xludf.DUMMYFUNCTION("GOOGLETRANSLATE(B934,""es"",""en"")"),"RT @SignoriTita: Now what will @MartinVizcarraC do to regain his fictitious popularity? Will he put A García in prison? Will you give more money to the prostipress and Datum? Will he give the reds positions of trust? Will he put Gorriti as a mediator in t"&amp;"he BAMBAS? Will he send Keiko to the wall? Will there be another referendum?")</f>
        <v>RT @SignoriTita: Now what will @MartinVizcarraC do to regain his fictitious popularity? Will he put A García in prison? Will you give more money to the prostipress and Datum? Will he give the reds positions of trust? Will he put Gorriti as a mediator in the BAMBAS? Will he send Keiko to the wall? Will there be another referendum?</v>
      </c>
      <c r="C934" s="2" t="s">
        <v>2213</v>
      </c>
      <c r="D934" s="1" t="s">
        <v>2214</v>
      </c>
    </row>
    <row r="935" spans="1:4" x14ac:dyDescent="0.15">
      <c r="A935" s="1" t="s">
        <v>2215</v>
      </c>
      <c r="B935" s="3" t="str">
        <f ca="1">IFERROR(__xludf.DUMMYFUNCTION("GOOGLETRANSLATE(B935,""es"",""en"")"),"RT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935" s="2" t="s">
        <v>2216</v>
      </c>
      <c r="D935" s="1" t="s">
        <v>2214</v>
      </c>
    </row>
    <row r="936" spans="1:4" x14ac:dyDescent="0.15">
      <c r="A936" s="1" t="s">
        <v>2217</v>
      </c>
      <c r="B936" s="3" t="str">
        <f ca="1">IFERROR(__xludf.DUMMYFUNCTION("GOOGLETRANSLATE(B936,""es"",""en"")"),"RT @SignoriTita: Now what will @MartinVizcarraC do to regain his fictitious popularity? Will he put A García in prison? Will you give more money to the prostipress and Datum? Will he give the reds positions of trust? Will he put Gorriti as a mediator in t"&amp;"he BAMBAS? Will he send Keiko to the wall? Will there be another referendum?")</f>
        <v>RT @SignoriTita: Now what will @MartinVizcarraC do to regain his fictitious popularity? Will he put A García in prison? Will you give more money to the prostipress and Datum? Will he give the reds positions of trust? Will he put Gorriti as a mediator in the BAMBAS? Will he send Keiko to the wall? Will there be another referendum?</v>
      </c>
      <c r="C936" s="2" t="s">
        <v>2218</v>
      </c>
      <c r="D936" s="1" t="s">
        <v>2214</v>
      </c>
    </row>
    <row r="937" spans="1:4" x14ac:dyDescent="0.15">
      <c r="A937" s="1" t="s">
        <v>2219</v>
      </c>
      <c r="B937" s="3" t="str">
        <f ca="1">IFERROR(__xludf.DUMMYFUNCTION("GOOGLETRANSLATE(B937,""es"",""en"")"),"'EU SOU A PORRA DO TONY STARK' as pernas ficaram até sneakers 🤤 https://t.co/5hT6iwxhDO")</f>
        <v>'EU SOU A PORRA DO TONY STARK' as pernas ficaram até sneakers 🤤 https://t.co/5hT6iwxhDO</v>
      </c>
      <c r="C937" s="2" t="s">
        <v>2220</v>
      </c>
      <c r="D937" s="1" t="s">
        <v>2221</v>
      </c>
    </row>
    <row r="938" spans="1:4" x14ac:dyDescent="0.15">
      <c r="A938" s="1" t="s">
        <v>2222</v>
      </c>
      <c r="B938" s="3" t="str">
        <f ca="1">IFERROR(__xludf.DUMMYFUNCTION("GOOGLETRANSLATE(B938,""es"",""en"")"),"@exitosape There should be no conditions to solve the great problem of the Bambas, with all this misunderstanding giving rise to bribery criminals to interfere!")</f>
        <v>@exitosape There should be no conditions to solve the great problem of the Bambas, with all this misunderstanding giving rise to bribery criminals to interfere!</v>
      </c>
      <c r="C938" s="2" t="s">
        <v>2223</v>
      </c>
      <c r="D938" s="1" t="s">
        <v>2224</v>
      </c>
    </row>
    <row r="939" spans="1:4" x14ac:dyDescent="0.15">
      <c r="A939" s="1" t="s">
        <v>2225</v>
      </c>
      <c r="B939" s="3" t="str">
        <f ca="1">IFERROR(__xludf.DUMMYFUNCTION("GOOGLETRANSLATE(B939,""es"",""en"")"),"CRLH KIM TAEHYUNG EU NÃO TE DEI ESSE DIREITO. Minhas pernas até ficaram sneakers #MAP_OF_THE_SOUL_PERSONA https://t.co/9i9NgH4XH0")</f>
        <v>CRLH KIM TAEHYUNG EU NÃO TE DEI ESSE DIREITO. Minhas pernas até ficaram sneakers #MAP_OF_THE_SOUL_PERSONA https://t.co/9i9NgH4XH0</v>
      </c>
      <c r="C939" s="2" t="s">
        <v>2226</v>
      </c>
      <c r="D939" s="1" t="s">
        <v>2224</v>
      </c>
    </row>
    <row r="940" spans="1:4" x14ac:dyDescent="0.15">
      <c r="A940" s="1" t="s">
        <v>2227</v>
      </c>
      <c r="B940" s="3" t="str">
        <f ca="1">IFERROR(__xludf.DUMMYFUNCTION("GOOGLETRANSLATE(B940,""es"",""en"")"),"RT @SignoriTita: Now what will @MartinVizcarraC do to regain his fictitious popularity? Will he put A García in prison? Will you give more money to the prostipress and Datum? Will he give the reds positions of trust? Will he put Gorriti as a mediator in t"&amp;"he BAMBAS? Will he send Keiko to the wall? Will there be another referendum?")</f>
        <v>RT @SignoriTita: Now what will @MartinVizcarraC do to regain his fictitious popularity? Will he put A García in prison? Will you give more money to the prostipress and Datum? Will he give the reds positions of trust? Will he put Gorriti as a mediator in the BAMBAS? Will he send Keiko to the wall? Will there be another referendum?</v>
      </c>
      <c r="C940" s="2" t="s">
        <v>2228</v>
      </c>
      <c r="D940" s="1" t="s">
        <v>2229</v>
      </c>
    </row>
    <row r="941" spans="1:4" x14ac:dyDescent="0.15">
      <c r="A941" s="1" t="s">
        <v>2230</v>
      </c>
      <c r="B941" s="3" t="str">
        <f ca="1">IFERROR(__xludf.DUMMYFUNCTION("GOOGLETRANSLATE(B941,""es"",""en"")"),"RT @Plinio2009: Everything would have been avoided if Mrs. Verónika Mendoza had not opposed, along with her pro-Senderista comrade Oscar Mollohuanca, the installation of the Mineroduct, years ago. And a few days ago he encouraged the ""chavelos"" to speak"&amp;" in Congress. https://t.co/PuolEfXHag via @RPPNoticias")</f>
        <v>RT @Plinio2009: Everything would have been avoided if Mrs. Verónika Mendoza had not opposed, along with her pro-Senderista comrade Oscar Mollohuanca, the installation of the Mineroduct, years ago. And a few days ago he encouraged the "chavelos" to speak in Congress. https://t.co/PuolEfXHag via @RPPNoticias</v>
      </c>
      <c r="C941" s="2" t="s">
        <v>2231</v>
      </c>
      <c r="D941" s="1" t="s">
        <v>2229</v>
      </c>
    </row>
    <row r="942" spans="1:4" x14ac:dyDescent="0.15">
      <c r="A942" s="1" t="s">
        <v>2232</v>
      </c>
      <c r="B942" s="3" t="str">
        <f ca="1">IFERROR(__xludf.DUMMYFUNCTION("GOOGLETRANSLATE(B942,""es"",""en"")"),"RT @omoralest: Las Bambas. Chronicle of an announced conflict https://t.co/5VmyHau6Ty")</f>
        <v>RT @omoralest: Las Bambas. Chronicle of an announced conflict https://t.co/5VmyHau6Ty</v>
      </c>
      <c r="C942" s="2" t="s">
        <v>2233</v>
      </c>
      <c r="D942" s="1" t="s">
        <v>2229</v>
      </c>
    </row>
    <row r="943" spans="1:4" x14ac:dyDescent="0.15">
      <c r="A943" s="1" t="s">
        <v>2234</v>
      </c>
      <c r="B943" s="3" t="str">
        <f ca="1">IFERROR(__xludf.DUMMYFUNCTION("GOOGLETRANSLATE(B943,""es"",""en"")"),"RT @Patricia_Neyra: @lacucuchiperu @reyconbarba That's Cucuchi. Because if they are going to wait for the State to take charge, then what happens in Conga, Tía María and today in Las Bambas will end up happening. It is necessary to invest and expose the i"&amp;"nstigators.")</f>
        <v>RT @Patricia_Neyra: @lacucuchiperu @reyconbarba That's Cucuchi. Because if they are going to wait for the State to take charge, then what happens in Conga, Tía María and today in Las Bambas will end up happening. It is necessary to invest and expose the instigators.</v>
      </c>
      <c r="C943" s="2" t="s">
        <v>2235</v>
      </c>
      <c r="D943" s="1" t="s">
        <v>2236</v>
      </c>
    </row>
    <row r="944" spans="1:4" x14ac:dyDescent="0.15">
      <c r="A944" s="1" t="s">
        <v>569</v>
      </c>
      <c r="B944" s="3" t="str">
        <f ca="1">IFERROR(__xludf.DUMMYFUNCTION("GOOGLETRANSLATE(B944,""es"",""en"")"),"MTC on Las Bambas: “We have to pay 38 communities and 53 owners” https://t.co/HSnz1uWpHW https://t.co/Hyz1F9M4Rn")</f>
        <v>MTC on Las Bambas: “We have to pay 38 communities and 53 owners” https://t.co/HSnz1uWpHW https://t.co/Hyz1F9M4Rn</v>
      </c>
      <c r="C944" s="2" t="s">
        <v>2237</v>
      </c>
      <c r="D944" s="1" t="s">
        <v>2236</v>
      </c>
    </row>
    <row r="945" spans="1:4" x14ac:dyDescent="0.15">
      <c r="A945" s="1" t="s">
        <v>2238</v>
      </c>
      <c r="B945" s="3" t="str">
        <f ca="1">IFERROR(__xludf.DUMMYFUNCTION("GOOGLETRANSLATE(B945,""es"",""en"")"),"RT @FotografiaPais: Photos: The impact of one of the largest copper mines in the world https://t.co/ysh5OAoKEn This is how the indigenous communities of the Andes that surround Las Bambas live, the largest extractive project in the history of Peru @Planet"&amp;"a_Futuro https://t.co/TjKaybvH6A")</f>
        <v>RT @FotografiaPais: Photos: The impact of one of the largest copper mines in the world https://t.co/ysh5OAoKEn This is how the indigenous communities of the Andes that surround Las Bambas live, the largest extractive project in the history of Peru @Planeta_Futuro https://t.co/TjKaybvH6A</v>
      </c>
      <c r="C945" s="2" t="s">
        <v>2239</v>
      </c>
      <c r="D945" s="1" t="s">
        <v>2236</v>
      </c>
    </row>
    <row r="946" spans="1:4" x14ac:dyDescent="0.15">
      <c r="A946" s="1" t="s">
        <v>1582</v>
      </c>
      <c r="B946" s="3" t="str">
        <f ca="1">IFERROR(__xludf.DUMMYFUNCTION("GOOGLETRANSLATE(B946,""es"",""en"")"),"RT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946" s="2" t="s">
        <v>2240</v>
      </c>
      <c r="D946" s="1" t="s">
        <v>2236</v>
      </c>
    </row>
    <row r="947" spans="1:4" x14ac:dyDescent="0.15">
      <c r="A947" s="1" t="s">
        <v>2241</v>
      </c>
      <c r="B947" s="3" t="str">
        <f ca="1">IFERROR(__xludf.DUMMYFUNCTION("GOOGLETRANSLATE(B947,""es"",""en"")"),"The citizens of Andahuaylas and Abancay, in Apurímac, began a 48-hour strike this Tuesday, in support of the Fuerabamba community, in the conflict it is having with the Las Bambas mining company. 
#LasBambas #Fuerabamba https://t.co/c9nmgYhpxh")</f>
        <v>The citizens of Andahuaylas and Abancay, in Apurímac, began a 48-hour strike this Tuesday, in support of the Fuerabamba community, in the conflict it is having with the Las Bambas mining company. 
#LasBambas #Fuerabamba https://t.co/c9nmgYhpxh</v>
      </c>
      <c r="C947" s="2" t="s">
        <v>2242</v>
      </c>
      <c r="D947" s="1" t="s">
        <v>2243</v>
      </c>
    </row>
    <row r="948" spans="1:4" x14ac:dyDescent="0.15">
      <c r="A948" s="1" t="s">
        <v>892</v>
      </c>
      <c r="B948" s="3" t="str">
        <f ca="1">IFERROR(__xludf.DUMMYFUNCTION("GOOGLETRANSLATE(B948,""es"",""en"")"),"IT HAS BEEN PROVEN THAT THE EXECUTIVE HAS ORDERED THE MP AND THE PJ TO RELEASE THESE PEOPLE TO TRY TO FIX THE THINGS IN THE SAME WAY. IT IS CLEAR TO ME THAT THE KEIKO PRISON IS ORDERED BY THE EXECUTIVE WITHOUT ANY DOUBT...!!!")</f>
        <v>IT HAS BEEN PROVEN THAT THE EXECUTIVE HAS ORDERED THE MP AND THE PJ TO RELEASE THESE PEOPLE TO TRY TO FIX THE THINGS IN THE SAME WAY. IT IS CLEAR TO ME THAT THE KEIKO PRISON IS ORDERED BY THE EXECUTIVE WITHOUT ANY DOUBT...!!!</v>
      </c>
      <c r="C948" s="2" t="s">
        <v>2244</v>
      </c>
      <c r="D948" s="1" t="s">
        <v>2245</v>
      </c>
    </row>
    <row r="949" spans="1:4" x14ac:dyDescent="0.15">
      <c r="A949" s="1" t="s">
        <v>2246</v>
      </c>
      <c r="B949" s="3" t="str">
        <f ca="1">IFERROR(__xludf.DUMMYFUNCTION("GOOGLETRANSLATE(B949,""es"",""en"")"),"Everyone's fault, no one's responsibility. Deaths diseases accidents health life in Lima 
SMP-Fiori, Apurimac Fuerabamba Las Bambas, Cusco Chumbivilcas- YaviYavi, Arequipa-Matarani, Peru and the world are economic, social, legal, political, ideological an"&amp;"d morally determined.(1/2)")</f>
        <v>Everyone's fault, no one's responsibility. Deaths diseases accidents health life in Lima 
SMP-Fiori, Apurimac Fuerabamba Las Bambas, Cusco Chumbivilcas- YaviYavi, Arequipa-Matarani, Peru and the world are economic, social, legal, political, ideological and morally determined.(1/2)</v>
      </c>
      <c r="C949" s="2" t="s">
        <v>2247</v>
      </c>
      <c r="D949" s="1" t="s">
        <v>2248</v>
      </c>
    </row>
    <row r="950" spans="1:4" x14ac:dyDescent="0.15">
      <c r="A950" s="1" t="s">
        <v>399</v>
      </c>
      <c r="B950" s="3" t="str">
        <f ca="1">IFERROR(__xludf.DUMMYFUNCTION("GOOGLETRANSLATE(B950,""es"",""en"")"),"HERE IS SRS EL GONORRITI, THE TRUE PRESIDENT OF PERU. WHY DON'T THE RICH BOOTS GO TO THE BAMBAS TO TALK TO THEIR CAUSES? https://t.co/uFbynZZrXT")</f>
        <v>HERE IS SRS EL GONORRITI, THE TRUE PRESIDENT OF PERU. WHY DON'T THE RICH BOOTS GO TO THE BAMBAS TO TALK TO THEIR CAUSES? https://t.co/uFbynZZrXT</v>
      </c>
      <c r="C950" s="2" t="s">
        <v>2249</v>
      </c>
      <c r="D950" s="1" t="s">
        <v>2250</v>
      </c>
    </row>
    <row r="951" spans="1:4" x14ac:dyDescent="0.15">
      <c r="A951" s="1" t="s">
        <v>34</v>
      </c>
      <c r="B951" s="3" t="str">
        <f ca="1">IFERROR(__xludf.DUMMYFUNCTION("GOOGLETRANSLATE(B951,""es"",""en"")"),"@primerafuente1 @cesarpeirano @MartinVizcarraC In Las Bambas, since thanks to the state of emergency there is road blockage and laziness (which is his modus operandi), it would allow him to play all day #FedererVagoVizcarra. https://t.co/w1VkzxyMXb")</f>
        <v>@primerafuente1 @cesarpeirano @MartinVizcarraC In Las Bambas, since thanks to the state of emergency there is road blockage and laziness (which is his modus operandi), it would allow him to play all day #FedererVagoVizcarra. https://t.co/w1VkzxyMXb</v>
      </c>
      <c r="C951" s="2" t="s">
        <v>2251</v>
      </c>
      <c r="D951" s="1" t="s">
        <v>2252</v>
      </c>
    </row>
    <row r="952" spans="1:4" x14ac:dyDescent="0.15">
      <c r="A952" s="1" t="s">
        <v>2253</v>
      </c>
      <c r="B952" s="3" t="str">
        <f ca="1">IFERROR(__xludf.DUMMYFUNCTION("GOOGLETRANSLATE(B952,""es"",""en"")"),"RT @SignoriTita: Now what will @MartinVizcarraC do to regain his fictitious popularity? Will he put A García in prison? Will you give more money to the prostipress and Datum? Will he give the reds positions of trust? Will he put Gorriti as a mediator in t"&amp;"he BAMBAS? Will he send Keiko to the wall? Will there be another referendum?")</f>
        <v>RT @SignoriTita: Now what will @MartinVizcarraC do to regain his fictitious popularity? Will he put A García in prison? Will you give more money to the prostipress and Datum? Will he give the reds positions of trust? Will he put Gorriti as a mediator in the BAMBAS? Will he send Keiko to the wall? Will there be another referendum?</v>
      </c>
      <c r="C952" s="2" t="s">
        <v>2254</v>
      </c>
      <c r="D952" s="1" t="s">
        <v>2255</v>
      </c>
    </row>
    <row r="953" spans="1:4" x14ac:dyDescent="0.15">
      <c r="A953" s="1" t="s">
        <v>1099</v>
      </c>
      <c r="B953" s="3" t="str">
        <f ca="1">IFERROR(__xludf.DUMMYFUNCTION("GOOGLETRANSLATE(B953,""es"",""en"")"),"@informateperu Some Congressman giving his opinion on the BAMBAS case!!!")</f>
        <v>@informateperu Some Congressman giving his opinion on the BAMBAS case!!!</v>
      </c>
      <c r="C953" s="2" t="s">
        <v>2256</v>
      </c>
      <c r="D953" s="1" t="s">
        <v>2255</v>
      </c>
    </row>
    <row r="954" spans="1:4" x14ac:dyDescent="0.15">
      <c r="A954" s="1" t="s">
        <v>1598</v>
      </c>
      <c r="B954" s="3" t="str">
        <f ca="1">IFERROR(__xludf.DUMMYFUNCTION("GOOGLETRANSLATE(B954,""es"",""en"")"),"'D' Day for Las Bambas: Community members decide today whether to lift the blockade or not (VIDEO)
https://t.co/lpjPGxM4fC")</f>
        <v>'D' Day for Las Bambas: Community members decide today whether to lift the blockade or not (VIDEO)
https://t.co/lpjPGxM4fC</v>
      </c>
      <c r="C954" s="2" t="s">
        <v>2257</v>
      </c>
      <c r="D954" s="1" t="s">
        <v>2255</v>
      </c>
    </row>
    <row r="955" spans="1:4" x14ac:dyDescent="0.15">
      <c r="A955" s="1" t="s">
        <v>2258</v>
      </c>
      <c r="B955" s="3" t="str">
        <f ca="1">IFERROR(__xludf.DUMMYFUNCTION("GOOGLETRANSLATE(B955,""es"",""en"")"),"And Las Bambas whenever.
Salvador del Solar continues round of meetings with the benches | Politics | El Comercio Peru https://t.co/u4HujNbqu1")</f>
        <v>And Las Bambas whenever.
Salvador del Solar continues round of meetings with the benches | Politics | El Comercio Peru https://t.co/u4HujNbqu1</v>
      </c>
      <c r="C955" s="2" t="s">
        <v>2259</v>
      </c>
      <c r="D955" s="1" t="s">
        <v>2260</v>
      </c>
    </row>
    <row r="956" spans="1:4" x14ac:dyDescent="0.15">
      <c r="A956" s="1" t="s">
        <v>370</v>
      </c>
      <c r="B956" s="3" t="str">
        <f ca="1">IFERROR(__xludf.DUMMYFUNCTION("GOOGLETRANSLATE(B956,""es"",""en"")"),"RT @ManoloRoca1: Will ordinary people know where Las Bambas is and what it produces? @PBODigital @KikeBravoPrado @JudyRo94 ?")</f>
        <v>RT @ManoloRoca1: Will ordinary people know where Las Bambas is and what it produces? @PBODigital @KikeBravoPrado @JudyRo94 ?</v>
      </c>
      <c r="C956" s="2" t="s">
        <v>2261</v>
      </c>
      <c r="D956" s="1" t="s">
        <v>2260</v>
      </c>
    </row>
    <row r="957" spans="1:4" x14ac:dyDescent="0.15">
      <c r="A957" s="1" t="s">
        <v>1099</v>
      </c>
      <c r="B957" s="3" t="str">
        <f ca="1">IFERROR(__xludf.DUMMYFUNCTION("GOOGLETRANSLATE(B957,""es"",""en"")"),"@Capital967 We want to listen to the Archbishopric for the case of the BAMBAS....xk keep quiet???")</f>
        <v>@Capital967 We want to listen to the Archbishopric for the case of the BAMBAS....xk keep quiet???</v>
      </c>
      <c r="C957" s="2" t="s">
        <v>2262</v>
      </c>
      <c r="D957" s="1" t="s">
        <v>2263</v>
      </c>
    </row>
    <row r="958" spans="1:4" x14ac:dyDescent="0.15">
      <c r="A958" s="1" t="s">
        <v>1758</v>
      </c>
      <c r="B958" s="3" t="str">
        <f ca="1">IFERROR(__xludf.DUMMYFUNCTION("GOOGLETRANSLATE(B958,""es"",""en"")"),"RT @IvanGarciaMayer: MTC on Las Bambas: ""We have to pay 38 communities and 53 owners""
https://t.co/Yw4w2SqyXp")</f>
        <v>RT @IvanGarciaMayer: MTC on Las Bambas: "We have to pay 38 communities and 53 owners"
https://t.co/Yw4w2SqyXp</v>
      </c>
      <c r="C958" s="2" t="s">
        <v>2264</v>
      </c>
      <c r="D958" s="1" t="s">
        <v>2265</v>
      </c>
    </row>
    <row r="959" spans="1:4" x14ac:dyDescent="0.15">
      <c r="A959" s="1" t="s">
        <v>1758</v>
      </c>
      <c r="B959" s="3" t="str">
        <f ca="1">IFERROR(__xludf.DUMMYFUNCTION("GOOGLETRANSLATE(B959,""es"",""en"")"),"RT @IvanGarciaMayer: #LasBambas: Preventive detention hearing of the Chávez Sotelo brothers resumed https://t.co/kNt6M5AKbc via @peru21noticias")</f>
        <v>RT @IvanGarciaMayer: #LasBambas: Preventive detention hearing of the Chávez Sotelo brothers resumed https://t.co/kNt6M5AKbc via @peru21noticias</v>
      </c>
      <c r="C959" s="2" t="s">
        <v>2266</v>
      </c>
      <c r="D959" s="1" t="s">
        <v>2265</v>
      </c>
    </row>
    <row r="960" spans="1:4" x14ac:dyDescent="0.15">
      <c r="A960" s="1" t="s">
        <v>2267</v>
      </c>
      <c r="B960" s="3" t="str">
        <f ca="1">IFERROR(__xludf.DUMMYFUNCTION("GOOGLETRANSLATE(B960,""es"",""en"")"),"RT @diariocorreo: 'D' Day for Las Bambas: Community members decide today whether to lift the blockade or not (VIDEO)
https://t.co/lpjPGxM4fC")</f>
        <v>RT @diariocorreo: 'D' Day for Las Bambas: Community members decide today whether to lift the blockade or not (VIDEO)
https://t.co/lpjPGxM4fC</v>
      </c>
      <c r="C960" s="2" t="s">
        <v>2268</v>
      </c>
      <c r="D960" s="1" t="s">
        <v>2265</v>
      </c>
    </row>
    <row r="961" spans="1:4" x14ac:dyDescent="0.15">
      <c r="A961" s="1" t="s">
        <v>1099</v>
      </c>
      <c r="B961" s="3" t="str">
        <f ca="1">IFERROR(__xludf.DUMMYFUNCTION("GOOGLETRANSLATE(B961,""es"",""en"")"),"@elcomercio_peru Mr Tubino any comments on the BAMBAS case... xk keep quiet ohhhh it's a conflict of interest!!!")</f>
        <v>@elcomercio_peru Mr Tubino any comments on the BAMBAS case... xk keep quiet ohhhh it's a conflict of interest!!!</v>
      </c>
      <c r="C961" s="2" t="s">
        <v>2269</v>
      </c>
      <c r="D961" s="1" t="s">
        <v>2265</v>
      </c>
    </row>
    <row r="962" spans="1:4" x14ac:dyDescent="0.15">
      <c r="A962" s="1" t="s">
        <v>508</v>
      </c>
      <c r="B962" s="3" t="str">
        <f ca="1">IFERROR(__xludf.DUMMYFUNCTION("GOOGLETRANSLATE(B962,""es"",""en"")"),"RT @Ojo_Publico: #LoÚltimo A hotel two blocks from the Plaza de Armas of #Challhuahuacho hosted coordination meetings between the Prefecture of Apurímac, the Ombudsman's Office and representatives of the @pcmperu. #LasBambas https://t.co/hJ444gzOw5")</f>
        <v>RT @Ojo_Publico: #LoÚltimo A hotel two blocks from the Plaza de Armas of #Challhuahuacho hosted coordination meetings between the Prefecture of Apurímac, the Ombudsman's Office and representatives of the @pcmperu. #LasBambas https://t.co/hJ444gzOw5</v>
      </c>
      <c r="C962" s="2" t="s">
        <v>2270</v>
      </c>
      <c r="D962" s="1" t="s">
        <v>2271</v>
      </c>
    </row>
    <row r="963" spans="1:4" x14ac:dyDescent="0.15">
      <c r="A963" s="1" t="s">
        <v>2272</v>
      </c>
      <c r="B963" s="3" t="str">
        <f ca="1">IFERROR(__xludf.DUMMYFUNCTION("GOOGLETRANSLATE(B963,""es"",""en"")"),"RT @Ojo_Publico: #LoÚltimo Reynaldo Vargas Delgado has in practice assumed a key role in the leadership of #Fuerabamba, after the arrest of Gregorio Rojas. #LasBambas https://t.co/hJ444gRpUF")</f>
        <v>RT @Ojo_Publico: #LoÚltimo Reynaldo Vargas Delgado has in practice assumed a key role in the leadership of #Fuerabamba, after the arrest of Gregorio Rojas. #LasBambas https://t.co/hJ444gRpUF</v>
      </c>
      <c r="C963" s="2" t="s">
        <v>2273</v>
      </c>
      <c r="D963" s="1" t="s">
        <v>2274</v>
      </c>
    </row>
    <row r="964" spans="1:4" x14ac:dyDescent="0.15">
      <c r="A964" s="1" t="s">
        <v>2275</v>
      </c>
      <c r="B964" s="3" t="str">
        <f ca="1">IFERROR(__xludf.DUMMYFUNCTION("GOOGLETRANSLATE(B964,""es"",""en"")"),"RT @SignoriTita: Now what will @MartinVizcarraC do to regain his fictitious popularity? Will he put A García in prison? Will you give more money to the prostipress and Datum? Will he give the reds positions of trust? Will he put Gorriti as a mediator in t"&amp;"he BAMBAS? Will he send Keiko to the wall? Will there be another referendum?")</f>
        <v>RT @SignoriTita: Now what will @MartinVizcarraC do to regain his fictitious popularity? Will he put A García in prison? Will you give more money to the prostipress and Datum? Will he give the reds positions of trust? Will he put Gorriti as a mediator in the BAMBAS? Will he send Keiko to the wall? Will there be another referendum?</v>
      </c>
      <c r="C964" s="2" t="s">
        <v>2276</v>
      </c>
      <c r="D964" s="1" t="s">
        <v>2277</v>
      </c>
    </row>
    <row r="965" spans="1:4" x14ac:dyDescent="0.15">
      <c r="A965" s="1" t="s">
        <v>2278</v>
      </c>
      <c r="B965" s="3" t="str">
        <f ca="1">IFERROR(__xludf.DUMMYFUNCTION("GOOGLETRANSLATE(B965,""es"",""en"")"),"@jessica29BR sim, and it's the same in life, when you are with people that you curte and such a person is not travado, it just goes, but there is always that person who leaves you with the same legs, like what she thought of you, as a result of one of his"&amp;" rejeição, and that person in his life was on the way")</f>
        <v>@jessica29BR sim, and it's the same in life, when you are with people that you curte and such a person is not travado, it just goes, but there is always that person who leaves you with the same legs, like what she thought of you, as a result of one of his rejeição, and that person in his life was on the way</v>
      </c>
      <c r="C965" s="2" t="s">
        <v>2279</v>
      </c>
      <c r="D965" s="1" t="s">
        <v>2280</v>
      </c>
    </row>
    <row r="966" spans="1:4" x14ac:dyDescent="0.15">
      <c r="A966" s="1" t="s">
        <v>2281</v>
      </c>
      <c r="B966" s="3" t="str">
        <f ca="1">IFERROR(__xludf.DUMMYFUNCTION("GOOGLETRANSLATE(B966,""es"",""en"")"),"RT @Ojo_Publico: #LoÚltimo MMG Las Bambas indicated to https://t.co/ncVhVcwisu that there is no closure of the mining operation. ""There is a progressive paralysis of activities and a decrease in workers due to the lack of supplies, their spokespersons sa"&amp;"id. https://t.co/hJ444gRpUF https://t.co/IfcA5yScDM")</f>
        <v>RT @Ojo_Publico: #LoÚltimo MMG Las Bambas indicated to https://t.co/ncVhVcwisu that there is no closure of the mining operation. "There is a progressive paralysis of activities and a decrease in workers due to the lack of supplies, their spokespersons said. https://t.co/hJ444gRpUF https://t.co/IfcA5yScDM</v>
      </c>
      <c r="C966" s="2" t="s">
        <v>2282</v>
      </c>
      <c r="D966" s="1" t="s">
        <v>2280</v>
      </c>
    </row>
    <row r="967" spans="1:4" x14ac:dyDescent="0.15">
      <c r="A967" s="1" t="s">
        <v>2283</v>
      </c>
      <c r="B967" s="3" t="str">
        <f ca="1">IFERROR(__xludf.DUMMYFUNCTION("GOOGLETRANSLATE(B967,""es"",""en"")"),"RT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967" s="2" t="s">
        <v>2284</v>
      </c>
      <c r="D967" s="1" t="s">
        <v>2285</v>
      </c>
    </row>
    <row r="968" spans="1:4" x14ac:dyDescent="0.15">
      <c r="A968" s="1" t="s">
        <v>2286</v>
      </c>
      <c r="B968" s="3" t="str">
        <f ca="1">IFERROR(__xludf.DUMMYFUNCTION("GOOGLETRANSLATE(B968,""es"",""en"")"),"RT @SignoriTita: Now what will @MartinVizcarraC do to regain his fictitious popularity? Will he put A García in prison? Will you give more money to the prostipress and Datum? Will he give the reds positions of trust? Will he put Gorriti as a mediator in t"&amp;"he BAMBAS? Will he send Keiko to the wall? Will there be another referendum?")</f>
        <v>RT @SignoriTita: Now what will @MartinVizcarraC do to regain his fictitious popularity? Will he put A García in prison? Will you give more money to the prostipress and Datum? Will he give the reds positions of trust? Will he put Gorriti as a mediator in the BAMBAS? Will he send Keiko to the wall? Will there be another referendum?</v>
      </c>
      <c r="C968" s="2" t="s">
        <v>2287</v>
      </c>
      <c r="D968" s="1" t="s">
        <v>2285</v>
      </c>
    </row>
    <row r="969" spans="1:4" x14ac:dyDescent="0.15">
      <c r="A969" s="1" t="s">
        <v>2288</v>
      </c>
      <c r="B969" s="3" t="str">
        <f ca="1">IFERROR(__xludf.DUMMYFUNCTION("GOOGLETRANSLATE(B969,""es"",""en"")"),"@BancadaFAperu @PPKbancada @NuevoPeruGP @BancadaAPP @PFuerzaPopular @congresoperu @MartinVizcarraC @presidenciaperu @Saldes @pcmperu.... Another BAMBAS.?????... You are notified!!!! @exaportantesafp https://t.co/FeqiBpqQia")</f>
        <v>@BancadaFAperu @PPKbancada @NuevoPeruGP @BancadaAPP @PFuerzaPopular @congresoperu @MartinVizcarraC @presidenciaperu @Saldes @pcmperu.... Another BAMBAS.?????... You are notified!!!! @exaportantesafp https://t.co/FeqiBpqQia</v>
      </c>
      <c r="C969" s="2" t="s">
        <v>2289</v>
      </c>
      <c r="D969" s="1" t="s">
        <v>2290</v>
      </c>
    </row>
    <row r="970" spans="1:4" x14ac:dyDescent="0.15">
      <c r="A970" s="1" t="s">
        <v>2291</v>
      </c>
      <c r="B970" s="3" t="str">
        <f ca="1">IFERROR(__xludf.DUMMYFUNCTION("GOOGLETRANSLATE(B970,""es"",""en"")"),"RT @CaroCabrera99: @bryanastorga @KCharalla @contracultural @radio_santarosa @rmapalacios Yes too, although on the subject Las Bambas I disagree with your opinion. @ideeleradio Glatzer has 3 hours of program, more variety of guests and topics, it's worth "&amp;"it.")</f>
        <v>RT @CaroCabrera99: @bryanastorga @KCharalla @contracultural @radio_santarosa @rmapalacios Yes too, although on the subject Las Bambas I disagree with your opinion. @ideeleradio Glatzer has 3 hours of program, more variety of guests and topics, it's worth it.</v>
      </c>
      <c r="C970" s="2" t="s">
        <v>2292</v>
      </c>
      <c r="D970" s="1" t="s">
        <v>2290</v>
      </c>
    </row>
    <row r="971" spans="1:4" x14ac:dyDescent="0.15">
      <c r="A971" s="1" t="s">
        <v>2293</v>
      </c>
      <c r="B971" s="3" t="str">
        <f ca="1">IFERROR(__xludf.DUMMYFUNCTION("GOOGLETRANSLATE(B971,""es"",""en"")"),"'D' Day for Las Bambas: Community members decide today whether to lift the blockade or not (VIDEO) https://t.co/R5YH3RAhRm")</f>
        <v>'D' Day for Las Bambas: Community members decide today whether to lift the blockade or not (VIDEO) https://t.co/R5YH3RAhRm</v>
      </c>
      <c r="C971" s="2" t="s">
        <v>2294</v>
      </c>
      <c r="D971" s="1" t="s">
        <v>2295</v>
      </c>
    </row>
    <row r="972" spans="1:4" x14ac:dyDescent="0.15">
      <c r="A972" s="1" t="s">
        <v>2296</v>
      </c>
      <c r="B972" s="3" t="str">
        <f ca="1">IFERROR(__xludf.DUMMYFUNCTION("GOOGLETRANSLATE(B972,""es"",""en"")"),"RT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972" s="2" t="s">
        <v>2297</v>
      </c>
      <c r="D972" s="1" t="s">
        <v>2295</v>
      </c>
    </row>
    <row r="973" spans="1:4" x14ac:dyDescent="0.15">
      <c r="A973" s="1" t="s">
        <v>2298</v>
      </c>
      <c r="B973" s="3" t="str">
        <f ca="1">IFERROR(__xludf.DUMMYFUNCTION("GOOGLETRANSLATE(B973,""es"",""en"")"),"Now EVERYONE wants the sneakers I have or what the hell is happening, how angry")</f>
        <v>Now EVERYONE wants the sneakers I have or what the hell is happening, how angry</v>
      </c>
      <c r="C973" s="2" t="s">
        <v>2299</v>
      </c>
      <c r="D973" s="1" t="s">
        <v>2300</v>
      </c>
    </row>
    <row r="974" spans="1:4" x14ac:dyDescent="0.15">
      <c r="A974" s="1" t="s">
        <v>992</v>
      </c>
      <c r="B974" s="3" t="str">
        <f ca="1">IFERROR(__xludf.DUMMYFUNCTION("GOOGLETRANSLATE(B974,""es"",""en"")"),"RT @SignoriTita: Now what will @MartinVizcarraC do to regain his fictitious popularity? Will he put A García in prison? Will you give more money to the prostipress and Datum? Will he give the reds positions of trust? Will he put Gorriti as a mediator in t"&amp;"he BAMBAS? Will he send Keiko to the wall? Will there be another referendum?")</f>
        <v>RT @SignoriTita: Now what will @MartinVizcarraC do to regain his fictitious popularity? Will he put A García in prison? Will you give more money to the prostipress and Datum? Will he give the reds positions of trust? Will he put Gorriti as a mediator in the BAMBAS? Will he send Keiko to the wall? Will there be another referendum?</v>
      </c>
      <c r="C974" s="2" t="s">
        <v>2301</v>
      </c>
      <c r="D974" s="1" t="s">
        <v>2300</v>
      </c>
    </row>
    <row r="975" spans="1:4" x14ac:dyDescent="0.15">
      <c r="A975" s="1" t="s">
        <v>2302</v>
      </c>
      <c r="B975" s="3" t="str">
        <f ca="1">IFERROR(__xludf.DUMMYFUNCTION("GOOGLETRANSLATE(B975,""es"",""en"")"),"Vizcarra: We want to resolve the conflict with Las Bambas through dialogue https://t.co/nME9eBw992 https://t.co/VQyJ0Hz9l8")</f>
        <v>Vizcarra: We want to resolve the conflict with Las Bambas through dialogue https://t.co/nME9eBw992 https://t.co/VQyJ0Hz9l8</v>
      </c>
      <c r="C975" s="2" t="s">
        <v>2303</v>
      </c>
      <c r="D975" s="1" t="s">
        <v>2304</v>
      </c>
    </row>
    <row r="976" spans="1:4" x14ac:dyDescent="0.15">
      <c r="A976" s="1" t="s">
        <v>2305</v>
      </c>
      <c r="B976" s="3" t="str">
        <f ca="1">IFERROR(__xludf.DUMMYFUNCTION("GOOGLETRANSLATE(B976,""es"",""en"")"),"RT @luislchihuan: PROSECUTOR ADMITS THAT THEY RELEASED THE LEADER OF THE BAMBAS AFTER EVALUATING THE POLITICAL SITUATION. WHAT THE SHELL, IS THIS HOW THE LAWS ARE HANDLED IN PERU? KEIKO MUST BE RELEASED IMMEDIATELY. LET'S SEE WHAT CONCRESISTS OF F.P. DO.")</f>
        <v>RT @luislchihuan: PROSECUTOR ADMITS THAT THEY RELEASED THE LEADER OF THE BAMBAS AFTER EVALUATING THE POLITICAL SITUATION. WHAT THE SHELL, IS THIS HOW THE LAWS ARE HANDLED IN PERU? KEIKO MUST BE RELEASED IMMEDIATELY. LET'S SEE WHAT CONCRESISTS OF F.P. DO.</v>
      </c>
      <c r="C976" s="2" t="s">
        <v>2306</v>
      </c>
      <c r="D976" s="1" t="s">
        <v>2307</v>
      </c>
    </row>
    <row r="977" spans="1:4" x14ac:dyDescent="0.15">
      <c r="A977" s="1" t="s">
        <v>929</v>
      </c>
      <c r="B977" s="3" t="str">
        <f ca="1">IFERROR(__xludf.DUMMYFUNCTION("GOOGLETRANSLATE(B977,""es"",""en"")"),"EXTORTION AND BLACKMAIL IN ""LAS BAMBAS""...PROBLEM IS YEARS OLD!! AGREEMENTS ARE SIGNED....NOTHING IS COMPLIED WITH...MINING AND GOVERNMENT IN FAILURE! UNIQUE RICH LEADERS....PEOPLE STILL POOR. .INCREDIBLE")</f>
        <v>EXTORTION AND BLACKMAIL IN "LAS BAMBAS"...PROBLEM IS YEARS OLD!! AGREEMENTS ARE SIGNED....NOTHING IS COMPLIED WITH...MINING AND GOVERNMENT IN FAILURE! UNIQUE RICH LEADERS....PEOPLE STILL POOR. .INCREDIBLE</v>
      </c>
      <c r="C977" s="2" t="s">
        <v>2308</v>
      </c>
      <c r="D977" s="1" t="s">
        <v>2309</v>
      </c>
    </row>
    <row r="978" spans="1:4" x14ac:dyDescent="0.15">
      <c r="A978" s="1" t="s">
        <v>2310</v>
      </c>
      <c r="B978" s="3" t="str">
        <f ca="1">IFERROR(__xludf.DUMMYFUNCTION("GOOGLETRANSLATE(B978,""es"",""en"")"),"@fayjosi To the streets to solve the problem of the Bambas.")</f>
        <v>@fayjosi To the streets to solve the problem of the Bambas.</v>
      </c>
      <c r="C978" s="2" t="s">
        <v>2311</v>
      </c>
      <c r="D978" s="1" t="s">
        <v>2312</v>
      </c>
    </row>
    <row r="979" spans="1:4" x14ac:dyDescent="0.15">
      <c r="A979" s="1" t="s">
        <v>2313</v>
      </c>
      <c r="B979" s="3" t="str">
        <f ca="1">IFERROR(__xludf.DUMMYFUNCTION("GOOGLETRANSLATE(B979,""es"",""en"")"),"RT @Vero_Mendoza_F: 1/2 For all those who said that there was nothing to pay to the communities of the Southern ""mining corridor"", the MTC minister recognizes the right of 38 communities to receive a payment for the use of their property to make a natio"&amp;"nal road.
https://t.co/FgrwIZbSHB")</f>
        <v>RT @Vero_Mendoza_F: 1/2 For all those who said that there was nothing to pay to the communities of the Southern "mining corridor", the MTC minister recognizes the right of 38 communities to receive a payment for the use of their property to make a national road.
https://t.co/FgrwIZbSHB</v>
      </c>
      <c r="C979" s="2" t="s">
        <v>2314</v>
      </c>
      <c r="D979" s="1" t="s">
        <v>2315</v>
      </c>
    </row>
    <row r="980" spans="1:4" x14ac:dyDescent="0.15">
      <c r="A980" s="1" t="s">
        <v>2316</v>
      </c>
      <c r="B980" s="3" t="str">
        <f ca="1">IFERROR(__xludf.DUMMYFUNCTION("GOOGLETRANSLATE(B980,""es"",""en"")"),"RT @Mineriaenlinea: Copper price falls due to signs of the end of the blockade at the Las Bambas deposit https://t.co/QxGsIZlLMk https://t.co/fjboT9UpmM")</f>
        <v>RT @Mineriaenlinea: Copper price falls due to signs of the end of the blockade at the Las Bambas deposit https://t.co/QxGsIZlLMk https://t.co/fjboT9UpmM</v>
      </c>
      <c r="C980" s="2" t="s">
        <v>2317</v>
      </c>
      <c r="D980" s="1" t="s">
        <v>2318</v>
      </c>
    </row>
    <row r="981" spans="1:4" x14ac:dyDescent="0.15">
      <c r="A981" s="1" t="s">
        <v>2319</v>
      </c>
      <c r="B981" s="3" t="str">
        <f ca="1">IFERROR(__xludf.DUMMYFUNCTION("GOOGLETRANSLATE(B981,""es"",""en"")"),"RT @SignoriTita: Now what will @MartinVizcarraC do to regain his fictitious popularity? Will he put A García in prison? Will you give more money to the prostipress and Datum? Will he give the reds positions of trust? Will he put Gorriti as a mediator in t"&amp;"he BAMBAS? Will he send Keiko to the wall? Will there be another referendum?")</f>
        <v>RT @SignoriTita: Now what will @MartinVizcarraC do to regain his fictitious popularity? Will he put A García in prison? Will you give more money to the prostipress and Datum? Will he give the reds positions of trust? Will he put Gorriti as a mediator in the BAMBAS? Will he send Keiko to the wall? Will there be another referendum?</v>
      </c>
      <c r="C981" s="2" t="s">
        <v>2320</v>
      </c>
      <c r="D981" s="1" t="s">
        <v>2318</v>
      </c>
    </row>
    <row r="982" spans="1:4" x14ac:dyDescent="0.15">
      <c r="A982" s="1" t="s">
        <v>2321</v>
      </c>
      <c r="B982" s="3" t="str">
        <f ca="1">IFERROR(__xludf.DUMMYFUNCTION("GOOGLETRANSLATE(B982,""es"",""en"")"),"RT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982" s="2" t="s">
        <v>2322</v>
      </c>
      <c r="D982" s="1" t="s">
        <v>2323</v>
      </c>
    </row>
    <row r="983" spans="1:4" x14ac:dyDescent="0.15">
      <c r="A983" s="1" t="s">
        <v>2324</v>
      </c>
      <c r="B983" s="3" t="str">
        <f ca="1">IFERROR(__xludf.DUMMYFUNCTION("GOOGLETRANSLATE(B983,""es"",""en"")"),"@KarlaSchaefer Forget it, the Public Ministry has been taken over by the president and his favorite prosecutor, the red Pérez. They only clean them to what suits them. They need to clean up the thieving advisors from the sneakers. That's the only thing mi"&amp;"ssing.")</f>
        <v>@KarlaSchaefer Forget it, the Public Ministry has been taken over by the president and his favorite prosecutor, the red Pérez. They only clean them to what suits them. They need to clean up the thieving advisors from the sneakers. That's the only thing missing.</v>
      </c>
      <c r="C983" s="2" t="s">
        <v>2325</v>
      </c>
      <c r="D983" s="1" t="s">
        <v>2326</v>
      </c>
    </row>
    <row r="984" spans="1:4" x14ac:dyDescent="0.15">
      <c r="A984" s="1" t="s">
        <v>2327</v>
      </c>
      <c r="B984" s="3" t="str">
        <f ca="1">IFERROR(__xludf.DUMMYFUNCTION("GOOGLETRANSLATE(B984,""es"",""en"")"),"RT @AdrianzenEduard: It seems that the underworld is emboldened, taking advantage of Vizcarra's absence and the tremendous mess in Las Bambas
Let's see what happens when the ministers go to present
It will be a pulsada-pechada
What the underworld refuses "&amp;"to see and understand is that the majority wants to be dissolved https://t.co/npbhDrz8Mp")</f>
        <v>RT @AdrianzenEduard: It seems that the underworld is emboldened, taking advantage of Vizcarra's absence and the tremendous mess in Las Bambas
Let's see what happens when the ministers go to present
It will be a pulsada-pechada
What the underworld refuses to see and understand is that the majority wants to be dissolved https://t.co/npbhDrz8Mp</v>
      </c>
      <c r="C984" s="2" t="s">
        <v>2328</v>
      </c>
      <c r="D984" s="1" t="s">
        <v>2326</v>
      </c>
    </row>
    <row r="985" spans="1:4" x14ac:dyDescent="0.15">
      <c r="A985" s="1" t="s">
        <v>2329</v>
      </c>
      <c r="B985" s="3" t="str">
        <f ca="1">IFERROR(__xludf.DUMMYFUNCTION("GOOGLETRANSLATE(B985,""es"",""en"")"),"RT @Vero_Mendoza_F: 1/2 For all those who said that there was nothing to pay to the communities of the Southern ""mining corridor"", the MTC minister recognizes the right of 38 communities to receive a payment for the use of their property to make a natio"&amp;"nal road.
https://t.co/FgrwIZbSHB")</f>
        <v>RT @Vero_Mendoza_F: 1/2 For all those who said that there was nothing to pay to the communities of the Southern "mining corridor", the MTC minister recognizes the right of 38 communities to receive a payment for the use of their property to make a national road.
https://t.co/FgrwIZbSHB</v>
      </c>
      <c r="C985" s="2" t="s">
        <v>2330</v>
      </c>
      <c r="D985" s="1" t="s">
        <v>2326</v>
      </c>
    </row>
    <row r="986" spans="1:4" x14ac:dyDescent="0.15">
      <c r="A986" s="1" t="s">
        <v>1955</v>
      </c>
      <c r="B986" s="3" t="str">
        <f ca="1">IFERROR(__xludf.DUMMYFUNCTION("GOOGLETRANSLATE(B986,""es"",""en"")"),"Copper price falls due to signs of an end to the blockade at the Las Bambas deposit ► https://t.co/BTbqjTQ3kk https://t.co/NqkYKVs6i1")</f>
        <v>Copper price falls due to signs of an end to the blockade at the Las Bambas deposit ► https://t.co/BTbqjTQ3kk https://t.co/NqkYKVs6i1</v>
      </c>
      <c r="C986" s="2" t="s">
        <v>2331</v>
      </c>
      <c r="D986" s="1" t="s">
        <v>2332</v>
      </c>
    </row>
    <row r="987" spans="1:4" x14ac:dyDescent="0.15">
      <c r="A987" s="1" t="s">
        <v>2333</v>
      </c>
      <c r="B987" s="3" t="str">
        <f ca="1">IFERROR(__xludf.DUMMYFUNCTION("GOOGLETRANSLATE(B987,""es"",""en"")"),"RT @Ojo_Publico: #LoÚltimo Community members of #Fuerabamba are now mobilizing around the municipality of #Challhuahuacho. They ask for the release of Chávez Sotelo advisors, detained for allegedly being part of an extortion network. https://t.co/hJ444gRp"&amp;"UF https://t.co/9UZPScAnTd")</f>
        <v>RT @Ojo_Publico: #LoÚltimo Community members of #Fuerabamba are now mobilizing around the municipality of #Challhuahuacho. They ask for the release of Chávez Sotelo advisors, detained for allegedly being part of an extortion network. https://t.co/hJ444gRpUF https://t.co/9UZPScAnTd</v>
      </c>
      <c r="C987" s="2" t="s">
        <v>2334</v>
      </c>
      <c r="D987" s="1" t="s">
        <v>2335</v>
      </c>
    </row>
    <row r="988" spans="1:4" x14ac:dyDescent="0.15">
      <c r="A988" s="1" t="s">
        <v>2336</v>
      </c>
      <c r="B988" s="3" t="str">
        <f ca="1">IFERROR(__xludf.DUMMYFUNCTION("GOOGLETRANSLATE(B988,""es"",""en"")"),"RT @Gestionpe: Martín Vizcarra assures that he will go to the conflict zone in Las Bambas 'when necessary' ► https://t.co/fY8g54Lx4x https://t.co/q67GfG4K9t")</f>
        <v>RT @Gestionpe: Martín Vizcarra assures that he will go to the conflict zone in Las Bambas 'when necessary' ► https://t.co/fY8g54Lx4x https://t.co/q67GfG4K9t</v>
      </c>
      <c r="C988" s="2" t="s">
        <v>2337</v>
      </c>
      <c r="D988" s="1" t="s">
        <v>2335</v>
      </c>
    </row>
    <row r="989" spans="1:4" x14ac:dyDescent="0.15">
      <c r="A989" s="1" t="s">
        <v>2338</v>
      </c>
      <c r="B989" s="3" t="str">
        <f ca="1">IFERROR(__xludf.DUMMYFUNCTION("GOOGLETRANSLATE(B989,""es"",""en"")"),"#UmSambaDeRespeito cheio de sneakers! ❤️👑
Brief launch 🌟👏👏👏
#LuizAyrão #músicaboa #samba #Ayrão50 #lancamento #sucesso #respeito #news https://t.co/9Se50I4TpT")</f>
        <v>#UmSambaDeRespeito cheio de sneakers! ❤️👑
Brief launch 🌟👏👏👏
#LuizAyrão #músicaboa #samba #Ayrão50 #lancamento #sucesso #respeito #news https://t.co/9Se50I4TpT</v>
      </c>
      <c r="C989" s="2" t="s">
        <v>2339</v>
      </c>
      <c r="D989" s="1" t="s">
        <v>2340</v>
      </c>
    </row>
    <row r="990" spans="1:4" x14ac:dyDescent="0.15">
      <c r="A990" s="1" t="s">
        <v>2341</v>
      </c>
      <c r="B990" s="3" t="str">
        <f ca="1">IFERROR(__xludf.DUMMYFUNCTION("GOOGLETRANSLATE(B990,""es"",""en"")"),"RT @SignoriTita: Now what will @MartinVizcarraC do to regain his fictitious popularity? Will he put A García in prison? Will you give more money to the prostipress and Datum? Will he give the reds positions of trust? Will he put Gorriti as a mediator in t"&amp;"he BAMBAS? Will he send Keiko to the wall? Will there be another referendum?")</f>
        <v>RT @SignoriTita: Now what will @MartinVizcarraC do to regain his fictitious popularity? Will he put A García in prison? Will you give more money to the prostipress and Datum? Will he give the reds positions of trust? Will he put Gorriti as a mediator in the BAMBAS? Will he send Keiko to the wall? Will there be another referendum?</v>
      </c>
      <c r="C990" s="2" t="s">
        <v>2342</v>
      </c>
      <c r="D990" s="1" t="s">
        <v>2343</v>
      </c>
    </row>
    <row r="991" spans="1:4" x14ac:dyDescent="0.15">
      <c r="A991" s="1" t="s">
        <v>2344</v>
      </c>
      <c r="B991" s="3" t="str">
        <f ca="1">IFERROR(__xludf.DUMMYFUNCTION("GOOGLETRANSLATE(B991,""es"",""en"")"),"We adapt our designs to your size and the shoe color that you like the most! Finished order sneakers T42 White 😋
.
.
#sneakers #sneakers #girlillustration #girlillustration… https://t.co/FS8X7OGcYm")</f>
        <v>We adapt our designs to your size and the shoe color that you like the most! Finished order sneakers T42 White 😋
.
.
#sneakers #sneakers #girlillustration #girlillustration… https://t.co/FS8X7OGcYm</v>
      </c>
      <c r="C991" s="2" t="s">
        <v>2345</v>
      </c>
      <c r="D991" s="1" t="s">
        <v>2346</v>
      </c>
    </row>
    <row r="992" spans="1:4" x14ac:dyDescent="0.15">
      <c r="A992" s="1" t="s">
        <v>2347</v>
      </c>
      <c r="B992" s="3" t="str">
        <f ca="1">IFERROR(__xludf.DUMMYFUNCTION("GOOGLETRANSLATE(B992,""es"",""en"")"),"Regiao, Aruak, ou Carememunga, coisas, assim, como, outros, ribeirinhos, tivam meals, alto, Added Calorie Value, isso dava Energia, Bambas, Bambinhas Glutosas, de Bom Bumbum, dai, veio Carambola, CaraMap(Moibilidade Articuloso Mambas- Press .Mambiar(Press"&amp;"ao Articular),Mobilizador https://t.co/lQ4e8w2inw")</f>
        <v>Regiao, Aruak, ou Carememunga, coisas, assim, como, outros, ribeirinhos, tivam meals, alto, Added Calorie Value, isso dava Energia, Bambas, Bambinhas Glutosas, de Bom Bumbum, dai, veio Carambola, CaraMap(Moibilidade Articuloso Mambas- Press .Mambiar(Pressao Articular),Mobilizador https://t.co/lQ4e8w2inw</v>
      </c>
      <c r="C992" s="2" t="s">
        <v>2348</v>
      </c>
      <c r="D992" s="1" t="s">
        <v>2349</v>
      </c>
    </row>
    <row r="993" spans="1:4" x14ac:dyDescent="0.15">
      <c r="A993" s="1" t="s">
        <v>2350</v>
      </c>
      <c r="B993" s="3" t="str">
        <f ca="1">IFERROR(__xludf.DUMMYFUNCTION("GOOGLETRANSLATE(B993,""es"",""en"")"),"RT @miningcomau: News headlines - Wed 3 Apr 2019:
1⃣ Dalian #ironore futures hit record $100
2⃣ Norsk Hydro aluminum plant to take months to fully recover after cyber attack
3⃣ #Copper prices down as protest tensions ease near Peru's Las Bambas mine")</f>
        <v>RT @miningcomau: News headlines - Wed 3 Apr 2019:
1⃣ Dalian #ironore futures hit record $100
2⃣ Norsk Hydro aluminum plant to take months to fully recover after cyber attack
3⃣ #Copper prices down as protest tensions ease near Peru's Las Bambas mine</v>
      </c>
      <c r="C993" s="2" t="s">
        <v>2351</v>
      </c>
      <c r="D993" s="1" t="s">
        <v>2349</v>
      </c>
    </row>
    <row r="994" spans="1:4" x14ac:dyDescent="0.15">
      <c r="A994" s="1" t="s">
        <v>1891</v>
      </c>
      <c r="B994" s="3" t="str">
        <f ca="1">IFERROR(__xludf.DUMMYFUNCTION("GOOGLETRANSLATE(B994,""es"",""en"")"),"RT @SignoriTita: Now what will @MartinVizcarraC do to regain his fictitious popularity? Will he put A García in prison? Will you give more money to the prostipress and Datum? Will he give the reds positions of trust? Will he put Gorriti as a mediator in t"&amp;"he BAMBAS? Will he send Keiko to the wall? Will there be another referendum?")</f>
        <v>RT @SignoriTita: Now what will @MartinVizcarraC do to regain his fictitious popularity? Will he put A García in prison? Will you give more money to the prostipress and Datum? Will he give the reds positions of trust? Will he put Gorriti as a mediator in the BAMBAS? Will he send Keiko to the wall? Will there be another referendum?</v>
      </c>
      <c r="C994" s="2" t="s">
        <v>2352</v>
      </c>
      <c r="D994" s="1" t="s">
        <v>2353</v>
      </c>
    </row>
    <row r="995" spans="1:4" x14ac:dyDescent="0.15">
      <c r="A995" s="1" t="s">
        <v>1137</v>
      </c>
      <c r="B995" s="3" t="str">
        <f ca="1">IFERROR(__xludf.DUMMYFUNCTION("GOOGLETRANSLATE(B995,""es"",""en"")"),"RT @hilwiller: Good and useful systematization of who is who in the Las Bambas conflict, prepared by @Ojo_Publico https://t.co/WtmlfZ2WW4")</f>
        <v>RT @hilwiller: Good and useful systematization of who is who in the Las Bambas conflict, prepared by @Ojo_Publico https://t.co/WtmlfZ2WW4</v>
      </c>
      <c r="C995" s="2" t="s">
        <v>2354</v>
      </c>
      <c r="D995" s="1" t="s">
        <v>2353</v>
      </c>
    </row>
    <row r="996" spans="1:4" x14ac:dyDescent="0.15">
      <c r="A996" s="1" t="s">
        <v>661</v>
      </c>
      <c r="B996" s="3" t="str">
        <f ca="1">IFERROR(__xludf.DUMMYFUNCTION("GOOGLETRANSLATE(B996,""es"",""en"")"),"#EXCLUSIVE | #LasBambas | Headline of @MemPeru: There was a lack of planning on the part of the company because it has used this road that is not paved, ...we call on the company to really see how to resolve this concentrate transportation situation
https"&amp;"://t.co/8kTQrVrqoQ")</f>
        <v>#EXCLUSIVE | #LasBambas | Headline of @MemPeru: There was a lack of planning on the part of the company because it has used this road that is not paved, ...we call on the company to really see how to resolve this concentrate transportation situation
https://t.co/8kTQrVrqoQ</v>
      </c>
      <c r="C996" s="2" t="s">
        <v>2355</v>
      </c>
      <c r="D996" s="1" t="s">
        <v>2356</v>
      </c>
    </row>
    <row r="997" spans="1:4" x14ac:dyDescent="0.15">
      <c r="A997" s="1" t="s">
        <v>2357</v>
      </c>
      <c r="B997" s="3" t="str">
        <f ca="1">IFERROR(__xludf.DUMMYFUNCTION("GOOGLETRANSLATE(B997,""es"",""en"")"),"RT @SignoriTita: Now what will @MartinVizcarraC do to regain his fictitious popularity? Will he put A García in prison? Will you give more money to the prostipress and Datum? Will he give the reds positions of trust? Will he put Gorriti as a mediator in t"&amp;"he BAMBAS? Will he send Keiko to the wall? Will there be another referendum?")</f>
        <v>RT @SignoriTita: Now what will @MartinVizcarraC do to regain his fictitious popularity? Will he put A García in prison? Will you give more money to the prostipress and Datum? Will he give the reds positions of trust? Will he put Gorriti as a mediator in the BAMBAS? Will he send Keiko to the wall? Will there be another referendum?</v>
      </c>
      <c r="C997" s="2" t="s">
        <v>2358</v>
      </c>
      <c r="D997" s="1" t="s">
        <v>2356</v>
      </c>
    </row>
    <row r="998" spans="1:4" x14ac:dyDescent="0.15">
      <c r="A998" s="1" t="s">
        <v>2359</v>
      </c>
      <c r="B998" s="3" t="str">
        <f ca="1">IFERROR(__xludf.DUMMYFUNCTION("GOOGLETRANSLATE(B998,""es"",""en"")"),"RT @Politica_LR: Vizcarra: I will visit the Las Bambas area “when necessary, with great pleasure” [VIDEO] [VIDEO] ► https://t.co/fKf8kyWNWj https://t.co/ipLYPL8JWJ")</f>
        <v>RT @Politica_LR: Vizcarra: I will visit the Las Bambas area “when necessary, with great pleasure” [VIDEO] [VIDEO] ► https://t.co/fKf8kyWNWj https://t.co/ipLYPL8JWJ</v>
      </c>
      <c r="C998" s="2" t="s">
        <v>2360</v>
      </c>
      <c r="D998" s="1" t="s">
        <v>2361</v>
      </c>
    </row>
    <row r="999" spans="1:4" x14ac:dyDescent="0.15">
      <c r="A999" s="1" t="s">
        <v>2362</v>
      </c>
      <c r="B999" s="3" t="str">
        <f ca="1">IFERROR(__xludf.DUMMYFUNCTION("GOOGLETRANSLATE(B999,""es"",""en"")"),"Las Bambas: Residents will not lift the blockade, they do not accept the Executive's proposal (VIDEO) https://t.co/SrR9idhZDw")</f>
        <v>Las Bambas: Residents will not lift the blockade, they do not accept the Executive's proposal (VIDEO) https://t.co/SrR9idhZDw</v>
      </c>
      <c r="C999" s="2" t="s">
        <v>2363</v>
      </c>
      <c r="D999" s="1" t="s">
        <v>2364</v>
      </c>
    </row>
    <row r="1000" spans="1:4" x14ac:dyDescent="0.15">
      <c r="A1000" s="1" t="s">
        <v>2365</v>
      </c>
      <c r="B1000" s="3" t="str">
        <f ca="1">IFERROR(__xludf.DUMMYFUNCTION("GOOGLETRANSLATE(B1000,""es"",""en"")"),"Regarding the mining conflict in Las Bambas, the spokespersons for the #BancadaAPP, @ricarnarvaez and @RichardAcunaN asked for respect from the peasant communities. “We believe in private investment but with social responsibility”@Latina_pe @Capital967 @A"&amp;"gencia_Andina @atvpe @canalN_ @RPPNoticias https://t.co/hvymbgPsie")</f>
        <v>Regarding the mining conflict in Las Bambas, the spokespersons for the #BancadaAPP, @ricarnarvaez and @RichardAcunaN asked for respect from the peasant communities. “We believe in private investment but with social responsibility”@Latina_pe @Capital967 @Agencia_Andina @atvpe @canalN_ @RPPNoticias https://t.co/hvymbgPsie</v>
      </c>
      <c r="C1000" s="2" t="s">
        <v>2366</v>
      </c>
      <c r="D1000" s="1" t="s">
        <v>2367</v>
      </c>
    </row>
    <row r="1001" spans="1:4" x14ac:dyDescent="0.15">
      <c r="A1001" s="1" t="s">
        <v>2368</v>
      </c>
      <c r="B1001" s="3" t="str">
        <f ca="1">IFERROR(__xludf.DUMMYFUNCTION("GOOGLETRANSLATE(B1001,""es"",""en"")"),"RT @WrightmanAIM: #copper Operations suspended at MMG’s Las Bambas due to blockades. Las Bambas May produces around 2-3% of the world's copper. MMG wholly Chinese owned - will be interesting to see how this plays out &amp;amp; effect on copper. 
Mere threat "&amp;"of Codelco strikes last year moved Cu to $3.25 high https://t.co/JH4zOfwC2G")</f>
        <v>RT @WrightmanAIM: #copper Operations suspended at MMG’s Las Bambas due to blockades. Las Bambas May produces around 2-3% of the world's copper. MMG wholly Chinese owned - will be interesting to see how this plays out &amp;amp; effect on copper. 
Mere threat of Codelco strikes last year moved Cu to $3.25 high https://t.co/JH4zOfwC2G</v>
      </c>
      <c r="C1001" s="2" t="s">
        <v>2369</v>
      </c>
      <c r="D1001" s="1" t="s">
        <v>2370</v>
      </c>
    </row>
    <row r="1002" spans="1:4" x14ac:dyDescent="0.15">
      <c r="A1002" s="1" t="s">
        <v>1562</v>
      </c>
      <c r="B1002" s="3" t="str">
        <f ca="1">IFERROR(__xludf.DUMMYFUNCTION("GOOGLETRANSLATE(B1002,""es"",""en"")"),"RT @SignoriTita: Now what will @MartinVizcarraC do to regain his fictitious popularity? Will he put A García in prison? Will you give more money to the prostipress and Datum? Will he give the reds positions of trust? Will he put Gorriti as a mediator in t"&amp;"he BAMBAS? Will he send Keiko to the wall? Will there be another referendum?")</f>
        <v>RT @SignoriTita: Now what will @MartinVizcarraC do to regain his fictitious popularity? Will he put A García in prison? Will you give more money to the prostipress and Datum? Will he give the reds positions of trust? Will he put Gorriti as a mediator in the BAMBAS? Will he send Keiko to the wall? Will there be another referendum?</v>
      </c>
      <c r="C1002" s="2" t="s">
        <v>2371</v>
      </c>
      <c r="D1002" s="1" t="s">
        <v>2370</v>
      </c>
    </row>
    <row r="1003" spans="1:4" x14ac:dyDescent="0.15">
      <c r="A1003" s="1" t="s">
        <v>2372</v>
      </c>
      <c r="B1003" s="3" t="str">
        <f ca="1">IFERROR(__xludf.DUMMYFUNCTION("GOOGLETRANSLATE(B1003,""es"",""en"")"),"RT @chirapaqoficial: #TarcilaRivera Zea @parwasisa member of @UN4Indigenous and director of #CHIRAPAQ urges @MartinVizcarraC @pcmperu @MinCulturaPe to avoid the use of force and not add another mark to the disagreement between the State and the #Indigenou"&amp;"sPeoples https:/ /t.co/6iYldptkNJ #LasBambas https://t.co/EefAuFSxWZ")</f>
        <v>RT @chirapaqoficial: #TarcilaRivera Zea @parwasisa member of @UN4Indigenous and director of #CHIRAPAQ urges @MartinVizcarraC @pcmperu @MinCulturaPe to avoid the use of force and not add another mark to the disagreement between the State and the #IndigenousPeoples https:/ /t.co/6iYldptkNJ #LasBambas https://t.co/EefAuFSxWZ</v>
      </c>
      <c r="C1003" s="2" t="s">
        <v>2373</v>
      </c>
      <c r="D1003" s="1" t="s">
        <v>2374</v>
      </c>
    </row>
    <row r="1004" spans="1:4" x14ac:dyDescent="0.15">
      <c r="A1004" s="1" t="s">
        <v>2375</v>
      </c>
      <c r="B1004" s="3" t="str">
        <f ca="1">IFERROR(__xludf.DUMMYFUNCTION("GOOGLETRANSLATE(B1004,""es"",""en"")"),"@VertizPamela You will not be able to replace Las Bambas with Chavarri....")</f>
        <v>@VertizPamela You will not be able to replace Las Bambas with Chavarri....</v>
      </c>
      <c r="C1004" s="2" t="s">
        <v>2376</v>
      </c>
      <c r="D1004" s="1" t="s">
        <v>2374</v>
      </c>
    </row>
    <row r="1005" spans="1:4" x14ac:dyDescent="0.15">
      <c r="A1005" s="1" t="s">
        <v>424</v>
      </c>
      <c r="B1005" s="3" t="str">
        <f ca="1">IFERROR(__xludf.DUMMYFUNCTION("GOOGLETRANSLATE(B1005,""es"",""en"")"),"Las Bambas: Fuerabamba demands the release of imprisoned advisors to resume dialogue https://t.co/bnL4XY11DW https://t.co/511UwgYEAg")</f>
        <v>Las Bambas: Fuerabamba demands the release of imprisoned advisors to resume dialogue https://t.co/bnL4XY11DW https://t.co/511UwgYEAg</v>
      </c>
      <c r="C1005" s="2" t="s">
        <v>2377</v>
      </c>
      <c r="D1005" s="1" t="s">
        <v>2378</v>
      </c>
    </row>
    <row r="1006" spans="1:4" x14ac:dyDescent="0.15">
      <c r="A1006" s="1" t="s">
        <v>2379</v>
      </c>
      <c r="B1006" s="3" t="str">
        <f ca="1">IFERROR(__xludf.DUMMYFUNCTION("GOOGLETRANSLATE(B1006,""es"",""en"")"),"RT @hilwiller: Good and useful systematization of who is who in the Las Bambas conflict, prepared by @Ojo_Publico https://t.co/WtmlfZ2WW4")</f>
        <v>RT @hilwiller: Good and useful systematization of who is who in the Las Bambas conflict, prepared by @Ojo_Publico https://t.co/WtmlfZ2WW4</v>
      </c>
      <c r="C1006" s="2" t="s">
        <v>2380</v>
      </c>
      <c r="D1006" s="1" t="s">
        <v>2381</v>
      </c>
    </row>
    <row r="1007" spans="1:4" x14ac:dyDescent="0.15">
      <c r="A1007" s="1" t="s">
        <v>2382</v>
      </c>
      <c r="B1007" s="3" t="str">
        <f ca="1">IFERROR(__xludf.DUMMYFUNCTION("GOOGLETRANSLATE(B1007,""es"",""en"")"),"RT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1007" s="2" t="s">
        <v>2383</v>
      </c>
      <c r="D1007" s="1" t="s">
        <v>2384</v>
      </c>
    </row>
    <row r="1008" spans="1:4" x14ac:dyDescent="0.15">
      <c r="A1008" s="1" t="s">
        <v>2385</v>
      </c>
      <c r="B1008" s="3" t="str">
        <f ca="1">IFERROR(__xludf.DUMMYFUNCTION("GOOGLETRANSLATE(B1008,""es"",""en"")"),"I have to stop pouring the passion fruit juice and coffee with water in the moral msm agr to here without getting up (sério minhas pernas estão bambas) because I took 1 liter of passion fruit juice")</f>
        <v>I have to stop pouring the passion fruit juice and coffee with water in the moral msm agr to here without getting up (sério minhas pernas estão bambas) because I took 1 liter of passion fruit juice</v>
      </c>
      <c r="C1008" s="2" t="s">
        <v>2386</v>
      </c>
      <c r="D1008" s="1" t="s">
        <v>2384</v>
      </c>
    </row>
    <row r="1009" spans="1:4" x14ac:dyDescent="0.15">
      <c r="A1009" s="1" t="s">
        <v>1518</v>
      </c>
      <c r="B1009" s="3" t="str">
        <f ca="1">IFERROR(__xludf.DUMMYFUNCTION("GOOGLETRANSLATE(B1009,""es"",""en"")"),"RT @BancadaAPP: Regarding the mining conflict in Las Bambas, the spokespersons for the #BancadaAPP, @ricarnarvaez and @RichardAcunaN asked for respect from the peasant communities. “We believe in private investment but with social responsibility”@Latina_p"&amp;"e @Capital967 @Agencia_Andina @atvpe @canalN_ @RPPNoticias https://t.co/hvymbgPsie")</f>
        <v>RT @BancadaAPP: Regarding the mining conflict in Las Bambas, the spokespersons for the #BancadaAPP, @ricarnarvaez and @RichardAcunaN asked for respect from the peasant communities. “We believe in private investment but with social responsibility”@Latina_pe @Capital967 @Agencia_Andina @atvpe @canalN_ @RPPNoticias https://t.co/hvymbgPsie</v>
      </c>
      <c r="C1009" s="2" t="s">
        <v>2387</v>
      </c>
      <c r="D1009" s="1" t="s">
        <v>2384</v>
      </c>
    </row>
    <row r="1010" spans="1:4" x14ac:dyDescent="0.15">
      <c r="A1010" s="1" t="s">
        <v>1447</v>
      </c>
      <c r="B1010" s="3" t="str">
        <f ca="1">IFERROR(__xludf.DUMMYFUNCTION("GOOGLETRANSLATE(B1010,""es"",""en"")"),"[THE LATEST] Community members harass police officers heading to Las Bambas ► https://t.co/WAgcNzGC9I https://t.co/7MbDxdp482")</f>
        <v>[THE LATEST] Community members harass police officers heading to Las Bambas ► https://t.co/WAgcNzGC9I https://t.co/7MbDxdp482</v>
      </c>
      <c r="C1010" s="2" t="s">
        <v>2388</v>
      </c>
      <c r="D1010" s="1" t="s">
        <v>2389</v>
      </c>
    </row>
    <row r="1011" spans="1:4" x14ac:dyDescent="0.15">
      <c r="A1011" s="1" t="s">
        <v>2390</v>
      </c>
      <c r="B1011" s="3" t="str">
        <f ca="1">IFERROR(__xludf.DUMMYFUNCTION("GOOGLETRANSLATE(B1011,""es"",""en"")"),"Hj was a new train, I was almost falling with the legs of sneakers
Prof Liba, why did you kill me?")</f>
        <v>Hj was a new train, I was almost falling with the legs of sneakers
Prof Liba, why did you kill me?</v>
      </c>
      <c r="C1011" s="2" t="s">
        <v>2391</v>
      </c>
      <c r="D1011" s="1" t="s">
        <v>2392</v>
      </c>
    </row>
    <row r="1012" spans="1:4" x14ac:dyDescent="0.15">
      <c r="A1012" s="1" t="s">
        <v>1675</v>
      </c>
      <c r="B1012" s="3" t="str">
        <f ca="1">IFERROR(__xludf.DUMMYFUNCTION("GOOGLETRANSLATE(B1012,""es"",""en"")"),"RT @Tedfarfan: ─The government has several specialists in conflict resolution
─Spend thousands of soles on consulting about it
─He put in the PCM a prime minister whose strong point is communication
and all so that the church can be the intermediary in B"&amp;"ambas and seek to solve the problem")</f>
        <v>RT @Tedfarfan: ─The government has several specialists in conflict resolution
─Spend thousands of soles on consulting about it
─He put in the PCM a prime minister whose strong point is communication
and all so that the church can be the intermediary in Bambas and seek to solve the problem</v>
      </c>
      <c r="C1012" s="2" t="s">
        <v>2393</v>
      </c>
      <c r="D1012" s="1" t="s">
        <v>2392</v>
      </c>
    </row>
    <row r="1013" spans="1:4" x14ac:dyDescent="0.15">
      <c r="A1013" s="1" t="s">
        <v>2394</v>
      </c>
      <c r="B1013" s="3" t="str">
        <f ca="1">IFERROR(__xludf.DUMMYFUNCTION("GOOGLETRANSLATE(B1013,""es"",""en"")"),"RT @PasquinDeM: Peru is falling apart: There is no reconstruction in the north, sneakers are in emergency, there is no employment, crime is increasing!
And what is the President thinking about? In playing tennis? Go to the stadium? or a visit to the King?"&amp;" 
VIZCARRA GET TO WORK FOR PERUVIANS ONCE AND FOR ALL!!! https://t.co/mPC25VesiY")</f>
        <v>RT @PasquinDeM: Peru is falling apart: There is no reconstruction in the north, sneakers are in emergency, there is no employment, crime is increasing!
And what is the President thinking about? In playing tennis? Go to the stadium? or a visit to the King? 
VIZCARRA GET TO WORK FOR PERUVIANS ONCE AND FOR ALL!!! https://t.co/mPC25VesiY</v>
      </c>
      <c r="C1013" s="2" t="s">
        <v>2395</v>
      </c>
      <c r="D1013" s="1" t="s">
        <v>2396</v>
      </c>
    </row>
    <row r="1014" spans="1:4" x14ac:dyDescent="0.15">
      <c r="A1014" s="1" t="s">
        <v>2397</v>
      </c>
      <c r="B1014" s="3" t="str">
        <f ca="1">IFERROR(__xludf.DUMMYFUNCTION("GOOGLETRANSLATE(B1014,""es"",""en"")"),"All with your legs now, what sad news, only God to comfort the hearts of two family members at this hour 💔😢")</f>
        <v>All with your legs now, what sad news, only God to comfort the hearts of two family members at this hour 💔😢</v>
      </c>
      <c r="C1014" s="2" t="s">
        <v>2398</v>
      </c>
      <c r="D1014" s="1" t="s">
        <v>2399</v>
      </c>
    </row>
    <row r="1015" spans="1:4" x14ac:dyDescent="0.15">
      <c r="A1015" s="1" t="s">
        <v>2400</v>
      </c>
      <c r="B1015" s="3" t="str">
        <f ca="1">IFERROR(__xludf.DUMMYFUNCTION("GOOGLETRANSLATE(B1015,""es"",""en"")"),"Alert: Journalist from @canalN_ @MelissaPeschier I mean, protesting is harassment, I mean you defend, we already know why Grupo Comercio defends Las Bambas #SalvemosLas2Vidas #EEGEnfrentamientoExtremo https://t.co/sLwDK1VBv7")</f>
        <v>Alert: Journalist from @canalN_ @MelissaPeschier I mean, protesting is harassment, I mean you defend, we already know why Grupo Comercio defends Las Bambas #SalvemosLas2Vidas #EEGEnfrentamientoExtremo https://t.co/sLwDK1VBv7</v>
      </c>
      <c r="C1015" s="2" t="s">
        <v>2401</v>
      </c>
      <c r="D1015" s="1" t="s">
        <v>2402</v>
      </c>
    </row>
    <row r="1016" spans="1:4" x14ac:dyDescent="0.15">
      <c r="A1016" s="1" t="s">
        <v>2403</v>
      </c>
      <c r="B1016" s="3" t="str">
        <f ca="1">IFERROR(__xludf.DUMMYFUNCTION("GOOGLETRANSLATE(B1016,""es"",""en"")"),"@yass_oliver @DinhaSouza98 KKKKKK desço as escadas con a pernas bambas")</f>
        <v>@yass_oliver @DinhaSouza98 KKKKKK desço as escadas con a pernas bambas</v>
      </c>
      <c r="C1016" s="2" t="s">
        <v>2404</v>
      </c>
      <c r="D1016" s="1" t="s">
        <v>2402</v>
      </c>
    </row>
    <row r="1017" spans="1:4" x14ac:dyDescent="0.15">
      <c r="A1017" s="1" t="s">
        <v>2405</v>
      </c>
      <c r="B1017" s="3" t="str">
        <f ca="1">IFERROR(__xludf.DUMMYFUNCTION("GOOGLETRANSLATE(B1017,""es"",""en"")"),"COMMUNIONERS OF BAMBAS COMMIT A CRIME AGAINST THE ADM OF JUSTICE BY REQUESTING THE FREEDOM OF THEIR 2 ADVISORS WHO ARE BEING INVESTIGATED BY THE PROSECUTOR'S OFFICE AND SHOULD EXPECT GUILT OR INNOCENCE, AND THEN LEADERS DO NOT BE Stubborn AVOID PROBLEMS D"&amp;"O NOT VIOLATE THE CRIMINAL AND CONSTITUTIONAL LAW")</f>
        <v>COMMUNIONERS OF BAMBAS COMMIT A CRIME AGAINST THE ADM OF JUSTICE BY REQUESTING THE FREEDOM OF THEIR 2 ADVISORS WHO ARE BEING INVESTIGATED BY THE PROSECUTOR'S OFFICE AND SHOULD EXPECT GUILT OR INNOCENCE, AND THEN LEADERS DO NOT BE Stubborn AVOID PROBLEMS DO NOT VIOLATE THE CRIMINAL AND CONSTITUTIONAL LAW</v>
      </c>
      <c r="C1017" s="2" t="s">
        <v>2406</v>
      </c>
      <c r="D1017" s="1" t="s">
        <v>2407</v>
      </c>
    </row>
    <row r="1018" spans="1:4" x14ac:dyDescent="0.15">
      <c r="A1018" s="1" t="s">
        <v>2408</v>
      </c>
      <c r="B1018" s="3" t="str">
        <f ca="1">IFERROR(__xludf.DUMMYFUNCTION("GOOGLETRANSLATE(B1018,""es"",""en"")"),"And now what is the instigator of the moqueguazo going to do? 
https://t.co/UU5mT4D1FQ")</f>
        <v>And now what is the instigator of the moqueguazo going to do? 
https://t.co/UU5mT4D1FQ</v>
      </c>
      <c r="C1018" s="2" t="s">
        <v>2409</v>
      </c>
      <c r="D1018" s="1" t="s">
        <v>2407</v>
      </c>
    </row>
    <row r="1019" spans="1:4" x14ac:dyDescent="0.15">
      <c r="A1019" s="1" t="s">
        <v>2410</v>
      </c>
      <c r="B1019" s="3" t="str">
        <f ca="1">IFERROR(__xludf.DUMMYFUNCTION("GOOGLETRANSLATE(B1019,""es"",""en"")"),"The feeling of being with shoestring legs waiting for a young sweet potato is better")</f>
        <v>The feeling of being with shoestring legs waiting for a young sweet potato is better</v>
      </c>
      <c r="C1019" s="2" t="s">
        <v>2411</v>
      </c>
      <c r="D1019" s="1" t="s">
        <v>2412</v>
      </c>
    </row>
    <row r="1020" spans="1:4" x14ac:dyDescent="0.15">
      <c r="A1020" s="1" t="s">
        <v>2413</v>
      </c>
      <c r="B1020" s="3" t="str">
        <f ca="1">IFERROR(__xludf.DUMMYFUNCTION("GOOGLETRANSLATE(B1020,""es"",""en"")"),"RT @SignoriTita: Now what will @MartinVizcarraC do to regain his fictitious popularity? Will he put A García in prison? Will you give more money to the prostipress and Datum? Will he give the reds positions of trust? Will he put Gorriti as a mediator in t"&amp;"he BAMBAS? Will he send Keiko to the wall? Will there be another referendum?")</f>
        <v>RT @SignoriTita: Now what will @MartinVizcarraC do to regain his fictitious popularity? Will he put A García in prison? Will you give more money to the prostipress and Datum? Will he give the reds positions of trust? Will he put Gorriti as a mediator in the BAMBAS? Will he send Keiko to the wall? Will there be another referendum?</v>
      </c>
      <c r="C1020" s="2" t="s">
        <v>2414</v>
      </c>
      <c r="D1020" s="1" t="s">
        <v>2415</v>
      </c>
    </row>
    <row r="1021" spans="1:4" x14ac:dyDescent="0.15">
      <c r="A1021" s="1" t="s">
        <v>2416</v>
      </c>
      <c r="B1021" s="3" t="str">
        <f ca="1">IFERROR(__xludf.DUMMYFUNCTION("GOOGLETRANSLATE(B1021,""es"",""en"")"),"I just wanted some sex because the legs were wearing sneakers")</f>
        <v>I just wanted some sex because the legs were wearing sneakers</v>
      </c>
      <c r="C1021" s="2" t="s">
        <v>2417</v>
      </c>
      <c r="D1021" s="1" t="s">
        <v>2418</v>
      </c>
    </row>
    <row r="1022" spans="1:4" x14ac:dyDescent="0.15">
      <c r="A1022" s="1" t="s">
        <v>124</v>
      </c>
      <c r="B1022" s="3" t="str">
        <f ca="1">IFERROR(__xludf.DUMMYFUNCTION("GOOGLETRANSLATE(B1022,""es"",""en"")"),"🔵 #URGENT Las Bambas: PNP shootings against community members during clashes in the Pumamarca area are reported. 🔊 Edison Vargas, vice president of Fuerabamba, pointed out in #NochesInformativas that the situation complicates the intention of dialogue. "&amp;"https://t.co/lIscE9qa3U")</f>
        <v>🔵 #URGENT Las Bambas: PNP shootings against community members during clashes in the Pumamarca area are reported. 🔊 Edison Vargas, vice president of Fuerabamba, pointed out in #NochesInformativas that the situation complicates the intention of dialogue. https://t.co/lIscE9qa3U</v>
      </c>
      <c r="C1022" s="2" t="s">
        <v>2419</v>
      </c>
      <c r="D1022" s="1" t="s">
        <v>2418</v>
      </c>
    </row>
    <row r="1023" spans="1:4" x14ac:dyDescent="0.15">
      <c r="A1023" s="1" t="s">
        <v>2420</v>
      </c>
      <c r="B1023" s="3" t="str">
        <f ca="1">IFERROR(__xludf.DUMMYFUNCTION("GOOGLETRANSLATE(B1023,""es"",""en"")"),"PERU: INJURED COMMUNIONERS ARRIVE FROM PUMAMARCA, APURIMAC, IN STRIKE AGAINST LAS BAMBAS MMG LIMITED MINE AND THE STATE.
WE DEMAND PRESENCE OF THE OMBUDSMAN AND THE INTERNATIONAL RED CROSS 
LONG LIVE THE PLATFORM FOR THE FIGHT OF THE REGIONAL STRIKE ON "&amp;"APRIL 2 AND 3 
https://t.co/wpIlFD8Una")</f>
        <v>PERU: INJURED COMMUNIONERS ARRIVE FROM PUMAMARCA, APURIMAC, IN STRIKE AGAINST LAS BAMBAS MMG LIMITED MINE AND THE STATE.
WE DEMAND PRESENCE OF THE OMBUDSMAN AND THE INTERNATIONAL RED CROSS 
LONG LIVE THE PLATFORM FOR THE FIGHT OF THE REGIONAL STRIKE ON APRIL 2 AND 3 
https://t.co/wpIlFD8Una</v>
      </c>
      <c r="C1023" s="2" t="s">
        <v>2421</v>
      </c>
      <c r="D1023" s="1" t="s">
        <v>2422</v>
      </c>
    </row>
    <row r="1024" spans="1:4" x14ac:dyDescent="0.15">
      <c r="A1024" s="1" t="s">
        <v>2423</v>
      </c>
      <c r="B1024" s="3" t="str">
        <f ca="1">IFERROR(__xludf.DUMMYFUNCTION("GOOGLETRANSLATE(B1024,""es"",""en"")"),"RT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1024" s="2" t="s">
        <v>2424</v>
      </c>
      <c r="D1024" s="1" t="s">
        <v>2422</v>
      </c>
    </row>
    <row r="1025" spans="1:4" x14ac:dyDescent="0.15">
      <c r="A1025" s="1" t="s">
        <v>2425</v>
      </c>
      <c r="B1025" s="3" t="str">
        <f ca="1">IFERROR(__xludf.DUMMYFUNCTION("GOOGLETRANSLATE(B1025,""es"",""en"")"),"Police officers would have been harassed by community members when they were heading to Las Bambas https://t.co/Pk5mIhUXKM")</f>
        <v>Police officers would have been harassed by community members when they were heading to Las Bambas https://t.co/Pk5mIhUXKM</v>
      </c>
      <c r="C1025" s="2" t="s">
        <v>2426</v>
      </c>
      <c r="D1025" s="1" t="s">
        <v>2422</v>
      </c>
    </row>
    <row r="1026" spans="1:4" x14ac:dyDescent="0.15">
      <c r="A1026" s="1" t="s">
        <v>2420</v>
      </c>
      <c r="B1026" s="3" t="str">
        <f ca="1">IFERROR(__xludf.DUMMYFUNCTION("GOOGLETRANSLATE(B1026,""es"",""en"")"),"RT @wauqi_prensa: PERU: INJURED COMMUNIONERS ARRIVE FROM PUMAMARCA, APURIMAC, IN STRIKE AGAINST MINA LAS BAMBAS MMG LIMITED AND THE STATE.
WE DEMAND PRESENCE OF THE OMBUDSMAN AND THE INTERNATIONAL RED CROSS 
LONG LIVE THE PLATFORM FOR THE FIGHT OF THE R"&amp;"EGIONAL STRIKE ON APRIL 2 AND 3 
https://t.co/wpIlFD8Una")</f>
        <v>RT @wauqi_prensa: PERU: INJURED COMMUNIONERS ARRIVE FROM PUMAMARCA, APURIMAC, IN STRIKE AGAINST MINA LAS BAMBAS MMG LIMITED AND THE STATE.
WE DEMAND PRESENCE OF THE OMBUDSMAN AND THE INTERNATIONAL RED CROSS 
LONG LIVE THE PLATFORM FOR THE FIGHT OF THE REGIONAL STRIKE ON APRIL 2 AND 3 
https://t.co/wpIlFD8Una</v>
      </c>
      <c r="C1026" s="2" t="s">
        <v>2427</v>
      </c>
      <c r="D1026" s="1" t="s">
        <v>2422</v>
      </c>
    </row>
    <row r="1027" spans="1:4" x14ac:dyDescent="0.15">
      <c r="A1027" s="1" t="s">
        <v>2428</v>
      </c>
      <c r="B1027" s="3" t="str">
        <f ca="1">IFERROR(__xludf.DUMMYFUNCTION("GOOGLETRANSLATE(B1027,""es"",""en"")"),"RT @willaxtv: #Live #Combutters 
@Phill_Butters on Las Bambas: ""everything that has happened in Las Bambas has been known for more than a year and a half, and @MartinVizcarraC knew it, because at that time he was minister""")</f>
        <v>RT @willaxtv: #Live #Combutters 
@Phill_Butters on Las Bambas: "everything that has happened in Las Bambas has been known for more than a year and a half, and @MartinVizcarraC knew it, because at that time he was minister"</v>
      </c>
      <c r="C1027" s="2" t="s">
        <v>2429</v>
      </c>
      <c r="D1027" s="1" t="s">
        <v>2430</v>
      </c>
    </row>
    <row r="1028" spans="1:4" x14ac:dyDescent="0.15">
      <c r="A1028" s="1" t="s">
        <v>2431</v>
      </c>
      <c r="B1028" s="3" t="str">
        <f ca="1">IFERROR(__xludf.DUMMYFUNCTION("GOOGLETRANSLATE(B1028,""es"",""en"")"),"RT @Gregorio_Goyo: #LasBambas. The fields of Pumamarca, an area of ​​direct influence of Las Bambas, are filled with tear gas. The representatives of the neoliberal State have no way out. Today the dialogue broke down in Chumbivilcas. The resistance begin"&amp;"s to become indefinite. https://t.co/2jm69UeTar")</f>
        <v>RT @Gregorio_Goyo: #LasBambas. The fields of Pumamarca, an area of ​​direct influence of Las Bambas, are filled with tear gas. The representatives of the neoliberal State have no way out. Today the dialogue broke down in Chumbivilcas. The resistance begins to become indefinite. https://t.co/2jm69UeTar</v>
      </c>
      <c r="C1028" s="2" t="s">
        <v>2432</v>
      </c>
      <c r="D1028" s="1" t="s">
        <v>2430</v>
      </c>
    </row>
    <row r="1029" spans="1:4" x14ac:dyDescent="0.15">
      <c r="A1029" s="1" t="s">
        <v>2433</v>
      </c>
      <c r="B1029" s="3" t="str">
        <f ca="1">IFERROR(__xludf.DUMMYFUNCTION("GOOGLETRANSLATE(B1029,""es"",""en"")"),"The political actors behind the complex conflict in #LasBambas https://t.co/8Bc2ENTsCc via @Ojo_Publico")</f>
        <v>The political actors behind the complex conflict in #LasBambas https://t.co/8Bc2ENTsCc via @Ojo_Publico</v>
      </c>
      <c r="C1029" s="2" t="s">
        <v>2434</v>
      </c>
      <c r="D1029" s="1" t="s">
        <v>2435</v>
      </c>
    </row>
    <row r="1030" spans="1:4" x14ac:dyDescent="0.15">
      <c r="A1030" s="1" t="s">
        <v>2436</v>
      </c>
      <c r="B1030" s="3" t="str">
        <f ca="1">IFERROR(__xludf.DUMMYFUNCTION("GOOGLETRANSLATE(B1030,""es"",""en"")"),"@JeanPierreGut The PNP troops have other services (Las Bambas, Gamarra, etc). https://t.co/2SFkXo5IAr")</f>
        <v>@JeanPierreGut The PNP troops have other services (Las Bambas, Gamarra, etc). https://t.co/2SFkXo5IAr</v>
      </c>
      <c r="C1030" s="2" t="s">
        <v>2437</v>
      </c>
      <c r="D1030" s="1" t="s">
        <v>2438</v>
      </c>
    </row>
    <row r="1031" spans="1:4" x14ac:dyDescent="0.15">
      <c r="A1031" s="1" t="s">
        <v>2439</v>
      </c>
      <c r="B1031" s="3" t="str">
        <f ca="1">IFERROR(__xludf.DUMMYFUNCTION("GOOGLETRANSLATE(B1031,""es"",""en"")"),"RT @ContactoN_: @UrsulaLetonaP “Reality has overwhelmed us in the case of bambas” with @MijaelGLP https://t.co/zrZC9KPaPU")</f>
        <v>RT @ContactoN_: @UrsulaLetonaP “Reality has overwhelmed us in the case of bambas” with @MijaelGLP https://t.co/zrZC9KPaPU</v>
      </c>
      <c r="C1031" s="2" t="s">
        <v>2440</v>
      </c>
      <c r="D1031" s="1" t="s">
        <v>2441</v>
      </c>
    </row>
    <row r="1032" spans="1:4" x14ac:dyDescent="0.15">
      <c r="A1032" s="1" t="s">
        <v>1955</v>
      </c>
      <c r="B1032" s="3" t="str">
        <f ca="1">IFERROR(__xludf.DUMMYFUNCTION("GOOGLETRANSLATE(B1032,""es"",""en"")"),"Las Bambas: 48-hour strike begins in Apurímac in support of Fuerabamba ► https://t.co/VVKptVbF22 https://t.co/sv3Mj2iN2o")</f>
        <v>Las Bambas: 48-hour strike begins in Apurímac in support of Fuerabamba ► https://t.co/VVKptVbF22 https://t.co/sv3Mj2iN2o</v>
      </c>
      <c r="C1032" s="2" t="s">
        <v>2442</v>
      </c>
      <c r="D1032" s="1" t="s">
        <v>2443</v>
      </c>
    </row>
    <row r="1033" spans="1:4" x14ac:dyDescent="0.15">
      <c r="A1033" s="1" t="s">
        <v>2444</v>
      </c>
      <c r="B1033" s="3" t="str">
        <f ca="1">IFERROR(__xludf.DUMMYFUNCTION("GOOGLETRANSLATE(B1033,""es"",""en"")"),"RT @jgodoym: Good editorial from @SEMANAeconomica about Las Bambas. We must kill the dog in the manger https://t.co/8TArvrmQMl")</f>
        <v>RT @jgodoym: Good editorial from @SEMANAeconomica about Las Bambas. We must kill the dog in the manger https://t.co/8TArvrmQMl</v>
      </c>
      <c r="C1033" s="2" t="s">
        <v>2445</v>
      </c>
      <c r="D1033" s="1" t="s">
        <v>2446</v>
      </c>
    </row>
    <row r="1034" spans="1:4" x14ac:dyDescent="0.15">
      <c r="A1034" s="1" t="s">
        <v>2447</v>
      </c>
      <c r="B1034" s="3" t="str">
        <f ca="1">IFERROR(__xludf.DUMMYFUNCTION("GOOGLETRANSLATE(B1034,""es"",""en"")"),"RT @ucinoticias_pe: 🔵 #URGENT Las Bambas: PNP shots against community members reported during clashes in the Pumamarca area. 🔊 Edison Vargas, vice president of Fuerabamba, pointed out in #NochesInformativas that the situation complicates the intention o"&amp;"f dialogue. https://t.co/lIscE9qa3U")</f>
        <v>RT @ucinoticias_pe: 🔵 #URGENT Las Bambas: PNP shots against community members reported during clashes in the Pumamarca area. 🔊 Edison Vargas, vice president of Fuerabamba, pointed out in #NochesInformativas that the situation complicates the intention of dialogue. https://t.co/lIscE9qa3U</v>
      </c>
      <c r="C1034" s="2" t="s">
        <v>2448</v>
      </c>
      <c r="D1034" s="1" t="s">
        <v>2449</v>
      </c>
    </row>
    <row r="1035" spans="1:4" x14ac:dyDescent="0.15">
      <c r="A1035" s="1" t="s">
        <v>2450</v>
      </c>
      <c r="B1035" s="3" t="str">
        <f ca="1">IFERROR(__xludf.DUMMYFUNCTION("GOOGLETRANSLATE(B1035,""es"",""en"")"),"RT @Gestionpe: Las Bambas: 48-hour strike begins in Apurímac in support of Fuerabamba ► https://t.co/VVKptVbF22 https://t.co/sv3Mj2iN2o")</f>
        <v>RT @Gestionpe: Las Bambas: 48-hour strike begins in Apurímac in support of Fuerabamba ► https://t.co/VVKptVbF22 https://t.co/sv3Mj2iN2o</v>
      </c>
      <c r="C1035" s="2" t="s">
        <v>2451</v>
      </c>
      <c r="D1035" s="1" t="s">
        <v>2449</v>
      </c>
    </row>
    <row r="1036" spans="1:4" x14ac:dyDescent="0.15">
      <c r="A1036" s="1" t="s">
        <v>2452</v>
      </c>
      <c r="B1036" s="3" t="str">
        <f ca="1">IFERROR(__xludf.DUMMYFUNCTION("GOOGLETRANSLATE(B1036,""es"",""en"")"),"#exitosadeportes @gonzaperucarajo @oscarpaz20 
...and the Beaver???
Did he go to Las Bambas?? or does it already have ""fixed""??")</f>
        <v>#exitosadeportes @gonzaperucarajo @oscarpaz20 
...and the Beaver???
Did he go to Las Bambas?? or does it already have "fixed"??</v>
      </c>
      <c r="C1036" s="2" t="s">
        <v>2453</v>
      </c>
      <c r="D1036" s="1" t="s">
        <v>2454</v>
      </c>
    </row>
    <row r="1037" spans="1:4" x14ac:dyDescent="0.15">
      <c r="A1037" s="1" t="s">
        <v>2455</v>
      </c>
      <c r="B1037" s="3" t="str">
        <f ca="1">IFERROR(__xludf.DUMMYFUNCTION("GOOGLETRANSLATE(B1037,""es"",""en"")"),"RT @willaxtv: #Live #Combutters 
@Phill_Butters on Las Bambas: ""everything that has happened in Las Bambas has been known for more than a year and a half, and @MartinVizcarraC knew it, because at that time he was minister""")</f>
        <v>RT @willaxtv: #Live #Combutters 
@Phill_Butters on Las Bambas: "everything that has happened in Las Bambas has been known for more than a year and a half, and @MartinVizcarraC knew it, because at that time he was minister"</v>
      </c>
      <c r="C1037" s="2" t="s">
        <v>2456</v>
      </c>
      <c r="D1037" s="1" t="s">
        <v>2454</v>
      </c>
    </row>
    <row r="1038" spans="1:4" x14ac:dyDescent="0.15">
      <c r="A1038" s="1" t="s">
        <v>2457</v>
      </c>
      <c r="B1038" s="3" t="str">
        <f ca="1">IFERROR(__xludf.DUMMYFUNCTION("GOOGLETRANSLATE(B1038,""es"",""en"")"),"🔴 A cabinet with a premier like Salvador del Solar urged by a vote of confidence that is endangered by its own ineptitude by attempting dialogue but imprisoning the leaders and... https://t.co/RioOy7P8wp")</f>
        <v>🔴 A cabinet with a premier like Salvador del Solar urged by a vote of confidence that is endangered by its own ineptitude by attempting dialogue but imprisoning the leaders and... https://t.co/RioOy7P8wp</v>
      </c>
      <c r="C1038" s="2" t="s">
        <v>2458</v>
      </c>
      <c r="D1038" s="1" t="s">
        <v>2459</v>
      </c>
    </row>
    <row r="1039" spans="1:4" x14ac:dyDescent="0.15">
      <c r="A1039" s="1" t="s">
        <v>2460</v>
      </c>
      <c r="B1039" s="3" t="str">
        <f ca="1">IFERROR(__xludf.DUMMYFUNCTION("GOOGLETRANSLATE(B1039,""es"",""en"")"),"RT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1039" s="2" t="s">
        <v>2461</v>
      </c>
      <c r="D1039" s="1" t="s">
        <v>2462</v>
      </c>
    </row>
    <row r="1040" spans="1:4" x14ac:dyDescent="0.15">
      <c r="A1040" s="1" t="s">
        <v>2463</v>
      </c>
      <c r="B1040" s="3" t="str">
        <f ca="1">IFERROR(__xludf.DUMMYFUNCTION("GOOGLETRANSLATE(B1040,""es"",""en"")"),"RT @macarena_costa: The being and the duty to be: my column today in @diariocorreo about the lack of significant response from the president in Las Bambas. 
https://t.co/wicVj0Ek0L https://t.co/OFKjdlpplM")</f>
        <v>RT @macarena_costa: The being and the duty to be: my column today in @diariocorreo about the lack of significant response from the president in Las Bambas. 
https://t.co/wicVj0Ek0L https://t.co/OFKjdlpplM</v>
      </c>
      <c r="C1040" s="2" t="s">
        <v>2464</v>
      </c>
      <c r="D1040" s="1" t="s">
        <v>2462</v>
      </c>
    </row>
    <row r="1041" spans="1:4" x14ac:dyDescent="0.15">
      <c r="A1041" s="1" t="s">
        <v>2465</v>
      </c>
      <c r="B1041" s="3" t="str">
        <f ca="1">IFERROR(__xludf.DUMMYFUNCTION("GOOGLETRANSLATE(B1041,""es"",""en"")"),"OH MY GOD!!! ON TOP OF EVERYTHING HE IS A FAGGOT!
Las Bambas: Vizcarra affirms that he will go to the conflict zone when necessary https://t.co/HFn2bE1Woo via @noticiAmerica")</f>
        <v>OH MY GOD!!! ON TOP OF EVERYTHING HE IS A FAGGOT!
Las Bambas: Vizcarra affirms that he will go to the conflict zone when necessary https://t.co/HFn2bE1Woo via @noticiAmerica</v>
      </c>
      <c r="C1041" s="2" t="s">
        <v>2466</v>
      </c>
      <c r="D1041" s="1" t="s">
        <v>2467</v>
      </c>
    </row>
    <row r="1042" spans="1:4" x14ac:dyDescent="0.15">
      <c r="A1042" s="1" t="s">
        <v>2468</v>
      </c>
      <c r="B1042" s="3" t="str">
        <f ca="1">IFERROR(__xludf.DUMMYFUNCTION("GOOGLETRANSLATE(B1042,""es"",""en"")"),"RT @AmberMining: The Peruvian government has offered to end emergency measures authorizing the use of force in the Andes if indigenous protesters don't lift their blockades of roads to MMG’s Las Bambas #copper mine https://t.co/JQ7fQ7HoAH")</f>
        <v>RT @AmberMining: The Peruvian government has offered to end emergency measures authorizing the use of force in the Andes if indigenous protesters don't lift their blockades of roads to MMG’s Las Bambas #copper mine https://t.co/JQ7fQ7HoAH</v>
      </c>
      <c r="C1042" s="2" t="s">
        <v>2469</v>
      </c>
      <c r="D1042" s="1" t="s">
        <v>2470</v>
      </c>
    </row>
    <row r="1043" spans="1:4" x14ac:dyDescent="0.15">
      <c r="A1043" s="1" t="s">
        <v>2471</v>
      </c>
      <c r="B1043" s="3" t="str">
        <f ca="1">IFERROR(__xludf.DUMMYFUNCTION("GOOGLETRANSLATE(B1043,""es"",""en"")"),"RT @peruenlanoticia: Las Bambas Case: system of threats to obtain profits https://t.co/ZtsCcOIWS5 https://t.co/DxjCr3hXyy")</f>
        <v>RT @peruenlanoticia: Las Bambas Case: system of threats to obtain profits https://t.co/ZtsCcOIWS5 https://t.co/DxjCr3hXyy</v>
      </c>
      <c r="C1043" s="2" t="s">
        <v>2472</v>
      </c>
      <c r="D1043" s="1" t="s">
        <v>2470</v>
      </c>
    </row>
    <row r="1044" spans="1:4" x14ac:dyDescent="0.15">
      <c r="A1044" s="1" t="s">
        <v>2471</v>
      </c>
      <c r="B1044" s="3" t="str">
        <f ca="1">IFERROR(__xludf.DUMMYFUNCTION("GOOGLETRANSLATE(B1044,""es"",""en"")"),"Las Bambas Case: system of threats to obtain profits https://t.co/flFoiT1f5F via @elcomercio_peru")</f>
        <v>Las Bambas Case: system of threats to obtain profits https://t.co/flFoiT1f5F via @elcomercio_peru</v>
      </c>
      <c r="C1044" s="2" t="s">
        <v>2473</v>
      </c>
      <c r="D1044" s="1" t="s">
        <v>2474</v>
      </c>
    </row>
    <row r="1045" spans="1:4" x14ac:dyDescent="0.15">
      <c r="A1045" s="1" t="s">
        <v>1962</v>
      </c>
      <c r="B1045" s="3" t="str">
        <f ca="1">IFERROR(__xludf.DUMMYFUNCTION("GOOGLETRANSLATE(B1045,""es"",""en"")"),"RT @eudmed: From time to time, as in the case of Las Bambas, Peru reminds us that it comprises a territory in which several nations live. We don't want to face it, we like to believe that we are one. But everyone, absolutely everyone, knows that it is not"&amp;" true.")</f>
        <v>RT @eudmed: From time to time, as in the case of Las Bambas, Peru reminds us that it comprises a territory in which several nations live. We don't want to face it, we like to believe that we are one. But everyone, absolutely everyone, knows that it is not true.</v>
      </c>
      <c r="C1045" s="2" t="s">
        <v>2475</v>
      </c>
      <c r="D1045" s="1" t="s">
        <v>2476</v>
      </c>
    </row>
    <row r="1046" spans="1:4" x14ac:dyDescent="0.15">
      <c r="A1046" s="1" t="s">
        <v>2477</v>
      </c>
      <c r="B1046" s="3" t="str">
        <f ca="1">IFERROR(__xludf.DUMMYFUNCTION("GOOGLETRANSLATE(B1046,""es"",""en"")"),"RT @WrightmanAIM: #copper Operations suspended at MMG’s Las Bambas due to blockades. Las Bambas May produces around 2-3% of the world's copper. MMG wholly Chinese owned - will be interesting to see how this plays out &amp;amp; effect on copper. 
Mere threat "&amp;"of Codelco strikes last year moved Cu to $3.25 high https://t.co/JH4zOfwC2G")</f>
        <v>RT @WrightmanAIM: #copper Operations suspended at MMG’s Las Bambas due to blockades. Las Bambas May produces around 2-3% of the world's copper. MMG wholly Chinese owned - will be interesting to see how this plays out &amp;amp; effect on copper. 
Mere threat of Codelco strikes last year moved Cu to $3.25 high https://t.co/JH4zOfwC2G</v>
      </c>
      <c r="C1046" s="2" t="s">
        <v>2478</v>
      </c>
      <c r="D1046" s="1" t="s">
        <v>2479</v>
      </c>
    </row>
    <row r="1047" spans="1:4" x14ac:dyDescent="0.15">
      <c r="A1047" s="1" t="s">
        <v>2477</v>
      </c>
      <c r="B1047" s="3" t="str">
        <f ca="1">IFERROR(__xludf.DUMMYFUNCTION("GOOGLETRANSLATE(B1047,""es"",""en"")"),"RT @kjawoogie: Las Bambas blockade affecting smelter treatment charges in China - important indicator of market tightness. Prices below $67 a tonne for only the second time in 5 years. China may be forced to buy more refined material from overseas or draw"&amp;" down on stocks. https://t.co/2qQUHJZqpx")</f>
        <v>RT @kjawoogie: Las Bambas blockade affecting smelter treatment charges in China - important indicator of market tightness. Prices below $67 a tonne for only the second time in 5 years. China may be forced to buy more refined material from overseas or draw down on stocks. https://t.co/2qQUHJZqpx</v>
      </c>
      <c r="C1047" s="2" t="s">
        <v>2480</v>
      </c>
      <c r="D1047" s="1" t="s">
        <v>2481</v>
      </c>
    </row>
    <row r="1048" spans="1:4" x14ac:dyDescent="0.15">
      <c r="A1048" s="1" t="s">
        <v>2482</v>
      </c>
      <c r="B1048" s="3" t="str">
        <f ca="1">IFERROR(__xludf.DUMMYFUNCTION("GOOGLETRANSLATE(B1048,""es"",""en"")"),"RT @kjawoogie: Las Bambas blockade affecting smelter treatment charges in China - important indicator of market tightness. Prices below $67 a tonne for only the second time in 5 years. China may be forced to buy more refined material from overseas or draw"&amp;" down on stocks. https://t.co/2qQUHJZqpx")</f>
        <v>RT @kjawoogie: Las Bambas blockade affecting smelter treatment charges in China - important indicator of market tightness. Prices below $67 a tonne for only the second time in 5 years. China may be forced to buy more refined material from overseas or draw down on stocks. https://t.co/2qQUHJZqpx</v>
      </c>
      <c r="C1048" s="2" t="s">
        <v>2483</v>
      </c>
      <c r="D1048" s="1" t="s">
        <v>2481</v>
      </c>
    </row>
    <row r="1049" spans="1:4" x14ac:dyDescent="0.15">
      <c r="A1049" s="1" t="s">
        <v>2484</v>
      </c>
      <c r="B1049" s="3" t="str">
        <f ca="1">IFERROR(__xludf.DUMMYFUNCTION("GOOGLETRANSLATE(B1049,""es"",""en"")"),"RT @SignoriTita: Now what will @MartinVizcarraC do to regain his fictitious popularity? Will he put A García in prison? Will you give more money to the prostipress and Datum? Will he give the reds positions of trust? Will he put Gorriti as a mediator in t"&amp;"he BAMBAS? Will he send Keiko to the wall? Will there be another referendum?")</f>
        <v>RT @SignoriTita: Now what will @MartinVizcarraC do to regain his fictitious popularity? Will he put A García in prison? Will you give more money to the prostipress and Datum? Will he give the reds positions of trust? Will he put Gorriti as a mediator in the BAMBAS? Will he send Keiko to the wall? Will there be another referendum?</v>
      </c>
      <c r="C1049" s="2" t="s">
        <v>2485</v>
      </c>
      <c r="D1049" s="1" t="s">
        <v>2486</v>
      </c>
    </row>
    <row r="1050" spans="1:4" x14ac:dyDescent="0.15">
      <c r="A1050" s="1" t="s">
        <v>2487</v>
      </c>
      <c r="B1050" s="3" t="str">
        <f ca="1">IFERROR(__xludf.DUMMYFUNCTION("GOOGLETRANSLATE(B1050,""es"",""en"")"),"RT @patpreixens: I don't know why I keep looking at sneakers, if I don't have a single euro")</f>
        <v>RT @patpreixens: I don't know why I keep looking at sneakers, if I don't have a single euro</v>
      </c>
      <c r="C1050" s="2" t="s">
        <v>2488</v>
      </c>
      <c r="D1050" s="1" t="s">
        <v>2489</v>
      </c>
    </row>
    <row r="1051" spans="1:4" x14ac:dyDescent="0.15">
      <c r="A1051" s="1" t="s">
        <v>2110</v>
      </c>
      <c r="B1051" s="3" t="str">
        <f ca="1">IFERROR(__xludf.DUMMYFUNCTION("GOOGLETRANSLATE(B1051,""es"",""en"")"),"RT @SignoriTita: Now what will @MartinVizcarraC do to regain his fictitious popularity? Will he put A García in prison? Will you give more money to the prostipress and Datum? Will he give the reds positions of trust? Will he put Gorriti as a mediator in t"&amp;"he BAMBAS? Will he send Keiko to the wall? Will there be another referendum?")</f>
        <v>RT @SignoriTita: Now what will @MartinVizcarraC do to regain his fictitious popularity? Will he put A García in prison? Will you give more money to the prostipress and Datum? Will he give the reds positions of trust? Will he put Gorriti as a mediator in the BAMBAS? Will he send Keiko to the wall? Will there be another referendum?</v>
      </c>
      <c r="C1051" s="2" t="s">
        <v>2490</v>
      </c>
      <c r="D1051" s="1" t="s">
        <v>2491</v>
      </c>
    </row>
    <row r="1052" spans="1:4" x14ac:dyDescent="0.15">
      <c r="A1052" s="1" t="s">
        <v>2492</v>
      </c>
      <c r="B1052" s="3" t="str">
        <f ca="1">IFERROR(__xludf.DUMMYFUNCTION("GOOGLETRANSLATE(B1052,""es"",""en"")"),"Rain, any of the sneakers I wear:
\ \ \ \
  \ \ \ \
   💥 ) 💥)
  / / / /
/ / / /")</f>
        <v>Rain, any of the sneakers I wear:
\ \ \ \
  \ \ \ \
   💥 ) 💥)
  / / / /
/ / / /</v>
      </c>
      <c r="C1052" s="2" t="s">
        <v>2493</v>
      </c>
      <c r="D1052" s="1" t="s">
        <v>2494</v>
      </c>
    </row>
    <row r="1053" spans="1:4" x14ac:dyDescent="0.15">
      <c r="A1053" s="1" t="s">
        <v>2495</v>
      </c>
      <c r="B1053" s="3" t="str">
        <f ca="1">IFERROR(__xludf.DUMMYFUNCTION("GOOGLETRANSLATE(B1053,""es"",""en"")"),"RT @WrightmanAIM: #copper Operations suspended at MMG’s Las Bambas due to blockades. Las Bambas May produces around 2-3% of the world's copper. MMG wholly Chinese owned - will be interesting to see how this plays out &amp;amp; effect on copper. 
Mere threat "&amp;"of Codelco strikes last year moved Cu to $3.25 high https://t.co/JH4zOfwC2G")</f>
        <v>RT @WrightmanAIM: #copper Operations suspended at MMG’s Las Bambas due to blockades. Las Bambas May produces around 2-3% of the world's copper. MMG wholly Chinese owned - will be interesting to see how this plays out &amp;amp; effect on copper. 
Mere threat of Codelco strikes last year moved Cu to $3.25 high https://t.co/JH4zOfwC2G</v>
      </c>
      <c r="C1053" s="2" t="s">
        <v>2496</v>
      </c>
      <c r="D1053" s="1" t="s">
        <v>2497</v>
      </c>
    </row>
    <row r="1054" spans="1:4" x14ac:dyDescent="0.15">
      <c r="A1054" s="1" t="s">
        <v>2498</v>
      </c>
      <c r="B1054" s="3" t="str">
        <f ca="1">IFERROR(__xludf.DUMMYFUNCTION("GOOGLETRANSLATE(B1054,""es"",""en"")"),"RT @kjawoogie: Las Bambas blockade affecting smelter treatment charges in China - important indicator of market tightness. Prices below $67 a tonne for only the second time in 5 years. China may be forced to buy more refined material from overseas or draw"&amp;" down on stocks. https://t.co/2qQUHJZqpx")</f>
        <v>RT @kjawoogie: Las Bambas blockade affecting smelter treatment charges in China - important indicator of market tightness. Prices below $67 a tonne for only the second time in 5 years. China may be forced to buy more refined material from overseas or draw down on stocks. https://t.co/2qQUHJZqpx</v>
      </c>
      <c r="C1054" s="2" t="s">
        <v>2499</v>
      </c>
      <c r="D1054" s="1" t="s">
        <v>2500</v>
      </c>
    </row>
    <row r="1055" spans="1:4" x14ac:dyDescent="0.15">
      <c r="A1055" s="1" t="s">
        <v>2498</v>
      </c>
      <c r="B1055" s="3" t="str">
        <f ca="1">IFERROR(__xludf.DUMMYFUNCTION("GOOGLETRANSLATE(B1055,""es"",""en"")"),"RT @WrightmanAIM: #copper Operations suspended at MMG’s Las Bambas due to blockades. Las Bambas May produces around 2-3% of the world's copper. MMG wholly Chinese owned - will be interesting to see how this plays out &amp;amp; effect on copper. 
Mere threat "&amp;"of Codelco strikes last year moved Cu to $3.25 high https://t.co/JH4zOfwC2G")</f>
        <v>RT @WrightmanAIM: #copper Operations suspended at MMG’s Las Bambas due to blockades. Las Bambas May produces around 2-3% of the world's copper. MMG wholly Chinese owned - will be interesting to see how this plays out &amp;amp; effect on copper. 
Mere threat of Codelco strikes last year moved Cu to $3.25 high https://t.co/JH4zOfwC2G</v>
      </c>
      <c r="C1055" s="2" t="s">
        <v>2501</v>
      </c>
      <c r="D1055" s="1" t="s">
        <v>2500</v>
      </c>
    </row>
    <row r="1056" spans="1:4" x14ac:dyDescent="0.15">
      <c r="A1056" s="1" t="s">
        <v>2502</v>
      </c>
      <c r="B1056" s="3" t="str">
        <f ca="1">IFERROR(__xludf.DUMMYFUNCTION("GOOGLETRANSLATE(B1056,""es"",""en"")"),"RT @cenvall: From stone thrower to accidental president
VIZCARRA, INEPTITUDE AND MORAL INCAPACITY 
His past takes its toll on him and popular rejection of his terrible management grows.
FueraBambas, with his former allies, blackmails him for national use"&amp;" of the Las Bambas to Matarani corridor. Will he give in to criminals? https://t.co/NilHkQKPqk")</f>
        <v>RT @cenvall: From stone thrower to accidental president
VIZCARRA, INEPTITUDE AND MORAL INCAPACITY 
His past takes its toll on him and popular rejection of his terrible management grows.
FueraBambas, with his former allies, blackmails him for national use of the Las Bambas to Matarani corridor. Will he give in to criminals? https://t.co/NilHkQKPqk</v>
      </c>
      <c r="C1056" s="2" t="s">
        <v>2503</v>
      </c>
      <c r="D1056" s="1" t="s">
        <v>2504</v>
      </c>
    </row>
    <row r="1057" spans="1:4" x14ac:dyDescent="0.15">
      <c r="A1057" s="1" t="s">
        <v>2498</v>
      </c>
      <c r="B1057" s="3" t="str">
        <f ca="1">IFERROR(__xludf.DUMMYFUNCTION("GOOGLETRANSLATE(B1057,""es"",""en"")"),"RT @kjawoogie: Las Bambas protests spread as talks stall - BNamericas https://t.co/Wdc7dZVlrx")</f>
        <v>RT @kjawoogie: Las Bambas protests spread as talks stall - BNamericas https://t.co/Wdc7dZVlrx</v>
      </c>
      <c r="C1057" s="2" t="s">
        <v>2505</v>
      </c>
      <c r="D1057" s="1" t="s">
        <v>2506</v>
      </c>
    </row>
    <row r="1058" spans="1:4" x14ac:dyDescent="0.15">
      <c r="A1058" s="1" t="s">
        <v>2498</v>
      </c>
      <c r="B1058" s="3" t="str">
        <f ca="1">IFERROR(__xludf.DUMMYFUNCTION("GOOGLETRANSLATE(B1058,""es"",""en"")"),"RT @kjawoogie: Indigenous community that maintains blockade in Peruvian mine Las Bambas starts strike of 48 hours | AmericaEconomy | AmericaEconomy https://t.co/5BAd52GN18")</f>
        <v>RT @kjawoogie: Indigenous community that maintains blockade in Peruvian mine Las Bambas starts strike of 48 hours | AmericaEconomy | AmericaEconomy https://t.co/5BAd52GN18</v>
      </c>
      <c r="C1058" s="2" t="s">
        <v>2507</v>
      </c>
      <c r="D1058" s="1" t="s">
        <v>2506</v>
      </c>
    </row>
    <row r="1059" spans="1:4" x14ac:dyDescent="0.15">
      <c r="A1059" s="1" t="s">
        <v>2508</v>
      </c>
      <c r="B1059" s="3" t="str">
        <f ca="1">IFERROR(__xludf.DUMMYFUNCTION("GOOGLETRANSLATE(B1059,""es"",""en"")"),"RT @kjawoogie: Las Bambas blockade affecting smelter treatment charges in China - important indicator of market tightness. Prices below $67 a tonne for only the second time in 5 years. China may be forced to buy more refined material from overseas or draw"&amp;" down on stocks. https://t.co/2qQUHJZqpx")</f>
        <v>RT @kjawoogie: Las Bambas blockade affecting smelter treatment charges in China - important indicator of market tightness. Prices below $67 a tonne for only the second time in 5 years. China may be forced to buy more refined material from overseas or draw down on stocks. https://t.co/2qQUHJZqpx</v>
      </c>
      <c r="C1059" s="2" t="s">
        <v>2509</v>
      </c>
      <c r="D1059" s="1" t="s">
        <v>2510</v>
      </c>
    </row>
    <row r="1060" spans="1:4" x14ac:dyDescent="0.15">
      <c r="A1060" s="1" t="s">
        <v>2511</v>
      </c>
      <c r="B1060" s="3" t="str">
        <f ca="1">IFERROR(__xludf.DUMMYFUNCTION("GOOGLETRANSLATE(B1060,""es"",""en"")"),"RT @SignoriTita: Now what will @MartinVizcarraC do to regain his fictitious popularity? Will he put A García in prison? Will you give more money to the prostipress and Datum? Will he give the reds positions of trust? Will he put Gorriti as a mediator in t"&amp;"he BAMBAS? Will he send Keiko to the wall? Will there be another referendum?")</f>
        <v>RT @SignoriTita: Now what will @MartinVizcarraC do to regain his fictitious popularity? Will he put A García in prison? Will you give more money to the prostipress and Datum? Will he give the reds positions of trust? Will he put Gorriti as a mediator in the BAMBAS? Will he send Keiko to the wall? Will there be another referendum?</v>
      </c>
      <c r="C1060" s="2" t="s">
        <v>2512</v>
      </c>
      <c r="D1060" s="1" t="s">
        <v>2513</v>
      </c>
    </row>
    <row r="1061" spans="1:4" x14ac:dyDescent="0.15">
      <c r="A1061" s="1" t="s">
        <v>2514</v>
      </c>
      <c r="B1061" s="3" t="str">
        <f ca="1">IFERROR(__xludf.DUMMYFUNCTION("GOOGLETRANSLATE(B1061,""es"",""en"")"),"RT @kjawoogie: Las Bambas blockade affecting smelter treatment charges in China - important indicator of market tightness. Prices below $67 a tonne for only the second time in 5 years. China may be forced to buy more refined material from overseas or draw"&amp;" down on stocks. https://t.co/2qQUHJZqpx")</f>
        <v>RT @kjawoogie: Las Bambas blockade affecting smelter treatment charges in China - important indicator of market tightness. Prices below $67 a tonne for only the second time in 5 years. China may be forced to buy more refined material from overseas or draw down on stocks. https://t.co/2qQUHJZqpx</v>
      </c>
      <c r="C1061" s="2" t="s">
        <v>2515</v>
      </c>
      <c r="D1061" s="1" t="s">
        <v>2513</v>
      </c>
    </row>
    <row r="1062" spans="1:4" x14ac:dyDescent="0.15">
      <c r="A1062" s="1" t="s">
        <v>2516</v>
      </c>
      <c r="B1062" s="3" t="str">
        <f ca="1">IFERROR(__xludf.DUMMYFUNCTION("GOOGLETRANSLATE(B1062,""es"",""en"")"),"RT @AlbertoBelaunde: Productive meeting of the Liberal Caucus with the premier. Among the topics discussed: anti-corruption fight, political reform, reconstruction, fight against gender violence, and the situation in Las Bambas.
Our confidence in his cab"&amp;"inet will be reflected in our vote this Thursday. https://t.co/AYidU7m2ZP")</f>
        <v>RT @AlbertoBelaunde: Productive meeting of the Liberal Caucus with the premier. Among the topics discussed: anti-corruption fight, political reform, reconstruction, fight against gender violence, and the situation in Las Bambas.
Our confidence in his cabinet will be reflected in our vote this Thursday. https://t.co/AYidU7m2ZP</v>
      </c>
      <c r="C1062" s="2" t="s">
        <v>2517</v>
      </c>
      <c r="D1062" s="1" t="s">
        <v>2518</v>
      </c>
    </row>
    <row r="1063" spans="1:4" x14ac:dyDescent="0.15">
      <c r="A1063" s="1" t="s">
        <v>2519</v>
      </c>
      <c r="B1063" s="3" t="str">
        <f ca="1">IFERROR(__xludf.DUMMYFUNCTION("GOOGLETRANSLATE(B1063,""es"",""en"")"),"RT @WrightmanAIM: #copper Operations suspended at MMG’s Las Bambas due to blockades. Las Bambas May produces around 2-3% of the world's copper. MMG wholly Chinese owned - will be interesting to see how this plays out &amp;amp; effect on copper. 
Mere threat "&amp;"of Codelco strikes last year moved Cu to $3.25 high https://t.co/JH4zOfwC2G")</f>
        <v>RT @WrightmanAIM: #copper Operations suspended at MMG’s Las Bambas due to blockades. Las Bambas May produces around 2-3% of the world's copper. MMG wholly Chinese owned - will be interesting to see how this plays out &amp;amp; effect on copper. 
Mere threat of Codelco strikes last year moved Cu to $3.25 high https://t.co/JH4zOfwC2G</v>
      </c>
      <c r="C1063" s="2" t="s">
        <v>2520</v>
      </c>
      <c r="D1063" s="1" t="s">
        <v>2521</v>
      </c>
    </row>
    <row r="1064" spans="1:4" x14ac:dyDescent="0.15">
      <c r="A1064" s="1" t="s">
        <v>2522</v>
      </c>
      <c r="B1064" s="3" t="str">
        <f ca="1">IFERROR(__xludf.DUMMYFUNCTION("GOOGLETRANSLATE(B1064,""es"",""en"")"),"Las Bambas: State willing to pay more than S/ 300 million to communities https://t.co/i0cgc6JbcL")</f>
        <v>Las Bambas: State willing to pay more than S/ 300 million to communities https://t.co/i0cgc6JbcL</v>
      </c>
      <c r="C1064" s="2" t="s">
        <v>2523</v>
      </c>
      <c r="D1064" s="1" t="s">
        <v>2524</v>
      </c>
    </row>
    <row r="1065" spans="1:4" x14ac:dyDescent="0.15">
      <c r="A1065" s="1" t="s">
        <v>1856</v>
      </c>
      <c r="B1065" s="3" t="str">
        <f ca="1">IFERROR(__xludf.DUMMYFUNCTION("GOOGLETRANSLATE(B1065,""es"",""en"")"),"@IuliusAlfonsus @MarthaChavezC https://t.co/0v3KTi38OT")</f>
        <v>@IuliusAlfonsus @MarthaChavezC https://t.co/0v3KTi38OT</v>
      </c>
      <c r="C1065" s="2" t="s">
        <v>2525</v>
      </c>
      <c r="D1065" s="1" t="s">
        <v>2526</v>
      </c>
    </row>
    <row r="1066" spans="1:4" x14ac:dyDescent="0.15">
      <c r="A1066" s="1" t="s">
        <v>2527</v>
      </c>
      <c r="B1066" s="3" t="str">
        <f ca="1">IFERROR(__xludf.DUMMYFUNCTION("GOOGLETRANSLATE(B1066,""es"",""en"")"),"I am the most shabby with my mega white socks, my black sneakers and my leopard blanket on the train and in life")</f>
        <v>I am the most shabby with my mega white socks, my black sneakers and my leopard blanket on the train and in life</v>
      </c>
      <c r="C1066" s="2" t="s">
        <v>2528</v>
      </c>
      <c r="D1066" s="1" t="s">
        <v>2529</v>
      </c>
    </row>
    <row r="1067" spans="1:4" x14ac:dyDescent="0.15">
      <c r="A1067" s="1" t="s">
        <v>2522</v>
      </c>
      <c r="B1067" s="3" t="str">
        <f ca="1">IFERROR(__xludf.DUMMYFUNCTION("GOOGLETRANSLATE(B1067,""es"",""en"")"),"The government knew that it had a debt with the communities of Las Bambas. Why do I wait so long to recognize?
Now it offers 300 million.
Wasn't it the right thing to do to pay when the problem started?
That's why they are called proven INCOMPETENCE.")</f>
        <v>The government knew that it had a debt with the communities of Las Bambas. Why do I wait so long to recognize?
Now it offers 300 million.
Wasn't it the right thing to do to pay when the problem started?
That's why they are called proven INCOMPETENCE.</v>
      </c>
      <c r="C1067" s="2" t="s">
        <v>2530</v>
      </c>
      <c r="D1067" s="1" t="s">
        <v>2531</v>
      </c>
    </row>
    <row r="1068" spans="1:4" x14ac:dyDescent="0.15">
      <c r="A1068" s="1" t="s">
        <v>2532</v>
      </c>
      <c r="B1068" s="3" t="str">
        <f ca="1">IFERROR(__xludf.DUMMYFUNCTION("GOOGLETRANSLATE(B1068,""es"",""en"")"),"RT @kjawoogie: Las Bambas blockade affecting smelter treatment charges in China - important indicator of market tightness. Prices below $67 a tonne for only the second time in 5 years. China may be forced to buy more refined material from overseas or draw"&amp;" down on stocks. https://t.co/2qQUHJZqpx")</f>
        <v>RT @kjawoogie: Las Bambas blockade affecting smelter treatment charges in China - important indicator of market tightness. Prices below $67 a tonne for only the second time in 5 years. China may be forced to buy more refined material from overseas or draw down on stocks. https://t.co/2qQUHJZqpx</v>
      </c>
      <c r="C1068" s="2" t="s">
        <v>2533</v>
      </c>
      <c r="D1068" s="1" t="s">
        <v>2534</v>
      </c>
    </row>
    <row r="1069" spans="1:4" x14ac:dyDescent="0.15">
      <c r="A1069" s="1" t="s">
        <v>2535</v>
      </c>
      <c r="B1069" s="3" t="str">
        <f ca="1">IFERROR(__xludf.DUMMYFUNCTION("GOOGLETRANSLATE(B1069,""es"",""en"")"),"RT @macarena_costa: The being and the duty to be: my column today in @diariocorreo about the lack of significant response from the president in Las Bambas. 
https://t.co/wicVj0Ek0L https://t.co/OFKjdlpplM")</f>
        <v>RT @macarena_costa: The being and the duty to be: my column today in @diariocorreo about the lack of significant response from the president in Las Bambas. 
https://t.co/wicVj0Ek0L https://t.co/OFKjdlpplM</v>
      </c>
      <c r="C1069" s="2" t="s">
        <v>2536</v>
      </c>
      <c r="D1069" s="1" t="s">
        <v>2537</v>
      </c>
    </row>
    <row r="1070" spans="1:4" x14ac:dyDescent="0.15">
      <c r="A1070" s="1" t="s">
        <v>2535</v>
      </c>
      <c r="B1070" s="3" t="str">
        <f ca="1">IFERROR(__xludf.DUMMYFUNCTION("GOOGLETRANSLATE(B1070,""es"",""en"")"),"RT @MijaelGLP: #LasBambas: What would happen if the communities were owners of the wealth of the subsoil on which they live? The State would only have to regulate. And if any mining company wants to buy their land, let them make the poor rich. That is tru"&amp;"ly free market.
https://t.co/Uf2OXFtmLa")</f>
        <v>RT @MijaelGLP: #LasBambas: What would happen if the communities were owners of the wealth of the subsoil on which they live? The State would only have to regulate. And if any mining company wants to buy their land, let them make the poor rich. That is truly free market.
https://t.co/Uf2OXFtmLa</v>
      </c>
      <c r="C1070" s="2" t="s">
        <v>2538</v>
      </c>
      <c r="D1070" s="1" t="s">
        <v>2537</v>
      </c>
    </row>
    <row r="1071" spans="1:4" x14ac:dyDescent="0.15">
      <c r="A1071" s="1" t="s">
        <v>2539</v>
      </c>
      <c r="B1071" s="3" t="str">
        <f ca="1">IFERROR(__xludf.DUMMYFUNCTION("GOOGLETRANSLATE(B1071,""es"",""en"")"),"RT @SignoriTita: Now what will @MartinVizcarraC do to regain his fictitious popularity? Will he put A García in prison? Will you give more money to the prostipress and Datum? Will he give the reds positions of trust? Will he put Gorriti as a mediator in t"&amp;"he BAMBAS? Will he send Keiko to the wall? Will there be another referendum?")</f>
        <v>RT @SignoriTita: Now what will @MartinVizcarraC do to regain his fictitious popularity? Will he put A García in prison? Will you give more money to the prostipress and Datum? Will he give the reds positions of trust? Will he put Gorriti as a mediator in the BAMBAS? Will he send Keiko to the wall? Will there be another referendum?</v>
      </c>
      <c r="C1071" s="2" t="s">
        <v>2540</v>
      </c>
      <c r="D1071" s="1" t="s">
        <v>2541</v>
      </c>
    </row>
    <row r="1072" spans="1:4" x14ac:dyDescent="0.15">
      <c r="A1072" s="1" t="s">
        <v>2542</v>
      </c>
      <c r="B1072" s="3" t="str">
        <f ca="1">IFERROR(__xludf.DUMMYFUNCTION("GOOGLETRANSLATE(B1072,""es"",""en"")"),"Chumbivilcas last night broke off the dialogue with the Las Bambas mining company https://t.co/2w8JWBkbwV https://t.co/vQGSJU37lh")</f>
        <v>Chumbivilcas last night broke off the dialogue with the Las Bambas mining company https://t.co/2w8JWBkbwV https://t.co/vQGSJU37lh</v>
      </c>
      <c r="C1072" s="2" t="s">
        <v>2543</v>
      </c>
      <c r="D1072" s="1" t="s">
        <v>2544</v>
      </c>
    </row>
    <row r="1073" spans="1:4" x14ac:dyDescent="0.15">
      <c r="A1073" s="1" t="s">
        <v>1955</v>
      </c>
      <c r="B1073" s="3" t="str">
        <f ca="1">IFERROR(__xludf.DUMMYFUNCTION("GOOGLETRANSLATE(B1073,""es"",""en"")"),"Martín Vizcarra assures that he will go to the conflict zone for Las Bambas 'when necessary' ► https://t.co/fY8g5537W5 https://t.co/kZRPjInbRo")</f>
        <v>Martín Vizcarra assures that he will go to the conflict zone for Las Bambas 'when necessary' ► https://t.co/fY8g5537W5 https://t.co/kZRPjInbRo</v>
      </c>
      <c r="C1073" s="2" t="s">
        <v>2545</v>
      </c>
      <c r="D1073" s="1" t="s">
        <v>2546</v>
      </c>
    </row>
    <row r="1074" spans="1:4" x14ac:dyDescent="0.15">
      <c r="A1074" s="1" t="s">
        <v>2547</v>
      </c>
      <c r="B1074" s="3" t="str">
        <f ca="1">IFERROR(__xludf.DUMMYFUNCTION("GOOGLETRANSLATE(B1074,""es"",""en"")"),"HEY BAD PARIDO VIZCARRATA 
BECAUSE YOU DON'T WORRY ABOUT SOLVING THE PROBLEM OF THE SNEAKERS
SINCE WE HAVE PEOPLE AND CHILDREN IN EXTREME POVERTY 
THE SAME IN PUNO, THE HEIGHTS OF CUZCO, IN HUARAZ, ETC. 
OTHERWISE WE WILL REQUEST YOUR VACANCY FOR INCAPAZ "&amp;"FUCK https://t.co/xhtZfB3lZ5")</f>
        <v>HEY BAD PARIDO VIZCARRATA 
BECAUSE YOU DON'T WORRY ABOUT SOLVING THE PROBLEM OF THE SNEAKERS
SINCE WE HAVE PEOPLE AND CHILDREN IN EXTREME POVERTY 
THE SAME IN PUNO, THE HEIGHTS OF CUZCO, IN HUARAZ, ETC. 
OTHERWISE WE WILL REQUEST YOUR VACANCY FOR INCAPAZ FUCK https://t.co/xhtZfB3lZ5</v>
      </c>
      <c r="C1074" s="2" t="s">
        <v>2548</v>
      </c>
      <c r="D1074" s="1" t="s">
        <v>2549</v>
      </c>
    </row>
    <row r="1075" spans="1:4" x14ac:dyDescent="0.15">
      <c r="A1075" s="1" t="s">
        <v>2550</v>
      </c>
      <c r="B1075" s="3" t="str">
        <f ca="1">IFERROR(__xludf.DUMMYFUNCTION("GOOGLETRANSLATE(B1075,""es"",""en"")"),"RT @MarthaChavezC: With this Defense Report on Las Bambas, from December 2016, it is shown that this government was already aware of the origin of today's conflict and did little or nothing. It also reveals the inefficiency of the humalist minister Pulgar"&amp;" Vidal (exported as a guru to continue growing). https://t.co/a4jTGV198K")</f>
        <v>RT @MarthaChavezC: With this Defense Report on Las Bambas, from December 2016, it is shown that this government was already aware of the origin of today's conflict and did little or nothing. It also reveals the inefficiency of the humalist minister Pulgar Vidal (exported as a guru to continue growing). https://t.co/a4jTGV198K</v>
      </c>
      <c r="C1075" s="2" t="s">
        <v>2551</v>
      </c>
      <c r="D1075" s="1" t="s">
        <v>2552</v>
      </c>
    </row>
    <row r="1076" spans="1:4" x14ac:dyDescent="0.15">
      <c r="A1076" s="1" t="s">
        <v>2553</v>
      </c>
      <c r="B1076" s="3" t="str">
        <f ca="1">IFERROR(__xludf.DUMMYFUNCTION("GOOGLETRANSLATE(B1076,""es"",""en"")"),"Am I the only one who keeps half-destroyed sneakers for rainy days because all the new ones I buy slip?")</f>
        <v>Am I the only one who keeps half-destroyed sneakers for rainy days because all the new ones I buy slip?</v>
      </c>
      <c r="C1076" s="2" t="s">
        <v>2554</v>
      </c>
      <c r="D1076" s="1" t="s">
        <v>2555</v>
      </c>
    </row>
    <row r="1077" spans="1:4" x14ac:dyDescent="0.15">
      <c r="A1077" s="1" t="s">
        <v>2350</v>
      </c>
      <c r="B1077" s="3" t="str">
        <f ca="1">IFERROR(__xludf.DUMMYFUNCTION("GOOGLETRANSLATE(B1077,""es"",""en"")"),"RT @miningcomau: #Copper prices have eased on news of the Peruvian government offering a deal to protesters at the Las Bambas mine, along with a strengthening USD
https://t.co/0OOZv44jJ8")</f>
        <v>RT @miningcomau: #Copper prices have eased on news of the Peruvian government offering a deal to protesters at the Las Bambas mine, along with a strengthening USD
https://t.co/0OOZv44jJ8</v>
      </c>
      <c r="C1077" s="2" t="s">
        <v>2556</v>
      </c>
      <c r="D1077" s="1" t="s">
        <v>2557</v>
      </c>
    </row>
    <row r="1078" spans="1:4" x14ac:dyDescent="0.15">
      <c r="A1078" s="1" t="s">
        <v>2558</v>
      </c>
      <c r="B1078" s="3" t="str">
        <f ca="1">IFERROR(__xludf.DUMMYFUNCTION("GOOGLETRANSLATE(B1078,""es"",""en"")"),"Apurímac is the epicenter of the social conflict between an indigenous community and the mining company that produces 1% of the country's gross domestic product (GDP). 
Full Note: https://t.co/JK2jFCnw23 https://t.co/92k3P7VBKL")</f>
        <v>Apurímac is the epicenter of the social conflict between an indigenous community and the mining company that produces 1% of the country's gross domestic product (GDP). 
Full Note: https://t.co/JK2jFCnw23 https://t.co/92k3P7VBKL</v>
      </c>
      <c r="C1078" s="2" t="s">
        <v>2559</v>
      </c>
      <c r="D1078" s="1" t="s">
        <v>2560</v>
      </c>
    </row>
    <row r="1079" spans="1:4" x14ac:dyDescent="0.15">
      <c r="A1079" s="1" t="s">
        <v>2561</v>
      </c>
      <c r="B1079" s="3" t="str">
        <f ca="1">IFERROR(__xludf.DUMMYFUNCTION("GOOGLETRANSLATE(B1079,""es"",""en"")"),"RT @Hispantv: Apurímac is the epicenter of the social conflict between an indigenous community and the mining community that produces 1% of the country's gross domestic product (GDP). 
Full Note: https://t.co/JK2jFCnw23 https://t.co/92k3P7VBKL")</f>
        <v>RT @Hispantv: Apurímac is the epicenter of the social conflict between an indigenous community and the mining community that produces 1% of the country's gross domestic product (GDP). 
Full Note: https://t.co/JK2jFCnw23 https://t.co/92k3P7VBKL</v>
      </c>
      <c r="C1079" s="2" t="s">
        <v>2562</v>
      </c>
      <c r="D1079" s="1" t="s">
        <v>2563</v>
      </c>
    </row>
    <row r="1080" spans="1:4" x14ac:dyDescent="0.15">
      <c r="A1080" s="1" t="s">
        <v>2564</v>
      </c>
      <c r="B1080" s="3" t="str">
        <f ca="1">IFERROR(__xludf.DUMMYFUNCTION("GOOGLETRANSLATE(B1080,""es"",""en"")"),"@Humbertolaechea You stayed in the Velasco era....the mining companies steal our taxes. Peru is a tax haven for mining, or do you not know that? Find out how much Las Bambas produced last year and how much tax they paid. An ounce of copper is above $3.")</f>
        <v>@Humbertolaechea You stayed in the Velasco era....the mining companies steal our taxes. Peru is a tax haven for mining, or do you not know that? Find out how much Las Bambas produced last year and how much tax they paid. An ounce of copper is above $3.</v>
      </c>
      <c r="C1080" s="2" t="s">
        <v>2565</v>
      </c>
      <c r="D1080" s="1" t="s">
        <v>2566</v>
      </c>
    </row>
    <row r="1081" spans="1:4" x14ac:dyDescent="0.15">
      <c r="A1081" s="1" t="s">
        <v>2567</v>
      </c>
      <c r="B1081" s="3" t="str">
        <f ca="1">IFERROR(__xludf.DUMMYFUNCTION("GOOGLETRANSLATE(B1081,""es"",""en"")"),"@xMiiigueel @skkkben Try to sell some broken sneakers for €80 and tell me if the price is affordable for the customer's ATTENTION")</f>
        <v>@xMiiigueel @skkkben Try to sell some broken sneakers for €80 and tell me if the price is affordable for the customer's ATTENTION</v>
      </c>
      <c r="C1081" s="2" t="s">
        <v>2568</v>
      </c>
      <c r="D1081" s="1" t="s">
        <v>2566</v>
      </c>
    </row>
    <row r="1082" spans="1:4" x14ac:dyDescent="0.15">
      <c r="A1082" s="1" t="s">
        <v>2118</v>
      </c>
      <c r="B1082" s="3" t="str">
        <f ca="1">IFERROR(__xludf.DUMMYFUNCTION("GOOGLETRANSLATE(B1082,""es"",""en"")"),"Community members reported that police officers wanted to break the blockade last night and arrest several of their leaders.
https://t.co/OcDrwJ3tDi")</f>
        <v>Community members reported that police officers wanted to break the blockade last night and arrest several of their leaders.
https://t.co/OcDrwJ3tDi</v>
      </c>
      <c r="C1082" s="2" t="s">
        <v>2569</v>
      </c>
      <c r="D1082" s="1" t="s">
        <v>2570</v>
      </c>
    </row>
    <row r="1083" spans="1:4" x14ac:dyDescent="0.15">
      <c r="A1083" s="1" t="s">
        <v>2571</v>
      </c>
      <c r="B1083" s="3" t="str">
        <f ca="1">IFERROR(__xludf.DUMMYFUNCTION("GOOGLETRANSLATE(B1083,""es"",""en"")"),"I feel just as feminine in my metal camis, my sneakers all ripped, as the ones that are toe-to-toe and heels.")</f>
        <v>I feel just as feminine in my metal camis, my sneakers all ripped, as the ones that are toe-to-toe and heels.</v>
      </c>
      <c r="C1083" s="2" t="s">
        <v>2572</v>
      </c>
      <c r="D1083" s="1" t="s">
        <v>2573</v>
      </c>
    </row>
    <row r="1084" spans="1:4" x14ac:dyDescent="0.15">
      <c r="A1084" s="1" t="s">
        <v>2574</v>
      </c>
      <c r="B1084" s="3" t="str">
        <f ca="1">IFERROR(__xludf.DUMMYFUNCTION("GOOGLETRANSLATE(B1084,""es"",""en"")"),"RT @Ojo_Publico: #LoÚltimo https://t.co/ncVhVcNTk2 prepared a list of the main protagonists of the current dispute in #Apurímac over the #LasBambas mining project. https://t.co/hJ444gzOw5")</f>
        <v>RT @Ojo_Publico: #LoÚltimo https://t.co/ncVhVcNTk2 prepared a list of the main protagonists of the current dispute in #Apurímac over the #LasBambas mining project. https://t.co/hJ444gzOw5</v>
      </c>
      <c r="C1084" s="2" t="s">
        <v>2575</v>
      </c>
      <c r="D1084" s="1" t="s">
        <v>2576</v>
      </c>
    </row>
    <row r="1085" spans="1:4" x14ac:dyDescent="0.15">
      <c r="A1085" s="1" t="s">
        <v>2577</v>
      </c>
      <c r="B1085" s="3" t="str">
        <f ca="1">IFERROR(__xludf.DUMMYFUNCTION("GOOGLETRANSLATE(B1085,""es"",""en"")"),"RT @rondonaza: The government knew that it had a debt with the communities of Las Bambas. Why do I wait so long to recognize?
Now it offers 300 million.
Wasn't it the right thing to do to pay when the problem started?
That's why they are called proven INC"&amp;"OMPETENCE.")</f>
        <v>RT @rondonaza: The government knew that it had a debt with the communities of Las Bambas. Why do I wait so long to recognize?
Now it offers 300 million.
Wasn't it the right thing to do to pay when the problem started?
That's why they are called proven INCOMPETENCE.</v>
      </c>
      <c r="C1085" s="2" t="s">
        <v>2578</v>
      </c>
      <c r="D1085" s="1" t="s">
        <v>2576</v>
      </c>
    </row>
    <row r="1086" spans="1:4" x14ac:dyDescent="0.15">
      <c r="A1086" s="1" t="s">
        <v>2579</v>
      </c>
      <c r="B1086" s="3" t="str">
        <f ca="1">IFERROR(__xludf.DUMMYFUNCTION("GOOGLETRANSLATE(B1086,""es"",""en"")"),"Peruvian executive in crisis due to social conflict in Las Bambas https://t.co/9uiNfv4J8w via @YouTube, as always these oligarch presidents, never comply with the agreements and then, they want the people not to act with violence, like violence It is not "&amp;"the greedy oligarchs!!!")</f>
        <v>Peruvian executive in crisis due to social conflict in Las Bambas https://t.co/9uiNfv4J8w via @YouTube, as always these oligarch presidents, never comply with the agreements and then, they want the people not to act with violence, like violence It is not the greedy oligarchs!!!</v>
      </c>
      <c r="C1086" s="2" t="s">
        <v>2580</v>
      </c>
      <c r="D1086" s="1" t="s">
        <v>2581</v>
      </c>
    </row>
    <row r="1087" spans="1:4" x14ac:dyDescent="0.15">
      <c r="A1087" s="1" t="s">
        <v>2582</v>
      </c>
      <c r="B1087" s="3" t="str">
        <f ca="1">IFERROR(__xludf.DUMMYFUNCTION("GOOGLETRANSLATE(B1087,""es"",""en"")"),"I want some sneakers but the AirMax 95 look bad on me and the M2K I think they wouldn't look good on me either. 
any suggestion")</f>
        <v>I want some sneakers but the AirMax 95 look bad on me and the M2K I think they wouldn't look good on me either. 
any suggestion</v>
      </c>
      <c r="C1087" s="2" t="s">
        <v>2583</v>
      </c>
      <c r="D1087" s="1" t="s">
        <v>2584</v>
      </c>
    </row>
    <row r="1088" spans="1:4" x14ac:dyDescent="0.15">
      <c r="A1088" s="1" t="s">
        <v>2585</v>
      </c>
      <c r="B1088" s="3" t="str">
        <f ca="1">IFERROR(__xludf.DUMMYFUNCTION("GOOGLETRANSLATE(B1088,""es"",""en"")"),"RT @eudmed: Given this type of waste, the question is worth asking if it is moral to pay taxes to an expropriating, populist and corrupt State that is clearly giving away the money of all Peruvians (Talara, Odebrecht and now, Las Bambas, among many others"&amp;" ). https://t.co/YZkI3R3bVN")</f>
        <v>RT @eudmed: Given this type of waste, the question is worth asking if it is moral to pay taxes to an expropriating, populist and corrupt State that is clearly giving away the money of all Peruvians (Talara, Odebrecht and now, Las Bambas, among many others ). https://t.co/YZkI3R3bVN</v>
      </c>
      <c r="C1088" s="2" t="s">
        <v>2586</v>
      </c>
      <c r="D1088" s="1" t="s">
        <v>2587</v>
      </c>
    </row>
    <row r="1089" spans="1:4" x14ac:dyDescent="0.15">
      <c r="A1089" s="1" t="s">
        <v>2588</v>
      </c>
      <c r="B1089" s="3" t="str">
        <f ca="1">IFERROR(__xludf.DUMMYFUNCTION("GOOGLETRANSLATE(B1089,""es"",""en"")"),"RT @WrightmanAIM: #copper Operations suspended at MMG’s Las Bambas due to blockades. Las Bambas May produces around 2-3% of the world's copper. MMG wholly Chinese owned - will be interesting to see how this plays out &amp;amp; effect on copper. 
Mere threat "&amp;"of Codelco strikes last year moved Cu to $3.25 high https://t.co/JH4zOfwC2G")</f>
        <v>RT @WrightmanAIM: #copper Operations suspended at MMG’s Las Bambas due to blockades. Las Bambas May produces around 2-3% of the world's copper. MMG wholly Chinese owned - will be interesting to see how this plays out &amp;amp; effect on copper. 
Mere threat of Codelco strikes last year moved Cu to $3.25 high https://t.co/JH4zOfwC2G</v>
      </c>
      <c r="C1089" s="2" t="s">
        <v>2589</v>
      </c>
      <c r="D1089" s="1" t="s">
        <v>2590</v>
      </c>
    </row>
    <row r="1090" spans="1:4" x14ac:dyDescent="0.15">
      <c r="A1090" s="1" t="s">
        <v>2591</v>
      </c>
      <c r="B1090" s="3" t="str">
        <f ca="1">IFERROR(__xludf.DUMMYFUNCTION("GOOGLETRANSLATE(B1090,""es"",""en"")"),"@saezitus Well it will be for sneakers huh... Hahahaha the air max 1, the 720 or the air max dia. (if you get horny now, then the 98) but the Air Force fits with everything 🤠")</f>
        <v>@saezitus Well it will be for sneakers huh... Hahahaha the air max 1, the 720 or the air max dia. (if you get horny now, then the 98) but the Air Force fits with everything 🤠</v>
      </c>
      <c r="C1090" s="2" t="s">
        <v>2592</v>
      </c>
      <c r="D1090" s="1" t="s">
        <v>2593</v>
      </c>
    </row>
    <row r="1091" spans="1:4" x14ac:dyDescent="0.15">
      <c r="A1091" s="1" t="s">
        <v>2594</v>
      </c>
      <c r="B1091" s="3" t="str">
        <f ca="1">IFERROR(__xludf.DUMMYFUNCTION("GOOGLETRANSLATE(B1091,""es"",""en"")"),"Peruvian executive in crisis due to social conflict in Las Bambas https://t.co/uK5IyKmGL5 https://t.co/KGhzcfekd2")</f>
        <v>Peruvian executive in crisis due to social conflict in Las Bambas https://t.co/uK5IyKmGL5 https://t.co/KGhzcfekd2</v>
      </c>
      <c r="C1091" s="2" t="s">
        <v>2595</v>
      </c>
      <c r="D1091" s="1" t="s">
        <v>2596</v>
      </c>
    </row>
    <row r="1092" spans="1:4" x14ac:dyDescent="0.15">
      <c r="A1092" s="1" t="s">
        <v>2597</v>
      </c>
      <c r="B1092" s="3" t="str">
        <f ca="1">IFERROR(__xludf.DUMMYFUNCTION("GOOGLETRANSLATE(B1092,""es"",""en"")"),"#Peru: #peasants #protest against the Las Bambas mining company and demand the release of advisors to start dialogue https://t.co/I9GFQiRqBk")</f>
        <v>#Peru: #peasants #protest against the Las Bambas mining company and demand the release of advisors to start dialogue https://t.co/I9GFQiRqBk</v>
      </c>
      <c r="C1092" s="2" t="s">
        <v>2598</v>
      </c>
      <c r="D1092" s="1" t="s">
        <v>2599</v>
      </c>
    </row>
    <row r="1093" spans="1:4" x14ac:dyDescent="0.15">
      <c r="A1093" s="1" t="s">
        <v>2230</v>
      </c>
      <c r="B1093" s="3" t="str">
        <f ca="1">IFERROR(__xludf.DUMMYFUNCTION("GOOGLETRANSLATE(B1093,""es"",""en"")"),"Aduviri threatens a strike in support of Las Bambas. While the government's ineptitude in solving this problem continues, while the Chinese mining company also pretends to be Swedish, a major riot is organized throughout the south. Be careful... https://t"&amp;".co/AGIkVqYMax")</f>
        <v>Aduviri threatens a strike in support of Las Bambas. While the government's ineptitude in solving this problem continues, while the Chinese mining company also pretends to be Swedish, a major riot is organized throughout the south. Be careful... https://t.co/AGIkVqYMax</v>
      </c>
      <c r="C1093" s="2" t="s">
        <v>2600</v>
      </c>
      <c r="D1093" s="1" t="s">
        <v>2601</v>
      </c>
    </row>
    <row r="1094" spans="1:4" x14ac:dyDescent="0.15">
      <c r="A1094" s="1" t="s">
        <v>2602</v>
      </c>
      <c r="B1094" s="3" t="str">
        <f ca="1">IFERROR(__xludf.DUMMYFUNCTION("GOOGLETRANSLATE(B1094,""es"",""en"")"),"@JuanSheput @vozdelatierra @RPPNoticias Interpellation and censure of the Minister of Transport and Communications. Also, to the Ministers of the Environment, Health and Energy and Mines for their terrible performance in the “Las Bambas” conflict. The pro"&amp;"blem is that there are no congressmen who request it. The people will censure at the polls.")</f>
        <v>@JuanSheput @vozdelatierra @RPPNoticias Interpellation and censure of the Minister of Transport and Communications. Also, to the Ministers of the Environment, Health and Energy and Mines for their terrible performance in the “Las Bambas” conflict. The problem is that there are no congressmen who request it. The people will censure at the polls.</v>
      </c>
      <c r="C1094" s="2" t="s">
        <v>2603</v>
      </c>
      <c r="D1094" s="1" t="s">
        <v>2604</v>
      </c>
    </row>
    <row r="1095" spans="1:4" x14ac:dyDescent="0.15">
      <c r="A1095" s="1" t="s">
        <v>2602</v>
      </c>
      <c r="B1095" s="3" t="str">
        <f ca="1">IFERROR(__xludf.DUMMYFUNCTION("GOOGLETRANSLATE(B1095,""es"",""en"")"),"RT @SegundoMattaC: @JuanSheput @vozdelatierra @RPPNoticias Interpellation and censure of the Minister of Transport and Communications. Also, to the Ministers of the Environment, Health and Energy and Mines for their terrible performance in the “Las Bambas"&amp;"” conflict. The problem is that there are no congressmen who request it. The people will censure at the polls.")</f>
        <v>RT @SegundoMattaC: @JuanSheput @vozdelatierra @RPPNoticias Interpellation and censure of the Minister of Transport and Communications. Also, to the Ministers of the Environment, Health and Energy and Mines for their terrible performance in the “Las Bambas” conflict. The problem is that there are no congressmen who request it. The people will censure at the polls.</v>
      </c>
      <c r="C1095" s="2" t="s">
        <v>2605</v>
      </c>
      <c r="D1095" s="1" t="s">
        <v>2604</v>
      </c>
    </row>
    <row r="1096" spans="1:4" x14ac:dyDescent="0.15">
      <c r="A1096" s="1" t="s">
        <v>16</v>
      </c>
      <c r="B1096" s="3" t="str">
        <f ca="1">IFERROR(__xludf.DUMMYFUNCTION("GOOGLETRANSLATE(B1096,""es"",""en"")"),"RT @Plinio2009: Aduviri threatens a strike in support of Las Bambas. While the government's ineptitude in solving this problem continues, while the Chinese mining company also pretends to be Swedish, a major riot is organized throughout the south. Be care"&amp;"ful... https://t.co/AGIkVqYMax")</f>
        <v>RT @Plinio2009: Aduviri threatens a strike in support of Las Bambas. While the government's ineptitude in solving this problem continues, while the Chinese mining company also pretends to be Swedish, a major riot is organized throughout the south. Be careful... https://t.co/AGIkVqYMax</v>
      </c>
      <c r="C1096" s="2" t="s">
        <v>2606</v>
      </c>
      <c r="D1096" s="1" t="s">
        <v>2604</v>
      </c>
    </row>
    <row r="1097" spans="1:4" x14ac:dyDescent="0.15">
      <c r="A1097" s="1" t="s">
        <v>1250</v>
      </c>
      <c r="B1097" s="3" t="str">
        <f ca="1">IFERROR(__xludf.DUMMYFUNCTION("GOOGLETRANSLATE(B1097,""es"",""en"")"),"RT @Plinio2009: Aduviri threatens a strike in support of Las Bambas. While the government's ineptitude in solving this problem continues, while the Chinese mining company also pretends to be Swedish, a major riot is organized throughout the south. Be care"&amp;"ful... https://t.co/AGIkVqYMax")</f>
        <v>RT @Plinio2009: Aduviri threatens a strike in support of Las Bambas. While the government's ineptitude in solving this problem continues, while the Chinese mining company also pretends to be Swedish, a major riot is organized throughout the south. Be careful... https://t.co/AGIkVqYMax</v>
      </c>
      <c r="C1097" s="2" t="s">
        <v>2607</v>
      </c>
      <c r="D1097" s="1" t="s">
        <v>2608</v>
      </c>
    </row>
    <row r="1098" spans="1:4" x14ac:dyDescent="0.15">
      <c r="A1098" s="1" t="s">
        <v>2609</v>
      </c>
      <c r="B1098" s="3" t="str">
        <f ca="1">IFERROR(__xludf.DUMMYFUNCTION("GOOGLETRANSLATE(B1098,""es"",""en"")"),"RT @VisitBCN_ES: Put on your sneakers… and run! Explore Barcelona at the pace of a “runner” with our most sporty routes 🏃🏻‍♂️🏃🏻‍♀️
https://t.co/qCai4UmOKs https://t.co/K8D9GKl01C")</f>
        <v>RT @VisitBCN_ES: Put on your sneakers… and run! Explore Barcelona at the pace of a “runner” with our most sporty routes 🏃🏻‍♂️🏃🏻‍♀️
https://t.co/qCai4UmOKs https://t.co/K8D9GKl01C</v>
      </c>
      <c r="C1098" s="2" t="s">
        <v>2610</v>
      </c>
      <c r="D1098" s="1" t="s">
        <v>2608</v>
      </c>
    </row>
    <row r="1099" spans="1:4" x14ac:dyDescent="0.15">
      <c r="A1099" s="1" t="s">
        <v>2611</v>
      </c>
      <c r="B1099" s="3" t="str">
        <f ca="1">IFERROR(__xludf.DUMMYFUNCTION("GOOGLETRANSLATE(B1099,""es"",""en"")"),"RT @MijaelGLP: #LasBambas: What would happen if the communities were owners of the wealth of the subsoil on which they live? The State would only have to regulate. And if any mining company wants to buy their land, let them make the poor rich. That is tru"&amp;"ly free market.
https://t.co/Uf2OXFtmLa")</f>
        <v>RT @MijaelGLP: #LasBambas: What would happen if the communities were owners of the wealth of the subsoil on which they live? The State would only have to regulate. And if any mining company wants to buy their land, let them make the poor rich. That is truly free market.
https://t.co/Uf2OXFtmLa</v>
      </c>
      <c r="C1099" s="2" t="s">
        <v>2612</v>
      </c>
      <c r="D1099" s="1" t="s">
        <v>2613</v>
      </c>
    </row>
    <row r="1100" spans="1:4" x14ac:dyDescent="0.15">
      <c r="A1100" s="1" t="s">
        <v>631</v>
      </c>
      <c r="B1100" s="3" t="str">
        <f ca="1">IFERROR(__xludf.DUMMYFUNCTION("GOOGLETRANSLATE(B1100,""es"",""en"")"),"""The mediation was timely, immediately appreciated by the communities, accepted by the mining transnational and delayed but finally accepted by the Executive."" By Isaac Humala https://t.co/KlfXHWwBEH #LasBambas @presidenciaperu @congresoperu @Poder_Judi"&amp;"cial_")</f>
        <v>"The mediation was timely, immediately appreciated by the communities, accepted by the mining transnational and delayed but finally accepted by the Executive." By Isaac Humala https://t.co/KlfXHWwBEH #LasBambas @presidenciaperu @congresoperu @Poder_Judicial_</v>
      </c>
      <c r="C1100" s="2" t="s">
        <v>2614</v>
      </c>
      <c r="D1100" s="1" t="s">
        <v>2613</v>
      </c>
    </row>
    <row r="1101" spans="1:4" x14ac:dyDescent="0.15">
      <c r="A1101" s="1" t="s">
        <v>2615</v>
      </c>
      <c r="B1101" s="3" t="str">
        <f ca="1">IFERROR(__xludf.DUMMYFUNCTION("GOOGLETRANSLATE(B1101,""es"",""en"")"),"Peru - Las Bambas: Fuerabamba demands the release of imprisoned advisors to resume dialogue https://t.co/oUdHd0mufC")</f>
        <v>Peru - Las Bambas: Fuerabamba demands the release of imprisoned advisors to resume dialogue https://t.co/oUdHd0mufC</v>
      </c>
      <c r="C1101" s="2" t="s">
        <v>2616</v>
      </c>
      <c r="D1101" s="1" t="s">
        <v>2617</v>
      </c>
    </row>
    <row r="1102" spans="1:4" x14ac:dyDescent="0.15">
      <c r="A1102" s="1" t="s">
        <v>2618</v>
      </c>
      <c r="B1102" s="3" t="str">
        <f ca="1">IFERROR(__xludf.DUMMYFUNCTION("GOOGLETRANSLATE(B1102,""es"",""en"")"),"""The cherry on top of this indigestible cake is that ethnocacerismo and philosophies are in Las Bambas, encouraging this misgovernment. There is a lot of money at stake. What did Peru do to deserve this?""")</f>
        <v>"The cherry on top of this indigestible cake is that ethnocacerismo and philosophies are in Las Bambas, encouraging this misgovernment. There is a lot of money at stake. What did Peru do to deserve this?"</v>
      </c>
      <c r="C1102" s="2" t="s">
        <v>2619</v>
      </c>
      <c r="D1102" s="1" t="s">
        <v>2620</v>
      </c>
    </row>
    <row r="1103" spans="1:4" x14ac:dyDescent="0.15">
      <c r="A1103" s="1" t="s">
        <v>2621</v>
      </c>
      <c r="B1103" s="3" t="str">
        <f ca="1">IFERROR(__xludf.DUMMYFUNCTION("GOOGLETRANSLATE(B1103,""es"",""en"")"),"RT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1103" s="2" t="s">
        <v>2622</v>
      </c>
      <c r="D1103" s="1" t="s">
        <v>2620</v>
      </c>
    </row>
    <row r="1104" spans="1:4" x14ac:dyDescent="0.15">
      <c r="A1104" s="1" t="s">
        <v>2623</v>
      </c>
      <c r="B1104" s="3" t="str">
        <f ca="1">IFERROR(__xludf.DUMMYFUNCTION("GOOGLETRANSLATE(B1104,""es"",""en"")"),"RT @BlickpunktLA: 🇵🇪 Peru: Indigenen-Gemeinde blockiert Kupfermine ""Las Bambas"" https://t.co/9fVPEFAHMf https://t.co/QwhatxptGw")</f>
        <v>RT @BlickpunktLA: 🇵🇪 Peru: Indigenen-Gemeinde blockiert Kupfermine "Las Bambas" https://t.co/9fVPEFAHMf https://t.co/QwhatxptGw</v>
      </c>
      <c r="C1104" s="2" t="s">
        <v>2624</v>
      </c>
      <c r="D1104" s="1" t="s">
        <v>2620</v>
      </c>
    </row>
    <row r="1105" spans="1:4" x14ac:dyDescent="0.15">
      <c r="A1105" s="1" t="s">
        <v>2625</v>
      </c>
      <c r="B1105" s="3" t="str">
        <f ca="1">IFERROR(__xludf.DUMMYFUNCTION("GOOGLETRANSLATE(B1105,""es"",""en"")"),"@ocram Given the risk due to the aggressiveness of the Community members on the truck route from Bambas, as well as their complaint about the noise and dust generated by those trucks, the best thing would be to do the same as advanced countries such as Ja"&amp;"pan, the USA, etc. , these Protection Walls https://t.co/aDZ7ySppqZ")</f>
        <v>@ocram Given the risk due to the aggressiveness of the Community members on the truck route from Bambas, as well as their complaint about the noise and dust generated by those trucks, the best thing would be to do the same as advanced countries such as Japan, the USA, etc. , these Protection Walls https://t.co/aDZ7ySppqZ</v>
      </c>
      <c r="C1105" s="2" t="s">
        <v>2626</v>
      </c>
      <c r="D1105" s="1" t="s">
        <v>2627</v>
      </c>
    </row>
    <row r="1106" spans="1:4" x14ac:dyDescent="0.15">
      <c r="A1106" s="1" t="s">
        <v>2628</v>
      </c>
      <c r="B1106" s="3" t="str">
        <f ca="1">IFERROR(__xludf.DUMMYFUNCTION("GOOGLETRANSLATE(B1106,""es"",""en"")"),"@takeabiebs traditional sneakers")</f>
        <v>@takeabiebs traditional sneakers</v>
      </c>
      <c r="C1106" s="2" t="s">
        <v>2629</v>
      </c>
      <c r="D1106" s="1" t="s">
        <v>2627</v>
      </c>
    </row>
    <row r="1107" spans="1:4" x14ac:dyDescent="0.15">
      <c r="A1107" s="1" t="s">
        <v>2630</v>
      </c>
      <c r="B1107" s="3" t="str">
        <f ca="1">IFERROR(__xludf.DUMMYFUNCTION("GOOGLETRANSLATE(B1107,""es"",""en"")"),"At more than three thousand meters above sea level, the largest mining investment in the history of Peru is hidden in Apurímac: Las Bambas, a 10 billion dollar venture, owned by the Chinese state-owned MMG. This mining pearl is... https://t.co/amMtrH5nJS")</f>
        <v>At more than three thousand meters above sea level, the largest mining investment in the history of Peru is hidden in Apurímac: Las Bambas, a 10 billion dollar venture, owned by the Chinese state-owned MMG. This mining pearl is... https://t.co/amMtrH5nJS</v>
      </c>
      <c r="C1107" s="2" t="s">
        <v>2631</v>
      </c>
      <c r="D1107" s="1" t="s">
        <v>2627</v>
      </c>
    </row>
    <row r="1108" spans="1:4" x14ac:dyDescent="0.15">
      <c r="A1108" s="1" t="s">
        <v>1598</v>
      </c>
      <c r="B1108" s="3" t="str">
        <f ca="1">IFERROR(__xludf.DUMMYFUNCTION("GOOGLETRANSLATE(B1108,""es"",""en"")"),"Las Bambas: Strike worsens in Abancay on second day of protests (PHOTOS)
https://t.co/6RVBG0iILr https://t.co/Ng1yqyFsIK")</f>
        <v>Las Bambas: Strike worsens in Abancay on second day of protests (PHOTOS)
https://t.co/6RVBG0iILr https://t.co/Ng1yqyFsIK</v>
      </c>
      <c r="C1108" s="2" t="s">
        <v>2632</v>
      </c>
      <c r="D1108" s="1" t="s">
        <v>2633</v>
      </c>
    </row>
    <row r="1109" spans="1:4" x14ac:dyDescent="0.15">
      <c r="A1109" s="1" t="s">
        <v>2634</v>
      </c>
      <c r="B1109" s="3" t="str">
        <f ca="1">IFERROR(__xludf.DUMMYFUNCTION("GOOGLETRANSLATE(B1109,""es"",""en"")"),"RT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109" s="2" t="s">
        <v>2635</v>
      </c>
      <c r="D1109" s="1" t="s">
        <v>2633</v>
      </c>
    </row>
    <row r="1110" spans="1:4" x14ac:dyDescent="0.15">
      <c r="A1110" s="1" t="s">
        <v>2636</v>
      </c>
      <c r="B1110" s="3" t="str">
        <f ca="1">IFERROR(__xludf.DUMMYFUNCTION("GOOGLETRANSLATE(B1110,""es"",""en"")"),"RT @Ojo_Publico: #LoÚltimo Gregorio Rojas, president of the community of #Fuerabamba, arrives at the Manantiales sentry box in #Challhuahuacho. At the beginning of his meeting he asks that peasant communities be respected. #LasBambas https://t.co/hJ444gRp"&amp;"UF https://t.co/bcEaFt3LVT")</f>
        <v>RT @Ojo_Publico: #LoÚltimo Gregorio Rojas, president of the community of #Fuerabamba, arrives at the Manantiales sentry box in #Challhuahuacho. At the beginning of his meeting he asks that peasant communities be respected. #LasBambas https://t.co/hJ444gRpUF https://t.co/bcEaFt3LVT</v>
      </c>
      <c r="C1110" s="2" t="s">
        <v>2637</v>
      </c>
      <c r="D1110" s="1" t="s">
        <v>2638</v>
      </c>
    </row>
    <row r="1111" spans="1:4" x14ac:dyDescent="0.15">
      <c r="A1111" s="1" t="s">
        <v>2639</v>
      </c>
      <c r="B1111" s="3" t="str">
        <f ca="1">IFERROR(__xludf.DUMMYFUNCTION("GOOGLETRANSLATE(B1111,""es"",""en"")"),"Because he was very sexy, he was so excited that he was running around, so that he never saw any possibility that would happen. I was simply hypnotized by him, with all his movements and the bitch that he gave birth to, he had a duality that made me care "&amp;"for my sneakers https://t.co/2ygtFXDFNV")</f>
        <v>Because he was very sexy, he was so excited that he was running around, so that he never saw any possibility that would happen. I was simply hypnotized by him, with all his movements and the bitch that he gave birth to, he had a duality that made me care for my sneakers https://t.co/2ygtFXDFNV</v>
      </c>
      <c r="C1111" s="2" t="s">
        <v>2640</v>
      </c>
      <c r="D1111" s="1" t="s">
        <v>2638</v>
      </c>
    </row>
    <row r="1112" spans="1:4" x14ac:dyDescent="0.15">
      <c r="A1112" s="1" t="s">
        <v>2641</v>
      </c>
      <c r="B1112" s="3" t="str">
        <f ca="1">IFERROR(__xludf.DUMMYFUNCTION("GOOGLETRANSLATE(B1112,""es"",""en"")"),"Aduviri threatens a strike in support of Las Bambas https://t.co/SyuJJiQZq2")</f>
        <v>Aduviri threatens a strike in support of Las Bambas https://t.co/SyuJJiQZq2</v>
      </c>
      <c r="C1112" s="2" t="s">
        <v>2642</v>
      </c>
      <c r="D1112" s="1" t="s">
        <v>2638</v>
      </c>
    </row>
    <row r="1113" spans="1:4" x14ac:dyDescent="0.15">
      <c r="A1113" s="1" t="s">
        <v>2636</v>
      </c>
      <c r="B1113" s="3" t="str">
        <f ca="1">IFERROR(__xludf.DUMMYFUNCTION("GOOGLETRANSLATE(B1113,""es"",""en"")"),"RT @Gestionpe: Las Bambas: 48-hour strike begins in Apurímac in support of Fuerabamba ► https://t.co/VVKptVbF22 https://t.co/sv3Mj2iN2o")</f>
        <v>RT @Gestionpe: Las Bambas: 48-hour strike begins in Apurímac in support of Fuerabamba ► https://t.co/VVKptVbF22 https://t.co/sv3Mj2iN2o</v>
      </c>
      <c r="C1113" s="2" t="s">
        <v>2643</v>
      </c>
      <c r="D1113" s="1" t="s">
        <v>2644</v>
      </c>
    </row>
    <row r="1114" spans="1:4" x14ac:dyDescent="0.15">
      <c r="A1114" s="1" t="s">
        <v>2641</v>
      </c>
      <c r="B1114" s="3" t="str">
        <f ca="1">IFERROR(__xludf.DUMMYFUNCTION("GOOGLETRANSLATE(B1114,""es"",""en"")"),"Aduviri threatens a strike in support of Las Bambas https://t.co/VK1tKBwAJo")</f>
        <v>Aduviri threatens a strike in support of Las Bambas https://t.co/VK1tKBwAJo</v>
      </c>
      <c r="C1114" s="2" t="s">
        <v>2645</v>
      </c>
      <c r="D1114" s="1" t="s">
        <v>2644</v>
      </c>
    </row>
    <row r="1115" spans="1:4" x14ac:dyDescent="0.15">
      <c r="A1115" s="1" t="s">
        <v>2646</v>
      </c>
      <c r="B1115" s="3" t="str">
        <f ca="1">IFERROR(__xludf.DUMMYFUNCTION("GOOGLETRANSLATE(B1115,""es"",""en"")"),"RT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115" s="2" t="s">
        <v>2647</v>
      </c>
      <c r="D1115" s="1" t="s">
        <v>2648</v>
      </c>
    </row>
    <row r="1116" spans="1:4" x14ac:dyDescent="0.15">
      <c r="A1116" s="1" t="s">
        <v>2649</v>
      </c>
      <c r="B1116" s="3" t="str">
        <f ca="1">IFERROR(__xludf.DUMMYFUNCTION("GOOGLETRANSLATE(B1116,""es"",""en"")"),"Fuck with the Bambas and you will go home, sell smoke. The state is there to represent the people and not to act as a lawyer for the mining companies. #VizcarraEnPicada")</f>
        <v>Fuck with the Bambas and you will go home, sell smoke. The state is there to represent the people and not to act as a lawyer for the mining companies. #VizcarraEnPicada</v>
      </c>
      <c r="C1116" s="2" t="s">
        <v>2650</v>
      </c>
      <c r="D1116" s="1" t="s">
        <v>2648</v>
      </c>
    </row>
    <row r="1117" spans="1:4" x14ac:dyDescent="0.15">
      <c r="A1117" s="1" t="s">
        <v>2651</v>
      </c>
      <c r="B1117" s="3" t="str">
        <f ca="1">IFERROR(__xludf.DUMMYFUNCTION("GOOGLETRANSLATE(B1117,""es"",""en"")"),"Members of law enforcement used tear gas to disperse protesters in the community of Pumamarca, about 15 kilometers from Challhuahuacho in Apurímac, when they were protesting against the Las Bambas mining company.
#CuscoEnPortada https://t.co/DHXPZKMQDS")</f>
        <v>Members of law enforcement used tear gas to disperse protesters in the community of Pumamarca, about 15 kilometers from Challhuahuacho in Apurímac, when they were protesting against the Las Bambas mining company.
#CuscoEnPortada https://t.co/DHXPZKMQDS</v>
      </c>
      <c r="C1117" s="2" t="s">
        <v>2652</v>
      </c>
      <c r="D1117" s="1" t="s">
        <v>2648</v>
      </c>
    </row>
    <row r="1118" spans="1:4" x14ac:dyDescent="0.15">
      <c r="A1118" s="1" t="s">
        <v>2653</v>
      </c>
      <c r="B1118" s="3" t="str">
        <f ca="1">IFERROR(__xludf.DUMMYFUNCTION("GOOGLETRANSLATE(B1118,""es"",""en"")"),"RT @MijaelGLP: #LasBambas: What would happen if the communities were owners of the wealth of the subsoil on which they live? The State would only have to regulate. And if any mining company wants to buy their land, let them make the poor rich. That is tru"&amp;"ly free market.
https://t.co/Uf2OXFtmLa")</f>
        <v>RT @MijaelGLP: #LasBambas: What would happen if the communities were owners of the wealth of the subsoil on which they live? The State would only have to regulate. And if any mining company wants to buy their land, let them make the poor rich. That is truly free market.
https://t.co/Uf2OXFtmLa</v>
      </c>
      <c r="C1118" s="2" t="s">
        <v>2654</v>
      </c>
      <c r="D1118" s="1" t="s">
        <v>2648</v>
      </c>
    </row>
    <row r="1119" spans="1:4" x14ac:dyDescent="0.15">
      <c r="A1119" s="1" t="s">
        <v>2036</v>
      </c>
      <c r="B1119" s="3" t="str">
        <f ca="1">IFERROR(__xludf.DUMMYFUNCTION("GOOGLETRANSLATE(B1119,""es"",""en"")"),"RT @exitosape: Analyst Fernando Rospigliosi says that President Vizcarra is more concerned about his popularity. This causes conflicts like in Las Bambas.
https://t.co/YYUw4bbJbN")</f>
        <v>RT @exitosape: Analyst Fernando Rospigliosi says that President Vizcarra is more concerned about his popularity. This causes conflicts like in Las Bambas.
https://t.co/YYUw4bbJbN</v>
      </c>
      <c r="C1119" s="2" t="s">
        <v>2655</v>
      </c>
      <c r="D1119" s="1" t="s">
        <v>2656</v>
      </c>
    </row>
    <row r="1120" spans="1:4" x14ac:dyDescent="0.15">
      <c r="A1120" s="1" t="s">
        <v>1297</v>
      </c>
      <c r="B1120" s="3" t="str">
        <f ca="1">IFERROR(__xludf.DUMMYFUNCTION("GOOGLETRANSLATE(B1120,""es"",""en"")"),"RT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120" s="2" t="s">
        <v>2657</v>
      </c>
      <c r="D1120" s="1" t="s">
        <v>2656</v>
      </c>
    </row>
    <row r="1121" spans="1:4" x14ac:dyDescent="0.15">
      <c r="A1121" s="1" t="s">
        <v>1955</v>
      </c>
      <c r="B1121" s="3" t="str">
        <f ca="1">IFERROR(__xludf.DUMMYFUNCTION("GOOGLETRANSLATE(B1121,""es"",""en"")"),"Apurímac: Police were harassed by community members when they were heading to Las Bambas ► https://t.co/AJOXeUEwFn https://t.co/vDxILqITjJ")</f>
        <v>Apurímac: Police were harassed by community members when they were heading to Las Bambas ► https://t.co/AJOXeUEwFn https://t.co/vDxILqITjJ</v>
      </c>
      <c r="C1121" s="2" t="s">
        <v>2658</v>
      </c>
      <c r="D1121" s="1" t="s">
        <v>2659</v>
      </c>
    </row>
    <row r="1122" spans="1:4" x14ac:dyDescent="0.15">
      <c r="A1122" s="1" t="s">
        <v>2660</v>
      </c>
      <c r="B1122" s="3" t="str">
        <f ca="1">IFERROR(__xludf.DUMMYFUNCTION("GOOGLETRANSLATE(B1122,""es"",""en"")"),"RT @NoticiasSER: 🔴 #REPORT 
☛ ""The situation of #peasantwomen in #LasBambas""
By Karina Bueno
➲ https://t.co/cVxYb5QG91 https://t.co/6Ne9Dc9Fca")</f>
        <v>RT @NoticiasSER: 🔴 #REPORT 
☛ "The situation of #peasantwomen in #LasBambas"
By Karina Bueno
➲ https://t.co/cVxYb5QG91 https://t.co/6Ne9Dc9Fca</v>
      </c>
      <c r="C1122" s="2" t="s">
        <v>2661</v>
      </c>
      <c r="D1122" s="1" t="s">
        <v>2662</v>
      </c>
    </row>
    <row r="1123" spans="1:4" x14ac:dyDescent="0.15">
      <c r="A1123" s="1" t="s">
        <v>603</v>
      </c>
      <c r="B1123" s="3" t="str">
        <f ca="1">IFERROR(__xludf.DUMMYFUNCTION("GOOGLETRANSLATE(B1123,""es"",""en"")"),"Las Bambas | The Police fired tear gas in a confrontation with community members of Pumamarca https://t.co/iSNb2YSmfJ")</f>
        <v>Las Bambas | The Police fired tear gas in a confrontation with community members of Pumamarca https://t.co/iSNb2YSmfJ</v>
      </c>
      <c r="C1123" s="2" t="s">
        <v>2663</v>
      </c>
      <c r="D1123" s="1" t="s">
        <v>2664</v>
      </c>
    </row>
    <row r="1124" spans="1:4" x14ac:dyDescent="0.15">
      <c r="A1124" s="1" t="s">
        <v>2665</v>
      </c>
      <c r="B1124" s="3" t="str">
        <f ca="1">IFERROR(__xludf.DUMMYFUNCTION("GOOGLETRANSLATE(B1124,""es"",""en"")"),"RT @noticiAmerica: On this second day of the conference convened by the Defense Front of the Apurímac region https://t.co/K9Xv9RBS0B")</f>
        <v>RT @noticiAmerica: On this second day of the conference convened by the Defense Front of the Apurímac region https://t.co/K9Xv9RBS0B</v>
      </c>
      <c r="C1124" s="2" t="s">
        <v>2666</v>
      </c>
      <c r="D1124" s="1" t="s">
        <v>2664</v>
      </c>
    </row>
    <row r="1125" spans="1:4" x14ac:dyDescent="0.15">
      <c r="A1125" s="1" t="s">
        <v>2667</v>
      </c>
      <c r="B1125" s="3" t="str">
        <f ca="1">IFERROR(__xludf.DUMMYFUNCTION("GOOGLETRANSLATE(B1125,""es"",""en"")"),"@FerraxPLS They gave me some sneakers with that hanging and the first thing I do is take it off")</f>
        <v>@FerraxPLS They gave me some sneakers with that hanging and the first thing I do is take it off</v>
      </c>
      <c r="C1125" s="2" t="s">
        <v>2668</v>
      </c>
      <c r="D1125" s="1" t="s">
        <v>2669</v>
      </c>
    </row>
    <row r="1126" spans="1:4" x14ac:dyDescent="0.15">
      <c r="A1126" s="1" t="s">
        <v>2670</v>
      </c>
      <c r="B1126" s="3" t="str">
        <f ca="1">IFERROR(__xludf.DUMMYFUNCTION("GOOGLETRANSLATE(B1126,""es"",""en"")"),"RT @Lucidez_pe: President Vizcarra says he will go to Las Bambas only “when necessary”
https://t.co/q5BpLvXxOn https://t.co/AlxS6LCS0A")</f>
        <v>RT @Lucidez_pe: President Vizcarra says he will go to Las Bambas only “when necessary”
https://t.co/q5BpLvXxOn https://t.co/AlxS6LCS0A</v>
      </c>
      <c r="C1126" s="2" t="s">
        <v>2671</v>
      </c>
      <c r="D1126" s="1" t="s">
        <v>2672</v>
      </c>
    </row>
    <row r="1127" spans="1:4" x14ac:dyDescent="0.15">
      <c r="A1127" s="1" t="s">
        <v>2341</v>
      </c>
      <c r="B1127" s="3" t="str">
        <f ca="1">IFERROR(__xludf.DUMMYFUNCTION("GOOGLETRANSLATE(B1127,""es"",""en"")"),"RT @A_Aguinaga: The mining problem is beginning to become unmanageable, adding to the chaos of “la bambas” are the mayors of Islay who reject “tía María” due to the ineffectiveness and inaction of the cabinet and the entire executive. Order and principles"&amp;" of authority are urgently needed!!")</f>
        <v>RT @A_Aguinaga: The mining problem is beginning to become unmanageable, adding to the chaos of “la bambas” are the mayors of Islay who reject “tía María” due to the ineffectiveness and inaction of the cabinet and the entire executive. Order and principles of authority are urgently needed!!</v>
      </c>
      <c r="C1127" s="2" t="s">
        <v>2673</v>
      </c>
      <c r="D1127" s="1" t="s">
        <v>2672</v>
      </c>
    </row>
    <row r="1128" spans="1:4" x14ac:dyDescent="0.15">
      <c r="A1128" s="1" t="s">
        <v>2674</v>
      </c>
      <c r="B1128" s="3" t="str">
        <f ca="1">IFERROR(__xludf.DUMMYFUNCTION("GOOGLETRANSLATE(B1128,""es"",""en"")"),"""Las Bambas shows the great failure of the state""
ADRIANZÉN: PERUVIANS WILL PAY THE INVOICE AND NOT THE CHINESE COMPANY.
CHANGES WERE ALLOWED AND THE PROJECT BECAME A BIG SOCIAL PROBLEM
(Read the full news in DIARIO NUEVO SOL, page 4, POLITICS, WEDNESD"&amp;"AY 04/03/19.")</f>
        <v>"Las Bambas shows the great failure of the state"
ADRIANZÉN: PERUVIANS WILL PAY THE INVOICE AND NOT THE CHINESE COMPANY.
CHANGES WERE ALLOWED AND THE PROJECT BECAME A BIG SOCIAL PROBLEM
(Read the full news in DIARIO NUEVO SOL, page 4, POLITICS, WEDNESDAY 04/03/19.</v>
      </c>
      <c r="C1128" s="2" t="s">
        <v>2675</v>
      </c>
      <c r="D1128" s="1" t="s">
        <v>2676</v>
      </c>
    </row>
    <row r="1129" spans="1:4" x14ac:dyDescent="0.15">
      <c r="A1129" s="1" t="s">
        <v>2677</v>
      </c>
      <c r="B1129" s="3" t="str">
        <f ca="1">IFERROR(__xludf.DUMMYFUNCTION("GOOGLETRANSLATE(B1129,""es"",""en"")"),"RT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129" s="2" t="s">
        <v>2678</v>
      </c>
      <c r="D1129" s="1" t="s">
        <v>2679</v>
      </c>
    </row>
    <row r="1130" spans="1:4" x14ac:dyDescent="0.15">
      <c r="A1130" s="1" t="s">
        <v>661</v>
      </c>
      <c r="B1130" s="3" t="str">
        <f ca="1">IFERROR(__xludf.DUMMYFUNCTION("GOOGLETRANSLATE(B1130,""es"",""en"")"),"#LasBambas Exclusive statements from Minister #FranciscoÍsmodes ""there was a lack of planning on the part of the company because it used a road that is not paved, causing inconvenience to citizens""
#Fuerabamba @gorecusco @GR_Apurimac @MemPeru https://t."&amp;"co/8kTQrVJ1go")</f>
        <v>#LasBambas Exclusive statements from Minister #FranciscoÍsmodes "there was a lack of planning on the part of the company because it used a road that is not paved, causing inconvenience to citizens"
#Fuerabamba @gorecusco @GR_Apurimac @MemPeru https://t.co/8kTQrVJ1go</v>
      </c>
      <c r="C1130" s="2" t="s">
        <v>2680</v>
      </c>
      <c r="D1130" s="1" t="s">
        <v>2679</v>
      </c>
    </row>
    <row r="1131" spans="1:4" x14ac:dyDescent="0.15">
      <c r="A1131" s="1" t="s">
        <v>2681</v>
      </c>
      <c r="B1131" s="3" t="str">
        <f ca="1">IFERROR(__xludf.DUMMYFUNCTION("GOOGLETRANSLATE(B1131,""es"",""en"")"),"The dominação that the hoseok happens sometimes leaves me with my sneakers https://t.co/6e3GuAVL6t")</f>
        <v>The dominação that the hoseok happens sometimes leaves me with my sneakers https://t.co/6e3GuAVL6t</v>
      </c>
      <c r="C1131" s="2" t="s">
        <v>2682</v>
      </c>
      <c r="D1131" s="1" t="s">
        <v>2679</v>
      </c>
    </row>
    <row r="1132" spans="1:4" x14ac:dyDescent="0.15">
      <c r="A1132" s="1" t="s">
        <v>2683</v>
      </c>
      <c r="B1132" s="3" t="str">
        <f ca="1">IFERROR(__xludf.DUMMYFUNCTION("GOOGLETRANSLATE(B1132,""es"",""en"")"),"RT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132" s="2" t="s">
        <v>2684</v>
      </c>
      <c r="D1132" s="1" t="s">
        <v>2685</v>
      </c>
    </row>
    <row r="1133" spans="1:4" x14ac:dyDescent="0.15">
      <c r="A1133" s="1" t="s">
        <v>2686</v>
      </c>
      <c r="B1133" s="3" t="str">
        <f ca="1">IFERROR(__xludf.DUMMYFUNCTION("GOOGLETRANSLATE(B1133,""es"",""en"")"),"@aftermendes ainda de pernas bambas e sem condições psychologists to discuss about")</f>
        <v>@aftermendes ainda de pernas bambas e sem condições psychologists to discuss about</v>
      </c>
      <c r="C1133" s="2" t="s">
        <v>2687</v>
      </c>
      <c r="D1133" s="1" t="s">
        <v>2688</v>
      </c>
    </row>
    <row r="1134" spans="1:4" x14ac:dyDescent="0.15">
      <c r="A1134" s="1" t="s">
        <v>2689</v>
      </c>
      <c r="B1134" s="3" t="str">
        <f ca="1">IFERROR(__xludf.DUMMYFUNCTION("GOOGLETRANSLATE(B1134,""es"",""en"")"),"RT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134" s="2" t="s">
        <v>2690</v>
      </c>
      <c r="D1134" s="1" t="s">
        <v>2691</v>
      </c>
    </row>
    <row r="1135" spans="1:4" x14ac:dyDescent="0.15">
      <c r="A1135" s="1" t="s">
        <v>2692</v>
      </c>
      <c r="B1135" s="3" t="str">
        <f ca="1">IFERROR(__xludf.DUMMYFUNCTION("GOOGLETRANSLATE(B1135,""es"",""en"")"),"Sai da academy with the legs of sneakers")</f>
        <v>Sai da academy with the legs of sneakers</v>
      </c>
      <c r="C1135" s="2" t="s">
        <v>2693</v>
      </c>
      <c r="D1135" s="1" t="s">
        <v>2694</v>
      </c>
    </row>
    <row r="1136" spans="1:4" x14ac:dyDescent="0.15">
      <c r="A1136" s="1" t="s">
        <v>2695</v>
      </c>
      <c r="B1136" s="3" t="str">
        <f ca="1">IFERROR(__xludf.DUMMYFUNCTION("GOOGLETRANSLATE(B1136,""es"",""en"")"),"@ghosted_2k I opened this box on xbox and pulled 5 Reggie Theus and 3 Mo Bambas 🙃")</f>
        <v>@ghosted_2k I opened this box on xbox and pulled 5 Reggie Theus and 3 Mo Bambas 🙃</v>
      </c>
      <c r="C1136" s="2" t="s">
        <v>2696</v>
      </c>
      <c r="D1136" s="1" t="s">
        <v>2694</v>
      </c>
    </row>
    <row r="1137" spans="1:4" x14ac:dyDescent="0.15">
      <c r="A1137" s="1" t="s">
        <v>840</v>
      </c>
      <c r="B1137" s="3" t="str">
        <f ca="1">IFERROR(__xludf.DUMMYFUNCTION("GOOGLETRANSLATE(B1137,""es"",""en"")"),"@Gestionpe Everything is clear, @MartinVizcarraC is responsible for the conflict in BAMBAS. Peru is full of very serious problems generated by the PERU MAFIA. There is no way these gangsters can solve them.
@caretas, @DiarioUnoPeru, @cnddhh, @cnacomunic. "&amp;"https://t.co/7rrp83cLf2")</f>
        <v>@Gestionpe Everything is clear, @MartinVizcarraC is responsible for the conflict in BAMBAS. Peru is full of very serious problems generated by the PERU MAFIA. There is no way these gangsters can solve them.
@caretas, @DiarioUnoPeru, @cnddhh, @cnacomunic. https://t.co/7rrp83cLf2</v>
      </c>
      <c r="C1137" s="2" t="s">
        <v>2697</v>
      </c>
      <c r="D1137" s="1" t="s">
        <v>2694</v>
      </c>
    </row>
    <row r="1138" spans="1:4" x14ac:dyDescent="0.15">
      <c r="A1138" s="1" t="s">
        <v>2698</v>
      </c>
      <c r="B1138" s="3" t="str">
        <f ca="1">IFERROR(__xludf.DUMMYFUNCTION("GOOGLETRANSLATE(B1138,""es"",""en"")"),"In this Bambas strike...the strikers do what they want...they condition the release of their Corrupt lawyers...they kneel @MartinVizcarraC @pcmperu nothing happens...the same thing at 100pre. There is no state @canalN_ @elcomercio_peru @alvarezrodrich @la"&amp;"republica_pe")</f>
        <v>In this Bambas strike...the strikers do what they want...they condition the release of their Corrupt lawyers...they kneel @MartinVizcarraC @pcmperu nothing happens...the same thing at 100pre. There is no state @canalN_ @elcomercio_peru @alvarezrodrich @larepublica_pe</v>
      </c>
      <c r="C1138" s="2" t="s">
        <v>2699</v>
      </c>
      <c r="D1138" s="1" t="s">
        <v>2700</v>
      </c>
    </row>
    <row r="1139" spans="1:4" x14ac:dyDescent="0.15">
      <c r="A1139" s="1" t="s">
        <v>2701</v>
      </c>
      <c r="B1139" s="3" t="str">
        <f ca="1">IFERROR(__xludf.DUMMYFUNCTION("GOOGLETRANSLATE(B1139,""es"",""en"")"),"The interests of #PPK in Las Bambas - https://t.co/gNw6IW8eLA")</f>
        <v>The interests of #PPK in Las Bambas - https://t.co/gNw6IW8eLA</v>
      </c>
      <c r="C1139" s="2" t="s">
        <v>2702</v>
      </c>
      <c r="D1139" s="1" t="s">
        <v>2700</v>
      </c>
    </row>
    <row r="1140" spans="1:4" x14ac:dyDescent="0.15">
      <c r="A1140" s="1" t="s">
        <v>2703</v>
      </c>
      <c r="B1140" s="3" t="str">
        <f ca="1">IFERROR(__xludf.DUMMYFUNCTION("GOOGLETRANSLATE(B1140,""es"",""en"")"),"RT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140" s="2" t="s">
        <v>2704</v>
      </c>
      <c r="D1140" s="1" t="s">
        <v>2705</v>
      </c>
    </row>
    <row r="1141" spans="1:4" x14ac:dyDescent="0.15">
      <c r="A1141" s="1" t="s">
        <v>2706</v>
      </c>
      <c r="B1141" s="3" t="str">
        <f ca="1">IFERROR(__xludf.DUMMYFUNCTION("GOOGLETRANSLATE(B1141,""es"",""en"")"),"RT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141" s="2" t="s">
        <v>2707</v>
      </c>
      <c r="D1141" s="1" t="s">
        <v>2705</v>
      </c>
    </row>
    <row r="1142" spans="1:4" x14ac:dyDescent="0.15">
      <c r="A1142" s="1" t="s">
        <v>2708</v>
      </c>
      <c r="B1142" s="3" t="str">
        <f ca="1">IFERROR(__xludf.DUMMYFUNCTION("GOOGLETRANSLATE(B1142,""es"",""en"")"),"RT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142" s="2" t="s">
        <v>2709</v>
      </c>
      <c r="D1142" s="1" t="s">
        <v>2710</v>
      </c>
    </row>
    <row r="1143" spans="1:4" x14ac:dyDescent="0.15">
      <c r="A1143" s="1" t="s">
        <v>2711</v>
      </c>
      <c r="B1143" s="3" t="str">
        <f ca="1">IFERROR(__xludf.DUMMYFUNCTION("GOOGLETRANSLATE(B1143,""es"",""en"")"),"RT @NoticiasSER: 🔴 #REPORT 
☛ ""The situation of #peasantwomen in #LasBambas""
By Karina Bueno
➲ https://t.co/cVxYb5QG91 https://t.co/6Ne9Dc9Fca")</f>
        <v>RT @NoticiasSER: 🔴 #REPORT 
☛ "The situation of #peasantwomen in #LasBambas"
By Karina Bueno
➲ https://t.co/cVxYb5QG91 https://t.co/6Ne9Dc9Fca</v>
      </c>
      <c r="C1143" s="2" t="s">
        <v>2712</v>
      </c>
      <c r="D1143" s="1" t="s">
        <v>2713</v>
      </c>
    </row>
    <row r="1144" spans="1:4" x14ac:dyDescent="0.15">
      <c r="A1144" s="1" t="s">
        <v>2714</v>
      </c>
      <c r="B1144" s="3" t="str">
        <f ca="1">IFERROR(__xludf.DUMMYFUNCTION("GOOGLETRANSLATE(B1144,""es"",""en"")"),"RT @julioguzmanperu: Social conflicts require a comprehensive prevention policy. Concrete development plans and restructuring of @pcmperu. An office with ministerial rank, strategic vision and capacity for dialogue is necessary. Sustainable solution for L"&amp;"as Bambas and future conflicts.")</f>
        <v>RT @julioguzmanperu: Social conflicts require a comprehensive prevention policy. Concrete development plans and restructuring of @pcmperu. An office with ministerial rank, strategic vision and capacity for dialogue is necessary. Sustainable solution for Las Bambas and future conflicts.</v>
      </c>
      <c r="C1144" s="2" t="s">
        <v>2715</v>
      </c>
      <c r="D1144" s="1" t="s">
        <v>2716</v>
      </c>
    </row>
    <row r="1145" spans="1:4" x14ac:dyDescent="0.15">
      <c r="A1145" s="1" t="s">
        <v>2717</v>
      </c>
      <c r="B1145" s="3" t="str">
        <f ca="1">IFERROR(__xludf.DUMMYFUNCTION("GOOGLETRANSLATE(B1145,""es"",""en"")"),"RT @JesjadeRhcp17: - Hey, do you know what's happening in Las Bambas?
*Did you see what happened with Sheyla and her ex?
- Yes, but do you understand the conflict?
* The community members want more money.
- I'll give you the meme or nah?
* From Las Bambas"&amp;"?
- No! Of the Value of Truth!")</f>
        <v>RT @JesjadeRhcp17: - Hey, do you know what's happening in Las Bambas?
*Did you see what happened with Sheyla and her ex?
- Yes, but do you understand the conflict?
* The community members want more money.
- I'll give you the meme or nah?
* From Las Bambas?
- No! Of the Value of Truth!</v>
      </c>
      <c r="C1145" s="2" t="s">
        <v>2718</v>
      </c>
      <c r="D1145" s="1" t="s">
        <v>2719</v>
      </c>
    </row>
    <row r="1146" spans="1:4" x14ac:dyDescent="0.15">
      <c r="A1146" s="1" t="s">
        <v>2720</v>
      </c>
      <c r="B1146" s="3" t="str">
        <f ca="1">IFERROR(__xludf.DUMMYFUNCTION("GOOGLETRANSLATE(B1146,""es"",""en"")"),"RT @ExpresoPeru: Projectiles were seized in the raid on the house of one of the alleged leaders of 'Los Chavelos'. https://t.co/mT8jbMHbzr")</f>
        <v>RT @ExpresoPeru: Projectiles were seized in the raid on the house of one of the alleged leaders of 'Los Chavelos'. https://t.co/mT8jbMHbzr</v>
      </c>
      <c r="C1146" s="2" t="s">
        <v>2721</v>
      </c>
      <c r="D1146" s="1" t="s">
        <v>2722</v>
      </c>
    </row>
    <row r="1147" spans="1:4" x14ac:dyDescent="0.15">
      <c r="A1147" s="1" t="s">
        <v>2723</v>
      </c>
      <c r="B1147" s="3" t="str">
        <f ca="1">IFERROR(__xludf.DUMMYFUNCTION("GOOGLETRANSLATE(B1147,""es"",""en"")"),"RT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147" s="2" t="s">
        <v>2724</v>
      </c>
      <c r="D1147" s="1" t="s">
        <v>2722</v>
      </c>
    </row>
    <row r="1148" spans="1:4" x14ac:dyDescent="0.15">
      <c r="A1148" s="1" t="s">
        <v>2725</v>
      </c>
      <c r="B1148" s="3" t="str">
        <f ca="1">IFERROR(__xludf.DUMMYFUNCTION("GOOGLETRANSLATE(B1148,""es"",""en"")"),"RT @jimmybussol: The prosecutor, running, went to file a complaint at the sector's police station, from there to a doctor, those sneakers that swarm around Lima, recommending sleep therapy, due to the shock suffered, being called IMMORAL, with 4 days REST"&amp;"! https://t.co/mEt108F6Mv")</f>
        <v>RT @jimmybussol: The prosecutor, running, went to file a complaint at the sector's police station, from there to a doctor, those sneakers that swarm around Lima, recommending sleep therapy, due to the shock suffered, being called IMMORAL, with 4 days REST! https://t.co/mEt108F6Mv</v>
      </c>
      <c r="C1148" s="2" t="s">
        <v>2726</v>
      </c>
      <c r="D1148" s="1" t="s">
        <v>2722</v>
      </c>
    </row>
    <row r="1149" spans="1:4" x14ac:dyDescent="0.15">
      <c r="A1149" s="1" t="s">
        <v>216</v>
      </c>
      <c r="B1149" s="3" t="str">
        <f ca="1">IFERROR(__xludf.DUMMYFUNCTION("GOOGLETRANSLATE(B1149,""es"",""en"")"),"RT @julioguzmanperu: Social conflicts require a comprehensive prevention policy. Concrete development plans and restructuring of @pcmperu. An office with ministerial rank, strategic vision and capacity for dialogue is necessary. Sustainable solution for L"&amp;"as Bambas and future conflicts.")</f>
        <v>RT @julioguzmanperu: Social conflicts require a comprehensive prevention policy. Concrete development plans and restructuring of @pcmperu. An office with ministerial rank, strategic vision and capacity for dialogue is necessary. Sustainable solution for Las Bambas and future conflicts.</v>
      </c>
      <c r="C1149" s="2" t="s">
        <v>2727</v>
      </c>
      <c r="D1149" s="1" t="s">
        <v>2728</v>
      </c>
    </row>
    <row r="1150" spans="1:4" x14ac:dyDescent="0.15">
      <c r="A1150" s="1" t="s">
        <v>2725</v>
      </c>
      <c r="B1150" s="3" t="str">
        <f ca="1">IFERROR(__xludf.DUMMYFUNCTION("GOOGLETRANSLATE(B1150,""es"",""en"")"),"RT @rsousaperu: State advertising increased by 91%, management inability in Las Bambas, rain of consultancies, anemia that attacks 43.5% of children...Are we preventing the southern cold?...etc. Mr. Vizcarra, when does recess end? #VizcarraEnPicada")</f>
        <v>RT @rsousaperu: State advertising increased by 91%, management inability in Las Bambas, rain of consultancies, anemia that attacks 43.5% of children...Are we preventing the southern cold?...etc. Mr. Vizcarra, when does recess end? #VizcarraEnPicada</v>
      </c>
      <c r="C1150" s="2" t="s">
        <v>2729</v>
      </c>
      <c r="D1150" s="1" t="s">
        <v>2728</v>
      </c>
    </row>
    <row r="1151" spans="1:4" x14ac:dyDescent="0.15">
      <c r="A1151" s="1" t="s">
        <v>2730</v>
      </c>
      <c r="B1151" s="3" t="str">
        <f ca="1">IFERROR(__xludf.DUMMYFUNCTION("GOOGLETRANSLATE(B1151,""es"",""en"")"),"RT @julioguzmanperu: Social conflicts require a comprehensive prevention policy. Concrete development plans and restructuring of @pcmperu. An office with ministerial rank, strategic vision and capacity for dialogue is necessary. Sustainable solution for L"&amp;"as Bambas and future conflicts.")</f>
        <v>RT @julioguzmanperu: Social conflicts require a comprehensive prevention policy. Concrete development plans and restructuring of @pcmperu. An office with ministerial rank, strategic vision and capacity for dialogue is necessary. Sustainable solution for Las Bambas and future conflicts.</v>
      </c>
      <c r="C1151" s="2" t="s">
        <v>2731</v>
      </c>
      <c r="D1151" s="1" t="s">
        <v>2732</v>
      </c>
    </row>
    <row r="1152" spans="1:4" x14ac:dyDescent="0.15">
      <c r="A1152" s="1" t="s">
        <v>2733</v>
      </c>
      <c r="B1152" s="3" t="str">
        <f ca="1">IFERROR(__xludf.DUMMYFUNCTION("GOOGLETRANSLATE(B1152,""es"",""en"")"),"RT @ExpresoPeru: Projectiles were seized in the raid on the house of one of the alleged leaders of 'Los Chavelos'. https://t.co/mT8jbMHbzr")</f>
        <v>RT @ExpresoPeru: Projectiles were seized in the raid on the house of one of the alleged leaders of 'Los Chavelos'. https://t.co/mT8jbMHbzr</v>
      </c>
      <c r="C1152" s="2" t="s">
        <v>2734</v>
      </c>
      <c r="D1152" s="1" t="s">
        <v>2732</v>
      </c>
    </row>
    <row r="1153" spans="1:4" x14ac:dyDescent="0.15">
      <c r="A1153" s="1" t="s">
        <v>2735</v>
      </c>
      <c r="B1153" s="3" t="str">
        <f ca="1">IFERROR(__xludf.DUMMYFUNCTION("GOOGLETRANSLATE(B1153,""es"",""en"")"),"RT @NoticiasSER: 🔴 #REPORT 
☛ ""The situation of #peasantwomen in #LasBambas""
By Karina Bueno
➲ https://t.co/cVxYb5QG91 https://t.co/6Ne9Dc9Fca")</f>
        <v>RT @NoticiasSER: 🔴 #REPORT 
☛ "The situation of #peasantwomen in #LasBambas"
By Karina Bueno
➲ https://t.co/cVxYb5QG91 https://t.co/6Ne9Dc9Fca</v>
      </c>
      <c r="C1153" s="2" t="s">
        <v>2736</v>
      </c>
      <c r="D1153" s="1" t="s">
        <v>2737</v>
      </c>
    </row>
    <row r="1154" spans="1:4" x14ac:dyDescent="0.15">
      <c r="A1154" s="1" t="s">
        <v>2738</v>
      </c>
      <c r="B1154" s="3" t="str">
        <f ca="1">IFERROR(__xludf.DUMMYFUNCTION("GOOGLETRANSLATE(B1154,""es"",""en"")"),"@Ojo_Publico STOP TALKING LITTLE AND GO TO THE SNEAKERS_
 DON'T TAKE IT SOFT_ GIVE POSITIVE OPINIONS TO THE GOVERNMENT AND STOP CRITICIZING AND TALKING NONSENSE_ SELFISH INSURANCE FOR MANAGERS_ SHIT")</f>
        <v>@Ojo_Publico STOP TALKING LITTLE AND GO TO THE SNEAKERS_
 DON'T TAKE IT SOFT_ GIVE POSITIVE OPINIONS TO THE GOVERNMENT AND STOP CRITICIZING AND TALKING NONSENSE_ SELFISH INSURANCE FOR MANAGERS_ SHIT</v>
      </c>
      <c r="C1154" s="2" t="s">
        <v>2739</v>
      </c>
      <c r="D1154" s="1" t="s">
        <v>2737</v>
      </c>
    </row>
    <row r="1155" spans="1:4" x14ac:dyDescent="0.15">
      <c r="A1155" s="1" t="s">
        <v>2447</v>
      </c>
      <c r="B1155" s="3" t="str">
        <f ca="1">IFERROR(__xludf.DUMMYFUNCTION("GOOGLETRANSLATE(B1155,""es"",""en"")"),"RT @CooperAccionPER: #LasBambas Who should assume the economic cost of the highway in Las Bambas? Read the column of our researcher César Flores Unzaga here: https://t.co/cjQiCJog6g https://t.co/7dvIlUDs1t")</f>
        <v>RT @CooperAccionPER: #LasBambas Who should assume the economic cost of the highway in Las Bambas? Read the column of our researcher César Flores Unzaga here: https://t.co/cjQiCJog6g https://t.co/7dvIlUDs1t</v>
      </c>
      <c r="C1155" s="2" t="s">
        <v>2740</v>
      </c>
      <c r="D1155" s="1" t="s">
        <v>2737</v>
      </c>
    </row>
    <row r="1156" spans="1:4" x14ac:dyDescent="0.15">
      <c r="A1156" s="1" t="s">
        <v>764</v>
      </c>
      <c r="B1156" s="3" t="str">
        <f ca="1">IFERROR(__xludf.DUMMYFUNCTION("GOOGLETRANSLATE(B1156,""es"",""en"")"),"RT @rsousaperu: State advertising increased by 91%, management inability in Las Bambas, rain of consultancies, anemia that attacks 43.5% of children...Are we preventing the southern cold?...etc. Mr. Vizcarra, when does recess end? #VizcarraEnPicada")</f>
        <v>RT @rsousaperu: State advertising increased by 91%, management inability in Las Bambas, rain of consultancies, anemia that attacks 43.5% of children...Are we preventing the southern cold?...etc. Mr. Vizcarra, when does recess end? #VizcarraEnPicada</v>
      </c>
      <c r="C1156" s="2" t="s">
        <v>2741</v>
      </c>
      <c r="D1156" s="1" t="s">
        <v>2742</v>
      </c>
    </row>
    <row r="1157" spans="1:4" x14ac:dyDescent="0.15">
      <c r="A1157" s="1" t="s">
        <v>2743</v>
      </c>
      <c r="B1157" s="3" t="str">
        <f ca="1">IFERROR(__xludf.DUMMYFUNCTION("GOOGLETRANSLATE(B1157,""es"",""en"")"),"@Poder_Judicial_ issued 36 months of preventive detention for the Chávez Sotelo brothers in the Las Bambas case.")</f>
        <v>@Poder_Judicial_ issued 36 months of preventive detention for the Chávez Sotelo brothers in the Las Bambas case.</v>
      </c>
      <c r="C1157" s="2" t="s">
        <v>2744</v>
      </c>
      <c r="D1157" s="1" t="s">
        <v>2745</v>
      </c>
    </row>
    <row r="1158" spans="1:4" x14ac:dyDescent="0.15">
      <c r="A1158" s="1" t="s">
        <v>1331</v>
      </c>
      <c r="B1158" s="3" t="str">
        <f ca="1">IFERROR(__xludf.DUMMYFUNCTION("GOOGLETRANSLATE(B1158,""es"",""en"")"),"RT @elsoldelnorte: 36 MONTHS OF PREVENTIVE PRISON AND MAYBE 18 YEARS OF SENTENCE. !!! THE CHAVEZ SOTELO BROTHERS.- LAS BAMBAS CASE.")</f>
        <v>RT @elsoldelnorte: 36 MONTHS OF PREVENTIVE PRISON AND MAYBE 18 YEARS OF SENTENCE. !!! THE CHAVEZ SOTELO BROTHERS.- LAS BAMBAS CASE.</v>
      </c>
      <c r="C1158" s="2" t="s">
        <v>2746</v>
      </c>
      <c r="D1158" s="1" t="s">
        <v>2745</v>
      </c>
    </row>
    <row r="1159" spans="1:4" x14ac:dyDescent="0.15">
      <c r="A1159" s="1" t="s">
        <v>2747</v>
      </c>
      <c r="B1159" s="3" t="str">
        <f ca="1">IFERROR(__xludf.DUMMYFUNCTION("GOOGLETRANSLATE(B1159,""es"",""en"")"),"Las Bambas: Frank Chávez Sotelo kept AKM ammunition in his home
#The Bambas
https://t.co/iQbAkr7ndL https://t.co/cE5AT6N2HP")</f>
        <v>Las Bambas: Frank Chávez Sotelo kept AKM ammunition in his home
#The Bambas
https://t.co/iQbAkr7ndL https://t.co/cE5AT6N2HP</v>
      </c>
      <c r="C1159" s="2" t="s">
        <v>2748</v>
      </c>
      <c r="D1159" s="1" t="s">
        <v>2749</v>
      </c>
    </row>
    <row r="1160" spans="1:4" x14ac:dyDescent="0.15">
      <c r="A1160" s="1" t="s">
        <v>2750</v>
      </c>
      <c r="B1160" s="3" t="str">
        <f ca="1">IFERROR(__xludf.DUMMYFUNCTION("GOOGLETRANSLATE(B1160,""es"",""en"")"),"Ambition kills: Lawyers Chavez Sotelo thought they had discovered a gold mine and they put it into the heads of community members that they could make a lot of money in Las Bambas with 30% for themselves and they organized and directed extortion and seizu"&amp;"re of roads. Now they are in prison finishing their professional careers1")</f>
        <v>Ambition kills: Lawyers Chavez Sotelo thought they had discovered a gold mine and they put it into the heads of community members that they could make a lot of money in Las Bambas with 30% for themselves and they organized and directed extortion and seizure of roads. Now they are in prison finishing their professional careers1</v>
      </c>
      <c r="C1160" s="2" t="s">
        <v>2751</v>
      </c>
      <c r="D1160" s="1" t="s">
        <v>2752</v>
      </c>
    </row>
    <row r="1161" spans="1:4" x14ac:dyDescent="0.15">
      <c r="A1161" s="1" t="s">
        <v>2753</v>
      </c>
      <c r="B1161" s="3" t="str">
        <f ca="1">IFERROR(__xludf.DUMMYFUNCTION("GOOGLETRANSLATE(B1161,""es"",""en"")"),"RT @rsousaperu: State advertising increased by 91%, management inability in Las Bambas, rain of consultancies, anemia that attacks 43.5% of children...Are we preventing the southern cold?...etc. Mr. Vizcarra, when does recess end? #VizcarraEnPicada")</f>
        <v>RT @rsousaperu: State advertising increased by 91%, management inability in Las Bambas, rain of consultancies, anemia that attacks 43.5% of children...Are we preventing the southern cold?...etc. Mr. Vizcarra, when does recess end? #VizcarraEnPicada</v>
      </c>
      <c r="C1161" s="2" t="s">
        <v>2754</v>
      </c>
      <c r="D1161" s="1" t="s">
        <v>2755</v>
      </c>
    </row>
    <row r="1162" spans="1:4" x14ac:dyDescent="0.15">
      <c r="A1162" s="1" t="s">
        <v>2756</v>
      </c>
      <c r="B1162" s="3" t="str">
        <f ca="1">IFERROR(__xludf.DUMMYFUNCTION("GOOGLETRANSLATE(B1162,""es"",""en"")"),"RT @willaxtv: #ComButters 
@Phill_Butters: ""Those who are accused of raping a mentally retarded girl have been given 9 months of preventive detention, but what has caused stupor in Peru? Sheyla Rojas has generated a scandal that seems to interest her mor"&amp;"e ""Peru than Las Bambas""")</f>
        <v>RT @willaxtv: #ComButters 
@Phill_Butters: "Those who are accused of raping a mentally retarded girl have been given 9 months of preventive detention, but what has caused stupor in Peru? Sheyla Rojas has generated a scandal that seems to interest her more "Peru than Las Bambas"</v>
      </c>
      <c r="C1162" s="2" t="s">
        <v>2757</v>
      </c>
      <c r="D1162" s="1" t="s">
        <v>2755</v>
      </c>
    </row>
    <row r="1163" spans="1:4" x14ac:dyDescent="0.15">
      <c r="A1163" s="1" t="s">
        <v>2433</v>
      </c>
      <c r="B1163" s="3" t="str">
        <f ca="1">IFERROR(__xludf.DUMMYFUNCTION("GOOGLETRANSLATE(B1163,""es"",""en"")"),"Las Bambas: They dictate 36 months of preventive detention for the Chávez Sotelo brothers https://t.co/IWOVozHYHu via @peru21noticias")</f>
        <v>Las Bambas: They dictate 36 months of preventive detention for the Chávez Sotelo brothers https://t.co/IWOVozHYHu via @peru21noticias</v>
      </c>
      <c r="C1163" s="2" t="s">
        <v>2758</v>
      </c>
      <c r="D1163" s="1" t="s">
        <v>2755</v>
      </c>
    </row>
    <row r="1164" spans="1:4" x14ac:dyDescent="0.15">
      <c r="A1164" s="1" t="s">
        <v>2759</v>
      </c>
      <c r="B1164" s="3" t="str">
        <f ca="1">IFERROR(__xludf.DUMMYFUNCTION("GOOGLETRANSLATE(B1164,""es"",""en"")"),"RT @PeruECpe: #LasBambas case: they dictate 3 years of preventive detention for the Chávez Sotelo brothers. Advisors from the community of Fuerabamba (Apurímac) are investigated for alleged extortion against the mining company MMG Las Bambas ► https://t.c"&amp;"o/0ja62OPdwJ https://t.co/YHkc1mf6nr")</f>
        <v>RT @PeruECpe: #LasBambas case: they dictate 3 years of preventive detention for the Chávez Sotelo brothers. Advisors from the community of Fuerabamba (Apurímac) are investigated for alleged extortion against the mining company MMG Las Bambas ► https://t.co/0ja62OPdwJ https://t.co/YHkc1mf6nr</v>
      </c>
      <c r="C1164" s="2" t="s">
        <v>2760</v>
      </c>
      <c r="D1164" s="1" t="s">
        <v>2761</v>
      </c>
    </row>
    <row r="1165" spans="1:4" x14ac:dyDescent="0.15">
      <c r="A1165" s="1" t="s">
        <v>457</v>
      </c>
      <c r="B1165" s="3" t="str">
        <f ca="1">IFERROR(__xludf.DUMMYFUNCTION("GOOGLETRANSLATE(B1165,""es"",""en"")"),"#TheLast: They dictate 36 months of preventive detention against the Chávez Sotelo brothers, accused of extortion against the Las Bambas mining project https://t.co/oI94xbBemt https://t.co/Y9kr00s8qW")</f>
        <v>#TheLast: They dictate 36 months of preventive detention against the Chávez Sotelo brothers, accused of extortion against the Las Bambas mining project https://t.co/oI94xbBemt https://t.co/Y9kr00s8qW</v>
      </c>
      <c r="C1165" s="2" t="s">
        <v>2762</v>
      </c>
      <c r="D1165" s="1" t="s">
        <v>2763</v>
      </c>
    </row>
    <row r="1166" spans="1:4" x14ac:dyDescent="0.15">
      <c r="A1166" s="1" t="s">
        <v>2764</v>
      </c>
      <c r="B1166" s="3" t="str">
        <f ca="1">IFERROR(__xludf.DUMMYFUNCTION("GOOGLETRANSLATE(B1166,""es"",""en"")"),"I had to bounce a bunch in video, or bagulho é bouncer at the festivities with the legs on my sneakers.")</f>
        <v>I had to bounce a bunch in video, or bagulho é bouncer at the festivities with the legs on my sneakers.</v>
      </c>
      <c r="C1166" s="2" t="s">
        <v>2765</v>
      </c>
      <c r="D1166" s="1" t="s">
        <v>2763</v>
      </c>
    </row>
    <row r="1167" spans="1:4" x14ac:dyDescent="0.15">
      <c r="A1167" s="1" t="s">
        <v>2766</v>
      </c>
      <c r="B1167" s="3" t="str">
        <f ca="1">IFERROR(__xludf.DUMMYFUNCTION("GOOGLETRANSLATE(B1167,""es"",""en"")"),"RT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167" s="2" t="s">
        <v>2767</v>
      </c>
      <c r="D1167" s="1" t="s">
        <v>2768</v>
      </c>
    </row>
    <row r="1168" spans="1:4" x14ac:dyDescent="0.15">
      <c r="A1168" s="1" t="s">
        <v>2129</v>
      </c>
      <c r="B1168" s="3" t="str">
        <f ca="1">IFERROR(__xludf.DUMMYFUNCTION("GOOGLETRANSLATE(B1168,""es"",""en"")"),"RT @jdealthaus: The community of Fuerabamba continues committing crimes!! And the Judiciary cannot give in to pressure. The rule of law is needed!! Las Bambas: they will not lift a measure of force until the Chávez Sotelo family are released https://t.co/"&amp;"dKUUJ5R3q5 via @elcomercio_peru")</f>
        <v>RT @jdealthaus: The community of Fuerabamba continues committing crimes!! And the Judiciary cannot give in to pressure. The rule of law is needed!! Las Bambas: they will not lift a measure of force until the Chávez Sotelo family are released https://t.co/dKUUJ5R3q5 via @elcomercio_peru</v>
      </c>
      <c r="C1168" s="2" t="s">
        <v>2769</v>
      </c>
      <c r="D1168" s="1" t="s">
        <v>2768</v>
      </c>
    </row>
    <row r="1169" spans="1:4" x14ac:dyDescent="0.15">
      <c r="A1169" s="1" t="s">
        <v>1758</v>
      </c>
      <c r="B1169" s="3" t="str">
        <f ca="1">IFERROR(__xludf.DUMMYFUNCTION("GOOGLETRANSLATE(B1169,""es"",""en"")"),"Las Bambas: They dictate 36 months of preventive detention for the Chávez Sotelo brothers https://t.co/GHBiDHkdOJ via @peru21noticias")</f>
        <v>Las Bambas: They dictate 36 months of preventive detention for the Chávez Sotelo brothers https://t.co/GHBiDHkdOJ via @peru21noticias</v>
      </c>
      <c r="C1169" s="2" t="s">
        <v>2770</v>
      </c>
      <c r="D1169" s="1" t="s">
        <v>2768</v>
      </c>
    </row>
    <row r="1170" spans="1:4" x14ac:dyDescent="0.15">
      <c r="A1170" s="1" t="s">
        <v>1692</v>
      </c>
      <c r="B1170" s="3" t="str">
        <f ca="1">IFERROR(__xludf.DUMMYFUNCTION("GOOGLETRANSLATE(B1170,""es"",""en"")"),"RT @elscorpione1950: Night fell on the government?: ""ethnocacerismo and philosenderistas are in Las Bambas, encouraging this MISGOVERNMENT by @MartinVizcarraC"" is it an insult to call the accessory holder INEPT? Congress forced to give YES to Pantaleón "&amp;"del Solar https://t.co/u3V4m4I2fb via @peru21noticias")</f>
        <v>RT @elscorpione1950: Night fell on the government?: "ethnocacerismo and philosenderistas are in Las Bambas, encouraging this MISGOVERNMENT by @MartinVizcarraC" is it an insult to call the accessory holder INEPT? Congress forced to give YES to Pantaleón del Solar https://t.co/u3V4m4I2fb via @peru21noticias</v>
      </c>
      <c r="C1170" s="2" t="s">
        <v>2771</v>
      </c>
      <c r="D1170" s="1" t="s">
        <v>2772</v>
      </c>
    </row>
    <row r="1171" spans="1:4" x14ac:dyDescent="0.15">
      <c r="A1171" s="1" t="s">
        <v>1558</v>
      </c>
      <c r="B1171" s="3" t="str">
        <f ca="1">IFERROR(__xludf.DUMMYFUNCTION("GOOGLETRANSLATE(B1171,""es"",""en"")"),"RT @rsousaperu: State advertising increased by 91%, management inability in Las Bambas, rain of consultancies, anemia that attacks 43.5% of children...Are we preventing the southern cold?...etc. Mr. Vizcarra, when does recess end? #VizcarraEnPicada")</f>
        <v>RT @rsousaperu: State advertising increased by 91%, management inability in Las Bambas, rain of consultancies, anemia that attacks 43.5% of children...Are we preventing the southern cold?...etc. Mr. Vizcarra, when does recess end? #VizcarraEnPicada</v>
      </c>
      <c r="C1171" s="2" t="s">
        <v>2773</v>
      </c>
      <c r="D1171" s="1" t="s">
        <v>2772</v>
      </c>
    </row>
    <row r="1172" spans="1:4" x14ac:dyDescent="0.15">
      <c r="A1172" s="1" t="s">
        <v>2774</v>
      </c>
      <c r="B1172" s="3" t="str">
        <f ca="1">IFERROR(__xludf.DUMMYFUNCTION("GOOGLETRANSLATE(B1172,""es"",""en"")"),"RT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172" s="2" t="s">
        <v>2775</v>
      </c>
      <c r="D1172" s="1" t="s">
        <v>2776</v>
      </c>
    </row>
    <row r="1173" spans="1:4" x14ac:dyDescent="0.15">
      <c r="A1173" s="1" t="s">
        <v>641</v>
      </c>
      <c r="B1173" s="3" t="str">
        <f ca="1">IFERROR(__xludf.DUMMYFUNCTION("GOOGLETRANSLATE(B1173,""es"",""en"")"),"RT @ExpresoPeru: #ExprésateconExpreso 📣 Do you think that the conflict in Las Bambas will worsen after the 36-month preventive detention issued against the Chávez Sotelo?")</f>
        <v>RT @ExpresoPeru: #ExprésateconExpreso 📣 Do you think that the conflict in Las Bambas will worsen after the 36-month preventive detention issued against the Chávez Sotelo?</v>
      </c>
      <c r="C1173" s="2" t="s">
        <v>2777</v>
      </c>
      <c r="D1173" s="1" t="s">
        <v>2776</v>
      </c>
    </row>
    <row r="1174" spans="1:4" x14ac:dyDescent="0.15">
      <c r="A1174" s="1" t="s">
        <v>641</v>
      </c>
      <c r="B1174" s="3" t="str">
        <f ca="1">IFERROR(__xludf.DUMMYFUNCTION("GOOGLETRANSLATE(B1174,""es"",""en"")"),"RT @agildemeisterrrh: Question of the week: Congress should or should not grant a vote of confidence to the ""Pantaleón cabinet"", despite having questioned ministers and having sufficiently shown their inability to solve problems such as Las Bambas, citi"&amp;"zen insecurity, anemia, corruption, etc.?...")</f>
        <v>RT @agildemeisterrrh: Question of the week: Congress should or should not grant a vote of confidence to the "Pantaleón cabinet", despite having questioned ministers and having sufficiently shown their inability to solve problems such as Las Bambas, citizen insecurity, anemia, corruption, etc.?...</v>
      </c>
      <c r="C1174" s="2" t="s">
        <v>2778</v>
      </c>
      <c r="D1174" s="1" t="s">
        <v>2776</v>
      </c>
    </row>
    <row r="1175" spans="1:4" x14ac:dyDescent="0.15">
      <c r="A1175" s="1" t="s">
        <v>2779</v>
      </c>
      <c r="B1175" s="3" t="str">
        <f ca="1">IFERROR(__xludf.DUMMYFUNCTION("GOOGLETRANSLATE(B1175,""es"",""en"")"),"RT @rsousaperu: State advertising increased by 91%, management inability in Las Bambas, rain of consultancies, anemia that attacks 43.5% of children...Are we preventing the southern cold?...etc. Mr. Vizcarra, when does recess end? #VizcarraEnPicada")</f>
        <v>RT @rsousaperu: State advertising increased by 91%, management inability in Las Bambas, rain of consultancies, anemia that attacks 43.5% of children...Are we preventing the southern cold?...etc. Mr. Vizcarra, when does recess end? #VizcarraEnPicada</v>
      </c>
      <c r="C1175" s="2" t="s">
        <v>2780</v>
      </c>
      <c r="D1175" s="1" t="s">
        <v>2781</v>
      </c>
    </row>
    <row r="1176" spans="1:4" x14ac:dyDescent="0.15">
      <c r="A1176" s="1" t="s">
        <v>641</v>
      </c>
      <c r="B1176" s="3" t="str">
        <f ca="1">IFERROR(__xludf.DUMMYFUNCTION("GOOGLETRANSLATE(B1176,""es"",""en"")"),"RT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176" s="2" t="s">
        <v>2782</v>
      </c>
      <c r="D1176" s="1" t="s">
        <v>2781</v>
      </c>
    </row>
    <row r="1177" spans="1:4" x14ac:dyDescent="0.15">
      <c r="A1177" s="1" t="s">
        <v>2783</v>
      </c>
      <c r="B1177" s="3" t="str">
        <f ca="1">IFERROR(__xludf.DUMMYFUNCTION("GOOGLETRANSLATE(B1177,""es"",""en"")"),"RT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177" s="2" t="s">
        <v>2784</v>
      </c>
      <c r="D1177" s="1" t="s">
        <v>2785</v>
      </c>
    </row>
    <row r="1178" spans="1:4" x14ac:dyDescent="0.15">
      <c r="A1178" s="1" t="s">
        <v>2786</v>
      </c>
      <c r="B1178" s="3" t="str">
        <f ca="1">IFERROR(__xludf.DUMMYFUNCTION("GOOGLETRANSLATE(B1178,""es"",""en"")"),"RT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178" s="2" t="s">
        <v>2787</v>
      </c>
      <c r="D1178" s="1" t="s">
        <v>2788</v>
      </c>
    </row>
    <row r="1179" spans="1:4" x14ac:dyDescent="0.15">
      <c r="A1179" s="1" t="s">
        <v>2789</v>
      </c>
      <c r="B1179" s="3" t="str">
        <f ca="1">IFERROR(__xludf.DUMMYFUNCTION("GOOGLETRANSLATE(B1179,""es"",""en"")"),"@canalN_ The result of the demand for the gender approach is going to give rise to an unexpected mobilization that, compared to the sneakers, is nothing.")</f>
        <v>@canalN_ The result of the demand for the gender approach is going to give rise to an unexpected mobilization that, compared to the sneakers, is nothing.</v>
      </c>
      <c r="C1179" s="2" t="s">
        <v>2790</v>
      </c>
      <c r="D1179" s="1" t="s">
        <v>2788</v>
      </c>
    </row>
    <row r="1180" spans="1:4" x14ac:dyDescent="0.15">
      <c r="A1180" s="1" t="s">
        <v>2791</v>
      </c>
      <c r="B1180" s="3" t="str">
        <f ca="1">IFERROR(__xludf.DUMMYFUNCTION("GOOGLETRANSLATE(B1180,""es"",""en"")"),"with sneakers
and nothing I wanted")</f>
        <v>with sneakers
and nothing I wanted</v>
      </c>
      <c r="C1180" s="2" t="s">
        <v>2792</v>
      </c>
      <c r="D1180" s="1" t="s">
        <v>2793</v>
      </c>
    </row>
    <row r="1181" spans="1:4" x14ac:dyDescent="0.15">
      <c r="A1181" s="1" t="s">
        <v>554</v>
      </c>
      <c r="B1181" s="3" t="str">
        <f ca="1">IFERROR(__xludf.DUMMYFUNCTION("GOOGLETRANSLATE(B1181,""es"",""en"")"),"RT @jimmybussol: The prosecutor, running, went to file a complaint at the sector's police station, from there to a doctor, those sneakers that swarm around Lima, recommending sleep therapy, due to the shock suffered, being called IMMORAL, with 4 days REST"&amp;"! https://t.co/mEt108F6Mv")</f>
        <v>RT @jimmybussol: The prosecutor, running, went to file a complaint at the sector's police station, from there to a doctor, those sneakers that swarm around Lima, recommending sleep therapy, due to the shock suffered, being called IMMORAL, with 4 days REST! https://t.co/mEt108F6Mv</v>
      </c>
      <c r="C1181" s="2" t="s">
        <v>2794</v>
      </c>
      <c r="D1181" s="1" t="s">
        <v>2795</v>
      </c>
    </row>
    <row r="1182" spans="1:4" x14ac:dyDescent="0.15">
      <c r="A1182" s="1" t="s">
        <v>2796</v>
      </c>
      <c r="B1182" s="3" t="str">
        <f ca="1">IFERROR(__xludf.DUMMYFUNCTION("GOOGLETRANSLATE(B1182,""es"",""en"")"),"RT @Agencia_Andina: #LoÚltimo: They dictate 36 months of preventive detention against the Chávez Sotelo brothers, accused of extortion against the Las Bambas mining project https://t.co/oI94xbBemt https://t.co/Y9kr00s8qW")</f>
        <v>RT @Agencia_Andina: #LoÚltimo: They dictate 36 months of preventive detention against the Chávez Sotelo brothers, accused of extortion against the Las Bambas mining project https://t.co/oI94xbBemt https://t.co/Y9kr00s8qW</v>
      </c>
      <c r="C1182" s="2" t="s">
        <v>2797</v>
      </c>
      <c r="D1182" s="1" t="s">
        <v>2795</v>
      </c>
    </row>
    <row r="1183" spans="1:4" x14ac:dyDescent="0.15">
      <c r="A1183" s="1" t="s">
        <v>554</v>
      </c>
      <c r="B1183" s="3" t="str">
        <f ca="1">IFERROR(__xludf.DUMMYFUNCTION("GOOGLETRANSLATE(B1183,""es"",""en"")"),"RT @elscorpione1950: Night fell on the government?: ""ethnocacerismo and philosenderistas are in Las Bambas, encouraging this MISGOVERNMENT by @MartinVizcarraC"" is it an insult to call the accessory holder INEPT? Congress forced to give YES to Pantaleón "&amp;"del Solar https://t.co/u3V4m4I2fb via @peru21noticias")</f>
        <v>RT @elscorpione1950: Night fell on the government?: "ethnocacerismo and philosenderistas are in Las Bambas, encouraging this MISGOVERNMENT by @MartinVizcarraC" is it an insult to call the accessory holder INEPT? Congress forced to give YES to Pantaleón del Solar https://t.co/u3V4m4I2fb via @peru21noticias</v>
      </c>
      <c r="C1183" s="2" t="s">
        <v>2798</v>
      </c>
      <c r="D1183" s="1" t="s">
        <v>2795</v>
      </c>
    </row>
    <row r="1184" spans="1:4" x14ac:dyDescent="0.15">
      <c r="A1184" s="1" t="s">
        <v>1859</v>
      </c>
      <c r="B1184" s="3" t="str">
        <f ca="1">IFERROR(__xludf.DUMMYFUNCTION("GOOGLETRANSLATE(B1184,""es"",""en"")"),"RT @rsousaperu: State advertising increased by 91%, management inability in Las Bambas, rain of consultancies, anemia that attacks 43.5% of children...Are we preventing the southern cold?...etc. Mr. Vizcarra, when does recess end? #VizcarraEnPicada")</f>
        <v>RT @rsousaperu: State advertising increased by 91%, management inability in Las Bambas, rain of consultancies, anemia that attacks 43.5% of children...Are we preventing the southern cold?...etc. Mr. Vizcarra, when does recess end? #VizcarraEnPicada</v>
      </c>
      <c r="C1184" s="2" t="s">
        <v>2799</v>
      </c>
      <c r="D1184" s="1" t="s">
        <v>2800</v>
      </c>
    </row>
    <row r="1185" spans="1:4" x14ac:dyDescent="0.15">
      <c r="A1185" s="1" t="s">
        <v>603</v>
      </c>
      <c r="B1185" s="3" t="str">
        <f ca="1">IFERROR(__xludf.DUMMYFUNCTION("GOOGLETRANSLATE(B1185,""es"",""en"")"),"The situation of peasant women in Las Bambas | NewsSER https://t.co/wouDiASlsk")</f>
        <v>The situation of peasant women in Las Bambas | NewsSER https://t.co/wouDiASlsk</v>
      </c>
      <c r="C1185" s="2" t="s">
        <v>2801</v>
      </c>
      <c r="D1185" s="1" t="s">
        <v>2800</v>
      </c>
    </row>
    <row r="1186" spans="1:4" x14ac:dyDescent="0.15">
      <c r="A1186" s="1" t="s">
        <v>2802</v>
      </c>
      <c r="B1186" s="3" t="str">
        <f ca="1">IFERROR(__xludf.DUMMYFUNCTION("GOOGLETRANSLATE(B1186,""es"",""en"")"),"RT @NoeYenque: Las Bambas: seven injured after confrontation with the police in Pumamarca | Diario Perú https://t.co/5CrqgtQUUST")</f>
        <v>RT @NoeYenque: Las Bambas: seven injured after confrontation with the police in Pumamarca | Diario Perú https://t.co/5CrqgtQUUST</v>
      </c>
      <c r="C1186" s="2" t="s">
        <v>2803</v>
      </c>
      <c r="D1186" s="1" t="s">
        <v>2804</v>
      </c>
    </row>
    <row r="1187" spans="1:4" x14ac:dyDescent="0.15">
      <c r="A1187" s="1" t="s">
        <v>2805</v>
      </c>
      <c r="B1187" s="3" t="str">
        <f ca="1">IFERROR(__xludf.DUMMYFUNCTION("GOOGLETRANSLATE(B1187,""es"",""en"")"),"RT @kjawoogie: Las Bambas blockade affecting smelter treatment charges in China - important indicator of market tightness. Prices below $67 a tonne for only the second time in 5 years. China may be forced to buy more refined material from overseas or draw"&amp;" down on stocks. https://t.co/2qQUHJZqpx")</f>
        <v>RT @kjawoogie: Las Bambas blockade affecting smelter treatment charges in China - important indicator of market tightness. Prices below $67 a tonne for only the second time in 5 years. China may be forced to buy more refined material from overseas or draw down on stocks. https://t.co/2qQUHJZqpx</v>
      </c>
      <c r="C1187" s="2" t="s">
        <v>2806</v>
      </c>
      <c r="D1187" s="1" t="s">
        <v>2804</v>
      </c>
    </row>
    <row r="1188" spans="1:4" x14ac:dyDescent="0.15">
      <c r="A1188" s="1" t="s">
        <v>2807</v>
      </c>
      <c r="B1188" s="3" t="str">
        <f ca="1">IFERROR(__xludf.DUMMYFUNCTION("GOOGLETRANSLATE(B1188,""es"",""en"")"),"@jsaldanacuba @Miltonhl Your position regarding what is happening in Las Bambas leaves a lot to think about.")</f>
        <v>@jsaldanacuba @Miltonhl Your position regarding what is happening in Las Bambas leaves a lot to think about.</v>
      </c>
      <c r="C1188" s="2" t="s">
        <v>2808</v>
      </c>
      <c r="D1188" s="1" t="s">
        <v>2809</v>
      </c>
    </row>
    <row r="1189" spans="1:4" x14ac:dyDescent="0.15">
      <c r="A1189" s="1" t="s">
        <v>2810</v>
      </c>
      <c r="B1189" s="3" t="str">
        <f ca="1">IFERROR(__xludf.DUMMYFUNCTION("GOOGLETRANSLATE(B1189,""es"",""en"")"),"RT @jimmybussol: The prosecutor, running, went to file a complaint at the sector's police station, from there to a doctor, those sneakers that swarm around Lima, recommending sleep therapy, due to the shock suffered, being called IMMORAL, with 4 days REST"&amp;"! https://t.co/mEt108F6Mv")</f>
        <v>RT @jimmybussol: The prosecutor, running, went to file a complaint at the sector's police station, from there to a doctor, those sneakers that swarm around Lima, recommending sleep therapy, due to the shock suffered, being called IMMORAL, with 4 days REST! https://t.co/mEt108F6Mv</v>
      </c>
      <c r="C1189" s="2" t="s">
        <v>2811</v>
      </c>
      <c r="D1189" s="1" t="s">
        <v>2812</v>
      </c>
    </row>
    <row r="1190" spans="1:4" x14ac:dyDescent="0.15">
      <c r="A1190" s="1" t="s">
        <v>2813</v>
      </c>
      <c r="B1190" s="3" t="str">
        <f ca="1">IFERROR(__xludf.DUMMYFUNCTION("GOOGLETRANSLATE(B1190,""es"",""en"")"),"President Vizcarra has said that he agrees with the position of the community members. Will he have included in this statement the decision of those community members to maintain the seizure of the highway, as long as their lawyers, the Chávez brothers, a"&amp;"re not released? 
https://t.co/8ElvTSB84Y")</f>
        <v>President Vizcarra has said that he agrees with the position of the community members. Will he have included in this statement the decision of those community members to maintain the seizure of the highway, as long as their lawyers, the Chávez brothers, are not released? 
https://t.co/8ElvTSB84Y</v>
      </c>
      <c r="C1190" s="2" t="s">
        <v>2814</v>
      </c>
      <c r="D1190" s="1" t="s">
        <v>2815</v>
      </c>
    </row>
    <row r="1191" spans="1:4" x14ac:dyDescent="0.15">
      <c r="A1191" s="1" t="s">
        <v>2816</v>
      </c>
      <c r="B1191" s="3" t="str">
        <f ca="1">IFERROR(__xludf.DUMMYFUNCTION("GOOGLETRANSLATE(B1191,""es"",""en"")"),"RT @jimmybussol: The prosecutor, running, went to file a complaint at the sector's police station, from there to a doctor, those sneakers that swarm around Lima, recommending sleep therapy, due to the shock suffered, being called IMMORAL, with 4 days REST"&amp;"! https://t.co/mEt108F6Mv")</f>
        <v>RT @jimmybussol: The prosecutor, running, went to file a complaint at the sector's police station, from there to a doctor, those sneakers that swarm around Lima, recommending sleep therapy, due to the shock suffered, being called IMMORAL, with 4 days REST! https://t.co/mEt108F6Mv</v>
      </c>
      <c r="C1191" s="2" t="s">
        <v>2817</v>
      </c>
      <c r="D1191" s="1" t="s">
        <v>2818</v>
      </c>
    </row>
    <row r="1192" spans="1:4" x14ac:dyDescent="0.15">
      <c r="A1192" s="1" t="s">
        <v>2819</v>
      </c>
      <c r="B1192" s="3" t="str">
        <f ca="1">IFERROR(__xludf.DUMMYFUNCTION("GOOGLETRANSLATE(B1192,""es"",""en"")"),"RT @lamula: What will the Fuerabamba community ask for now? Judiciary dictates 36 months of preventive detention for the Chávez Sotelo brothers [VIDEO] --&amp;gt; https://t.co/EztHZeBKHT
#LasBambas #MiningConflicts https://t.co/nE4ZUHGTby")</f>
        <v>RT @lamula: What will the Fuerabamba community ask for now? Judiciary dictates 36 months of preventive detention for the Chávez Sotelo brothers [VIDEO] --&amp;gt; https://t.co/EztHZeBKHT
#LasBambas #MiningConflicts https://t.co/nE4ZUHGTby</v>
      </c>
      <c r="C1192" s="2" t="s">
        <v>2820</v>
      </c>
      <c r="D1192" s="1" t="s">
        <v>2821</v>
      </c>
    </row>
    <row r="1193" spans="1:4" x14ac:dyDescent="0.15">
      <c r="A1193" s="1" t="s">
        <v>2822</v>
      </c>
      <c r="B1193" s="3" t="str">
        <f ca="1">IFERROR(__xludf.DUMMYFUNCTION("GOOGLETRANSLATE(B1193,""es"",""en"")"),"@jdealthaus Should Fuerabamba lift the strike??? Las Bambas must build the Mine Pipeline!!!")</f>
        <v>@jdealthaus Should Fuerabamba lift the strike??? Las Bambas must build the Mine Pipeline!!!</v>
      </c>
      <c r="C1193" s="2" t="s">
        <v>2823</v>
      </c>
      <c r="D1193" s="1" t="s">
        <v>2824</v>
      </c>
    </row>
    <row r="1194" spans="1:4" x14ac:dyDescent="0.15">
      <c r="A1194" s="1" t="s">
        <v>120</v>
      </c>
      <c r="B1194" s="3" t="str">
        <f ca="1">IFERROR(__xludf.DUMMYFUNCTION("GOOGLETRANSLATE(B1194,""es"",""en"")"),"RT @xafu: The Judiciary issued 36 months of preventive detention for the brothers Frank and Jorge Chávez Sotelo, advisors to the community of Fuerabamba (Apurímac) investigated for alleged extortion against the mining company MMG Las Bambas.
https://t.co/"&amp;"hZe8SaIwf2")</f>
        <v>RT @xafu: The Judiciary issued 36 months of preventive detention for the brothers Frank and Jorge Chávez Sotelo, advisors to the community of Fuerabamba (Apurímac) investigated for alleged extortion against the mining company MMG Las Bambas.
https://t.co/hZe8SaIwf2</v>
      </c>
      <c r="C1194" s="2" t="s">
        <v>2825</v>
      </c>
      <c r="D1194" s="1" t="s">
        <v>2826</v>
      </c>
    </row>
    <row r="1195" spans="1:4" x14ac:dyDescent="0.15">
      <c r="A1195" s="1" t="s">
        <v>2827</v>
      </c>
      <c r="B1195" s="3" t="str">
        <f ca="1">IFERROR(__xludf.DUMMYFUNCTION("GOOGLETRANSLATE(B1195,""es"",""en"")"),"RT @PeruECpe: #LasBambas case: they dictate 3 years of preventive detention for the Chávez Sotelo brothers. Advisors from the community of Fuerabamba (Apurímac) are investigated for alleged extortion against the mining company MMG Las Bambas ► https://t.c"&amp;"o/0ja62OPdwJ https://t.co/YHkc1mf6nr")</f>
        <v>RT @PeruECpe: #LasBambas case: they dictate 3 years of preventive detention for the Chávez Sotelo brothers. Advisors from the community of Fuerabamba (Apurímac) are investigated for alleged extortion against the mining company MMG Las Bambas ► https://t.co/0ja62OPdwJ https://t.co/YHkc1mf6nr</v>
      </c>
      <c r="C1195" s="2" t="s">
        <v>2828</v>
      </c>
      <c r="D1195" s="1" t="s">
        <v>2829</v>
      </c>
    </row>
    <row r="1196" spans="1:4" x14ac:dyDescent="0.15">
      <c r="A1196" s="1" t="s">
        <v>2830</v>
      </c>
      <c r="B1196" s="3" t="str">
        <f ca="1">IFERROR(__xludf.DUMMYFUNCTION("GOOGLETRANSLATE(B1196,""es"",""en"")"),"RT @julioguzmanperu: Social conflicts require a comprehensive prevention policy. Concrete development plans and restructuring of @pcmperu. An office with ministerial rank, strategic vision and capacity for dialogue is necessary. Sustainable solution for L"&amp;"as Bambas and future conflicts.")</f>
        <v>RT @julioguzmanperu: Social conflicts require a comprehensive prevention policy. Concrete development plans and restructuring of @pcmperu. An office with ministerial rank, strategic vision and capacity for dialogue is necessary. Sustainable solution for Las Bambas and future conflicts.</v>
      </c>
      <c r="C1196" s="2" t="s">
        <v>2831</v>
      </c>
      <c r="D1196" s="1" t="s">
        <v>2832</v>
      </c>
    </row>
    <row r="1197" spans="1:4" x14ac:dyDescent="0.15">
      <c r="A1197" s="1" t="s">
        <v>241</v>
      </c>
      <c r="B1197" s="3" t="str">
        <f ca="1">IFERROR(__xludf.DUMMYFUNCTION("GOOGLETRANSLATE(B1197,""es"",""en"")"),"Martín Vizcarra “is the only one who can go” to Las Bambas to solve the conflict, says Villanueva https://t.co/F0SkTVz6iP https://t.co/dCGBojIb3S")</f>
        <v>Martín Vizcarra “is the only one who can go” to Las Bambas to solve the conflict, says Villanueva https://t.co/F0SkTVz6iP https://t.co/dCGBojIb3S</v>
      </c>
      <c r="C1197" s="2" t="s">
        <v>2833</v>
      </c>
      <c r="D1197" s="1" t="s">
        <v>2834</v>
      </c>
    </row>
    <row r="1198" spans="1:4" x14ac:dyDescent="0.15">
      <c r="A1198" s="1" t="s">
        <v>2835</v>
      </c>
      <c r="B1198" s="3" t="str">
        <f ca="1">IFERROR(__xludf.DUMMYFUNCTION("GOOGLETRANSLATE(B1198,""es"",""en"")"),"RT @alansalinas: Today's cover of the weekly PRESENTE
Issue #10
Buy it at your favorite kiosk for only 3 soles.
In this edition:
Interview with ROLANDO BREÑA PANTOJA
-""Las Bambas: Without Authority!"" 
-""The language of a populist - Analysis by 2M Analy"&amp;"tcs"" 
-""Vizcarra in free fall"" https://t.co/EfvowGlHxk")</f>
        <v>RT @alansalinas: Today's cover of the weekly PRESENTE
Issue #10
Buy it at your favorite kiosk for only 3 soles.
In this edition:
Interview with ROLANDO BREÑA PANTOJA
-"Las Bambas: Without Authority!" 
-"The language of a populist - Analysis by 2M Analytcs" 
-"Vizcarra in free fall" https://t.co/EfvowGlHxk</v>
      </c>
      <c r="C1198" s="2" t="s">
        <v>2836</v>
      </c>
      <c r="D1198" s="1" t="s">
        <v>2834</v>
      </c>
    </row>
    <row r="1199" spans="1:4" x14ac:dyDescent="0.15">
      <c r="A1199" s="1" t="s">
        <v>2837</v>
      </c>
      <c r="B1199" s="3" t="str">
        <f ca="1">IFERROR(__xludf.DUMMYFUNCTION("GOOGLETRANSLATE(B1199,""es"",""en"")"),"@michaelng10 @vozdelatierra What Prof Saldana says is a tautology. Without being teachers, we all know them. The urgent thing is to present proposals to solve the problem of Las Bambas. A local referendum could allow an agreement to be reached.")</f>
        <v>@michaelng10 @vozdelatierra What Prof Saldana says is a tautology. Without being teachers, we all know them. The urgent thing is to present proposals to solve the problem of Las Bambas. A local referendum could allow an agreement to be reached.</v>
      </c>
      <c r="C1199" s="2" t="s">
        <v>2838</v>
      </c>
      <c r="D1199" s="1" t="s">
        <v>2839</v>
      </c>
    </row>
    <row r="1200" spans="1:4" x14ac:dyDescent="0.15">
      <c r="A1200" s="1" t="s">
        <v>2840</v>
      </c>
      <c r="B1200" s="3" t="str">
        <f ca="1">IFERROR(__xludf.DUMMYFUNCTION("GOOGLETRANSLATE(B1200,""es"",""en"")"),"RT @ExpresoPeru: While the Vizcarra government takes more time to settle the Las Bambas conflict, the Walter Aduviri-type thermocephalics are working, low and behold, for a strike throughout the south in support of the community members of Fuerabamba http"&amp;"s://t .co/OVfFWfzmHo @congresoperu @presidenciaperu")</f>
        <v>RT @ExpresoPeru: While the Vizcarra government takes more time to settle the Las Bambas conflict, the Walter Aduviri-type thermocephalics are working, low and behold, for a strike throughout the south in support of the community members of Fuerabamba https://t .co/OVfFWfzmHo @congresoperu @presidenciaperu</v>
      </c>
      <c r="C1200" s="2" t="s">
        <v>2841</v>
      </c>
      <c r="D1200" s="1" t="s">
        <v>2842</v>
      </c>
    </row>
    <row r="1201" spans="1:4" x14ac:dyDescent="0.15">
      <c r="A1201" s="1" t="s">
        <v>2843</v>
      </c>
      <c r="B1201" s="3" t="str">
        <f ca="1">IFERROR(__xludf.DUMMYFUNCTION("GOOGLETRANSLATE(B1201,""es"",""en"")"),"Very good: Las Bambas: They dictate 36 months of preventive detention against advisors Chávez Sotelo | VIDEOS https://t.co/dkUUZtwOUP via @larepublica_pe")</f>
        <v>Very good: Las Bambas: They dictate 36 months of preventive detention against advisors Chávez Sotelo | VIDEOS https://t.co/dkUUZtwOUP via @larepublica_pe</v>
      </c>
      <c r="C1201" s="2" t="s">
        <v>2844</v>
      </c>
      <c r="D1201" s="1" t="s">
        <v>2845</v>
      </c>
    </row>
    <row r="1202" spans="1:4" x14ac:dyDescent="0.15">
      <c r="A1202" s="1" t="s">
        <v>2846</v>
      </c>
      <c r="B1202" s="3" t="str">
        <f ca="1">IFERROR(__xludf.DUMMYFUNCTION("GOOGLETRANSLATE(B1202,""es"",""en"")"),"RT @ExpresoPeru: Projectiles were seized in the raid on the house of one of the alleged leaders of 'Los Chavelos'. https://t.co/mT8jbMHbzr")</f>
        <v>RT @ExpresoPeru: Projectiles were seized in the raid on the house of one of the alleged leaders of 'Los Chavelos'. https://t.co/mT8jbMHbzr</v>
      </c>
      <c r="C1202" s="2" t="s">
        <v>2847</v>
      </c>
      <c r="D1202" s="1" t="s">
        <v>2848</v>
      </c>
    </row>
    <row r="1203" spans="1:4" x14ac:dyDescent="0.15">
      <c r="A1203" s="1" t="s">
        <v>2849</v>
      </c>
      <c r="B1203" s="3" t="str">
        <f ca="1">IFERROR(__xludf.DUMMYFUNCTION("GOOGLETRANSLATE(B1203,""es"",""en"")"),"Las Bambas: Strike worsens in Abancay on second day of protests (PHOTOS) https://t.co/hHaiYw1PGl")</f>
        <v>Las Bambas: Strike worsens in Abancay on second day of protests (PHOTOS) https://t.co/hHaiYw1PGl</v>
      </c>
      <c r="C1203" s="2" t="s">
        <v>2850</v>
      </c>
      <c r="D1203" s="1" t="s">
        <v>2851</v>
      </c>
    </row>
    <row r="1204" spans="1:4" x14ac:dyDescent="0.15">
      <c r="A1204" s="1" t="s">
        <v>2852</v>
      </c>
      <c r="B1204" s="3" t="str">
        <f ca="1">IFERROR(__xludf.DUMMYFUNCTION("GOOGLETRANSLATE(B1204,""es"",""en"")"),"@Gestionpe The Persecution of the hypocritical extortionist ARANA against Prosecutor CHAVARRY, is because of complicity in communal extortion and Arana is an accomplice of that criminal organization Las Bambas
CHAVARRY will be free and Arana will go to PR"&amp;"ISON
Its legislative function Criminal prosecution will end")</f>
        <v>@Gestionpe The Persecution of the hypocritical extortionist ARANA against Prosecutor CHAVARRY, is because of complicity in communal extortion and Arana is an accomplice of that criminal organization Las Bambas
CHAVARRY will be free and Arana will go to PRISON
Its legislative function Criminal prosecution will end</v>
      </c>
      <c r="C1204" s="2" t="s">
        <v>2853</v>
      </c>
      <c r="D1204" s="1" t="s">
        <v>2854</v>
      </c>
    </row>
    <row r="1205" spans="1:4" x14ac:dyDescent="0.15">
      <c r="A1205" s="1" t="s">
        <v>2855</v>
      </c>
      <c r="B1205" s="3" t="str">
        <f ca="1">IFERROR(__xludf.DUMMYFUNCTION("GOOGLETRANSLATE(B1205,""es"",""en"")"),"Aduviri threatens a strike in support of Las Bambas https://t.co/ePctGimpBO")</f>
        <v>Aduviri threatens a strike in support of Las Bambas https://t.co/ePctGimpBO</v>
      </c>
      <c r="C1205" s="2" t="s">
        <v>2856</v>
      </c>
      <c r="D1205" s="1" t="s">
        <v>2857</v>
      </c>
    </row>
    <row r="1206" spans="1:4" x14ac:dyDescent="0.15">
      <c r="A1206" s="1" t="s">
        <v>2858</v>
      </c>
      <c r="B1206" s="3" t="str">
        <f ca="1">IFERROR(__xludf.DUMMYFUNCTION("GOOGLETRANSLATE(B1206,""es"",""en"")"),"RT @Plinio2009: Aduviri threatens a strike in support of Las Bambas. While the government's ineptitude in solving this problem continues, while the Chinese mining company also pretends to be Swedish, a major riot is organized throughout the south. Be care"&amp;"ful... https://t.co/AGIkVqYMax")</f>
        <v>RT @Plinio2009: Aduviri threatens a strike in support of Las Bambas. While the government's ineptitude in solving this problem continues, while the Chinese mining company also pretends to be Swedish, a major riot is organized throughout the south. Be careful... https://t.co/AGIkVqYMax</v>
      </c>
      <c r="C1206" s="2" t="s">
        <v>2859</v>
      </c>
      <c r="D1206" s="1" t="s">
        <v>2860</v>
      </c>
    </row>
    <row r="1207" spans="1:4" x14ac:dyDescent="0.15">
      <c r="A1207" s="1" t="s">
        <v>1891</v>
      </c>
      <c r="B1207" s="3" t="str">
        <f ca="1">IFERROR(__xludf.DUMMYFUNCTION("GOOGLETRANSLATE(B1207,""es"",""en"")"),"RT @jimmybussol: The prosecutor, running, went to file a complaint at the sector's police station, from there to a doctor, those sneakers that swarm around Lima, recommending sleep therapy, due to the shock suffered, being called IMMORAL, with 4 days REST"&amp;"! https://t.co/mEt108F6Mv")</f>
        <v>RT @jimmybussol: The prosecutor, running, went to file a complaint at the sector's police station, from there to a doctor, those sneakers that swarm around Lima, recommending sleep therapy, due to the shock suffered, being called IMMORAL, with 4 days REST! https://t.co/mEt108F6Mv</v>
      </c>
      <c r="C1207" s="2" t="s">
        <v>2861</v>
      </c>
      <c r="D1207" s="1" t="s">
        <v>2862</v>
      </c>
    </row>
    <row r="1208" spans="1:4" x14ac:dyDescent="0.15">
      <c r="A1208" s="1" t="s">
        <v>2863</v>
      </c>
      <c r="B1208" s="3" t="str">
        <f ca="1">IFERROR(__xludf.DUMMYFUNCTION("GOOGLETRANSLATE(B1208,""es"",""en"")"),"RT @rsousaperu: State advertising increased by 91%, management inability in Las Bambas, rain of consultancies, anemia that attacks 43.5% of children...Are we preventing the southern cold?...etc. Mr. Vizcarra, when does recess end? #VizcarraEnPicada")</f>
        <v>RT @rsousaperu: State advertising increased by 91%, management inability in Las Bambas, rain of consultancies, anemia that attacks 43.5% of children...Are we preventing the southern cold?...etc. Mr. Vizcarra, when does recess end? #VizcarraEnPicada</v>
      </c>
      <c r="C1208" s="2" t="s">
        <v>2864</v>
      </c>
      <c r="D1208" s="1" t="s">
        <v>2865</v>
      </c>
    </row>
    <row r="1209" spans="1:4" x14ac:dyDescent="0.15">
      <c r="A1209" s="1" t="s">
        <v>2866</v>
      </c>
      <c r="B1209" s="3" t="str">
        <f ca="1">IFERROR(__xludf.DUMMYFUNCTION("GOOGLETRANSLATE(B1209,""es"",""en"")"),"Peruvian justice dictates 36 months in prison to community advisors in conflict with mining https://t.co/hwt3aUjny9")</f>
        <v>Peruvian justice dictates 36 months in prison to community advisors in conflict with mining https://t.co/hwt3aUjny9</v>
      </c>
      <c r="C1209" s="2" t="s">
        <v>2867</v>
      </c>
      <c r="D1209" s="1" t="s">
        <v>2868</v>
      </c>
    </row>
    <row r="1210" spans="1:4" x14ac:dyDescent="0.15">
      <c r="A1210" s="1" t="s">
        <v>1746</v>
      </c>
      <c r="B1210" s="3" t="str">
        <f ca="1">IFERROR(__xludf.DUMMYFUNCTION("GOOGLETRANSLATE(B1210,""es"",""en"")"),"Las Bambas: they will not lift a measure of force until the Chávez Sotelo family is released. https://t.co/FmZQTkSfFE via @elcomercio_peru")</f>
        <v>Las Bambas: they will not lift a measure of force until the Chávez Sotelo family is released. https://t.co/FmZQTkSfFE via @elcomercio_peru</v>
      </c>
      <c r="C1210" s="2" t="s">
        <v>2869</v>
      </c>
      <c r="D1210" s="1" t="s">
        <v>2870</v>
      </c>
    </row>
    <row r="1211" spans="1:4" x14ac:dyDescent="0.15">
      <c r="A1211" s="1" t="s">
        <v>2296</v>
      </c>
      <c r="B1211" s="3" t="str">
        <f ca="1">IFERROR(__xludf.DUMMYFUNCTION("GOOGLETRANSLATE(B1211,""es"",""en"")"),"RT @ThePilotTwitt: #PREMIERE talks with @IuliusAlfonsus, about the Las Bambas conflict, Former President Fujimori and the current situation. VIDEO HERE 👉🏻 https://t.co/3I02giMqaw
♥️⚪️♠️
Follow me on 👇🏻
https://t.co/NDrpg8tLCq
https://t.co/Ey77ZlwaLb h"&amp;"ttps://t.co/kqTqdzB1sL")</f>
        <v>RT @ThePilotTwitt: #PREMIERE talks with @IuliusAlfonsus, about the Las Bambas conflict, Former President Fujimori and the current situation. VIDEO HERE 👉🏻 https://t.co/3I02giMqaw
♥️⚪️♠️
Follow me on 👇🏻
https://t.co/NDrpg8tLCq
https://t.co/Ey77ZlwaLb https://t.co/kqTqdzB1sL</v>
      </c>
      <c r="C1211" s="2" t="s">
        <v>2871</v>
      </c>
      <c r="D1211" s="1" t="s">
        <v>2872</v>
      </c>
    </row>
    <row r="1212" spans="1:4" x14ac:dyDescent="0.15">
      <c r="A1212" s="1" t="s">
        <v>2873</v>
      </c>
      <c r="B1212" s="3" t="str">
        <f ca="1">IFERROR(__xludf.DUMMYFUNCTION("GOOGLETRANSLATE(B1212,""es"",""en"")"),"A mulher c as pernas sneakers n want war c ningém bnoite kkkk")</f>
        <v>A mulher c as pernas sneakers n want war c ningém bnoite kkkk</v>
      </c>
      <c r="C1212" s="2" t="s">
        <v>2874</v>
      </c>
      <c r="D1212" s="1" t="s">
        <v>2875</v>
      </c>
    </row>
    <row r="1213" spans="1:4" x14ac:dyDescent="0.15">
      <c r="A1213" s="1" t="s">
        <v>2876</v>
      </c>
      <c r="B1213" s="3" t="str">
        <f ca="1">IFERROR(__xludf.DUMMYFUNCTION("GOOGLETRANSLATE(B1213,""es"",""en"")"),"Peruvian justice dictates 36 months in prison to community advisors in conflict with mining https://t.co/e1emmdbT1X")</f>
        <v>Peruvian justice dictates 36 months in prison to community advisors in conflict with mining https://t.co/e1emmdbT1X</v>
      </c>
      <c r="C1213" s="2" t="s">
        <v>2877</v>
      </c>
      <c r="D1213" s="1" t="s">
        <v>2878</v>
      </c>
    </row>
    <row r="1214" spans="1:4" x14ac:dyDescent="0.15">
      <c r="A1214" s="1" t="s">
        <v>2879</v>
      </c>
      <c r="B1214" s="3" t="str">
        <f ca="1">IFERROR(__xludf.DUMMYFUNCTION("GOOGLETRANSLATE(B1214,""es"",""en"")"),"#TheLast: They dictate 36 months of preventive detention against the Chávez Sotelo brothers, accused of extortion against the Las Bambas mining project https://t.co/QCye7i5lsf https://t.co/QT1s9oBYbs")</f>
        <v>#TheLast: They dictate 36 months of preventive detention against the Chávez Sotelo brothers, accused of extortion against the Las Bambas mining project https://t.co/QCye7i5lsf https://t.co/QT1s9oBYbs</v>
      </c>
      <c r="C1214" s="2" t="s">
        <v>2880</v>
      </c>
      <c r="D1214" s="1" t="s">
        <v>2881</v>
      </c>
    </row>
    <row r="1215" spans="1:4" x14ac:dyDescent="0.15">
      <c r="A1215" s="1" t="s">
        <v>2879</v>
      </c>
      <c r="B1215" s="3" t="str">
        <f ca="1">IFERROR(__xludf.DUMMYFUNCTION("GOOGLETRANSLATE(B1215,""es"",""en"")"),"Las Bambas: Cotabambas Preparatory Investigation Court issued 36 months of preventive detention against the brothers Frank and Jorge Chávez Sotelo https://t.co/ISQ86EWxif (Video: Percy Hurtado) https://t.co/IiXhiXltcT")</f>
        <v>Las Bambas: Cotabambas Preparatory Investigation Court issued 36 months of preventive detention against the brothers Frank and Jorge Chávez Sotelo https://t.co/ISQ86EWxif (Video: Percy Hurtado) https://t.co/IiXhiXltcT</v>
      </c>
      <c r="C1215" s="2" t="s">
        <v>2882</v>
      </c>
      <c r="D1215" s="1" t="s">
        <v>2881</v>
      </c>
    </row>
    <row r="1216" spans="1:4" x14ac:dyDescent="0.15">
      <c r="A1216" s="1" t="s">
        <v>2883</v>
      </c>
      <c r="B1216" s="3" t="str">
        <f ca="1">IFERROR(__xludf.DUMMYFUNCTION("GOOGLETRANSLATE(B1216,""es"",""en"")"),"The same thing is that feeling when you end up working out with a pair of sneakers.")</f>
        <v>The same thing is that feeling when you end up working out with a pair of sneakers.</v>
      </c>
      <c r="C1216" s="2" t="s">
        <v>2884</v>
      </c>
      <c r="D1216" s="1" t="s">
        <v>2885</v>
      </c>
    </row>
    <row r="1217" spans="1:4" x14ac:dyDescent="0.15">
      <c r="A1217" s="1" t="s">
        <v>1675</v>
      </c>
      <c r="B1217" s="3" t="str">
        <f ca="1">IFERROR(__xludf.DUMMYFUNCTION("GOOGLETRANSLATE(B1217,""es"",""en"")"),"RT @xafu: The reds smell blood in the South.
Aduviri threatens a strike in support of Las Bambas.
https://t.co/IwWnWK87FJ")</f>
        <v>RT @xafu: The reds smell blood in the South.
Aduviri threatens a strike in support of Las Bambas.
https://t.co/IwWnWK87FJ</v>
      </c>
      <c r="C1217" s="2" t="s">
        <v>2886</v>
      </c>
      <c r="D1217" s="1" t="s">
        <v>2887</v>
      </c>
    </row>
    <row r="1218" spans="1:4" x14ac:dyDescent="0.15">
      <c r="A1218" s="1" t="s">
        <v>2888</v>
      </c>
      <c r="B1218" s="3" t="str">
        <f ca="1">IFERROR(__xludf.DUMMYFUNCTION("GOOGLETRANSLATE(B1218,""es"",""en"")"),"menamorao and now I want two pairs of sneakers oh :'''(((")</f>
        <v>menamorao and now I want two pairs of sneakers oh :'''(((</v>
      </c>
      <c r="C1218" s="2" t="s">
        <v>2889</v>
      </c>
      <c r="D1218" s="1" t="s">
        <v>2890</v>
      </c>
    </row>
    <row r="1219" spans="1:4" x14ac:dyDescent="0.15">
      <c r="A1219" s="1" t="s">
        <v>2891</v>
      </c>
      <c r="B1219" s="3" t="str">
        <f ca="1">IFERROR(__xludf.DUMMYFUNCTION("GOOGLETRANSLATE(B1219,""es"",""en"")"),"Peruvian justice dictates 36 months in prison to community advisors in conflict with mining https://t.co/kbr0QB2WWO")</f>
        <v>Peruvian justice dictates 36 months in prison to community advisors in conflict with mining https://t.co/kbr0QB2WWO</v>
      </c>
      <c r="C1219" s="2" t="s">
        <v>2892</v>
      </c>
      <c r="D1219" s="1" t="s">
        <v>2893</v>
      </c>
    </row>
    <row r="1220" spans="1:4" x14ac:dyDescent="0.15">
      <c r="A1220" s="1" t="s">
        <v>2894</v>
      </c>
      <c r="B1220" s="3" t="str">
        <f ca="1">IFERROR(__xludf.DUMMYFUNCTION("GOOGLETRANSLATE(B1220,""es"",""en"")"),"[VIDEO] #LasBambas: Movadef infiltrators identified and convicted of terrorism in protests ► https://t.co/qaanKrxxAq")</f>
        <v>[VIDEO] #LasBambas: Movadef infiltrators identified and convicted of terrorism in protests ► https://t.co/qaanKrxxAq</v>
      </c>
      <c r="C1220" s="2" t="s">
        <v>2895</v>
      </c>
      <c r="D1220" s="1" t="s">
        <v>2896</v>
      </c>
    </row>
    <row r="1221" spans="1:4" x14ac:dyDescent="0.15">
      <c r="A1221" s="1" t="s">
        <v>647</v>
      </c>
      <c r="B1221" s="3" t="str">
        <f ca="1">IFERROR(__xludf.DUMMYFUNCTION("GOOGLETRANSLATE(B1221,""es"",""en"")"),"RT @24HorasTV: [VIDEO] #LasBambas: Movadef infiltrators identified and convicted of terrorism in protests ► https://t.co/qaanKrxxAq")</f>
        <v>RT @24HorasTV: [VIDEO] #LasBambas: Movadef infiltrators identified and convicted of terrorism in protests ► https://t.co/qaanKrxxAq</v>
      </c>
      <c r="C1221" s="2" t="s">
        <v>2897</v>
      </c>
      <c r="D1221" s="1" t="s">
        <v>2896</v>
      </c>
    </row>
    <row r="1222" spans="1:4" x14ac:dyDescent="0.15">
      <c r="A1222" s="1" t="s">
        <v>2898</v>
      </c>
      <c r="B1222" s="3" t="str">
        <f ca="1">IFERROR(__xludf.DUMMYFUNCTION("GOOGLETRANSLATE(B1222,""es"",""en"")"),"Peruvian justice dictates 36 months in prison to community advisors in conflict with mining https://t.co/4dHYVEKnoZ")</f>
        <v>Peruvian justice dictates 36 months in prison to community advisors in conflict with mining https://t.co/4dHYVEKnoZ</v>
      </c>
      <c r="C1222" s="2" t="s">
        <v>2899</v>
      </c>
      <c r="D1222" s="1" t="s">
        <v>2900</v>
      </c>
    </row>
    <row r="1223" spans="1:4" x14ac:dyDescent="0.15">
      <c r="A1223" s="1" t="s">
        <v>2901</v>
      </c>
      <c r="B1223" s="3" t="str">
        <f ca="1">IFERROR(__xludf.DUMMYFUNCTION("GOOGLETRANSLATE(B1223,""es"",""en"")"),"RT @24HorasTV: [VIDEO] #LasBambas: Movadef infiltrators identified and convicted of terrorism in protests ► https://t.co/qaanKrxxAq")</f>
        <v>RT @24HorasTV: [VIDEO] #LasBambas: Movadef infiltrators identified and convicted of terrorism in protests ► https://t.co/qaanKrxxAq</v>
      </c>
      <c r="C1223" s="2" t="s">
        <v>2902</v>
      </c>
      <c r="D1223" s="1" t="s">
        <v>2903</v>
      </c>
    </row>
    <row r="1224" spans="1:4" x14ac:dyDescent="0.15">
      <c r="A1224" s="1" t="s">
        <v>2904</v>
      </c>
      <c r="B1224" s="3" t="str">
        <f ca="1">IFERROR(__xludf.DUMMYFUNCTION("GOOGLETRANSLATE(B1224,""es"",""en"")"),"RT @jdealthaus: The community of Fuerabamba continues committing crimes!! And the Judiciary cannot give in to pressure. The rule of law is needed!! Las Bambas: they will not lift a measure of force until the Chávez Sotelo family are released https://t.co/"&amp;"dKUUJ5R3q5 via @elcomercio_peru")</f>
        <v>RT @jdealthaus: The community of Fuerabamba continues committing crimes!! And the Judiciary cannot give in to pressure. The rule of law is needed!! Las Bambas: they will not lift a measure of force until the Chávez Sotelo family are released https://t.co/dKUUJ5R3q5 via @elcomercio_peru</v>
      </c>
      <c r="C1224" s="2" t="s">
        <v>2905</v>
      </c>
      <c r="D1224" s="1" t="s">
        <v>2906</v>
      </c>
    </row>
    <row r="1225" spans="1:4" x14ac:dyDescent="0.15">
      <c r="A1225" s="1" t="s">
        <v>2907</v>
      </c>
      <c r="B1225" s="3" t="str">
        <f ca="1">IFERROR(__xludf.DUMMYFUNCTION("GOOGLETRANSLATE(B1225,""es"",""en"")"),"RT @Gestionpe: Community members of La Bamba: highway seizure will continue until the release of the Chávez Sotelo ► https://t.co/C2hD5h8cny https://t.co/mYJ7sXKkTw")</f>
        <v>RT @Gestionpe: Community members of La Bamba: highway seizure will continue until the release of the Chávez Sotelo ► https://t.co/C2hD5h8cny https://t.co/mYJ7sXKkTw</v>
      </c>
      <c r="C1225" s="2" t="s">
        <v>2908</v>
      </c>
      <c r="D1225" s="1" t="s">
        <v>2909</v>
      </c>
    </row>
    <row r="1226" spans="1:4" x14ac:dyDescent="0.15">
      <c r="A1226" s="1" t="s">
        <v>1356</v>
      </c>
      <c r="B1226" s="3" t="str">
        <f ca="1">IFERROR(__xludf.DUMMYFUNCTION("GOOGLETRANSLATE(B1226,""es"",""en"")"),"RT @ExpresoPeru: Copper shipments from Las Bambas have been stopped Expreso - https://t.co/RqQJjigYv2 https://t.co/2ZKAbJUVXT")</f>
        <v>RT @ExpresoPeru: Copper shipments from Las Bambas have been stopped Expreso - https://t.co/RqQJjigYv2 https://t.co/2ZKAbJUVXT</v>
      </c>
      <c r="C1226" s="2" t="s">
        <v>2910</v>
      </c>
      <c r="D1226" s="1" t="s">
        <v>2911</v>
      </c>
    </row>
    <row r="1227" spans="1:4" x14ac:dyDescent="0.15">
      <c r="A1227" s="1" t="s">
        <v>2912</v>
      </c>
      <c r="B1227" s="3" t="str">
        <f ca="1">IFERROR(__xludf.DUMMYFUNCTION("GOOGLETRANSLATE(B1227,""es"",""en"")"),"RT @A_Aguinaga: The mining problem is beginning to become unmanageable, adding to the chaos of “la bambas” are the mayors of Islay who reject “tía María” due to the ineffectiveness and inaction of the cabinet and the entire executive. Order and principles"&amp;" of authority are urgently needed!!")</f>
        <v>RT @A_Aguinaga: The mining problem is beginning to become unmanageable, adding to the chaos of “la bambas” are the mayors of Islay who reject “tía María” due to the ineffectiveness and inaction of the cabinet and the entire executive. Order and principles of authority are urgently needed!!</v>
      </c>
      <c r="C1227" s="2" t="s">
        <v>2913</v>
      </c>
      <c r="D1227" s="1" t="s">
        <v>2914</v>
      </c>
    </row>
    <row r="1228" spans="1:4" x14ac:dyDescent="0.15">
      <c r="A1228" s="1" t="s">
        <v>330</v>
      </c>
      <c r="B1228" s="3" t="str">
        <f ca="1">IFERROR(__xludf.DUMMYFUNCTION("GOOGLETRANSLATE(B1228,""es"",""en"")"),"RT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228" s="2" t="s">
        <v>2915</v>
      </c>
      <c r="D1228" s="1" t="s">
        <v>2914</v>
      </c>
    </row>
    <row r="1229" spans="1:4" x14ac:dyDescent="0.15">
      <c r="A1229" s="1" t="s">
        <v>2916</v>
      </c>
      <c r="B1229" s="3" t="str">
        <f ca="1">IFERROR(__xludf.DUMMYFUNCTION("GOOGLETRANSLATE(B1229,""es"",""en"")"),"RT @rsousaperu: State advertising increased by 91%, management inability in Las Bambas, rain of consultancies, anemia that attacks 43.5% of children...Are we preventing the southern cold?...etc. Mr. Vizcarra, when does recess end? #VizcarraEnPicada")</f>
        <v>RT @rsousaperu: State advertising increased by 91%, management inability in Las Bambas, rain of consultancies, anemia that attacks 43.5% of children...Are we preventing the southern cold?...etc. Mr. Vizcarra, when does recess end? #VizcarraEnPicada</v>
      </c>
      <c r="C1229" s="2" t="s">
        <v>2917</v>
      </c>
      <c r="D1229" s="1" t="s">
        <v>2918</v>
      </c>
    </row>
    <row r="1230" spans="1:4" x14ac:dyDescent="0.15">
      <c r="A1230" s="1" t="s">
        <v>2919</v>
      </c>
      <c r="B1230" s="3" t="str">
        <f ca="1">IFERROR(__xludf.DUMMYFUNCTION("GOOGLETRANSLATE(B1230,""es"",""en"")"),"The Judiciary issued 36 months of preventive detention for the brothers Frank and Jorge Chávez Sotelo, advisors to the community of Fuerabamba (Apurímac) investigated for alleged extortion against the mining company MMG Las Bambas.")</f>
        <v>The Judiciary issued 36 months of preventive detention for the brothers Frank and Jorge Chávez Sotelo, advisors to the community of Fuerabamba (Apurímac) investigated for alleged extortion against the mining company MMG Las Bambas.</v>
      </c>
      <c r="C1230" s="2" t="s">
        <v>2920</v>
      </c>
      <c r="D1230" s="1" t="s">
        <v>2921</v>
      </c>
    </row>
    <row r="1231" spans="1:4" x14ac:dyDescent="0.15">
      <c r="A1231" s="1" t="s">
        <v>2183</v>
      </c>
      <c r="B1231" s="3" t="str">
        <f ca="1">IFERROR(__xludf.DUMMYFUNCTION("GOOGLETRANSLATE(B1231,""es"",""en"")"),"RT @ExpresoPeru: Copper shipments from Las Bambas have been stopped Expreso - https://t.co/RqQJjigYv2 https://t.co/2ZKAbJUVXT")</f>
        <v>RT @ExpresoPeru: Copper shipments from Las Bambas have been stopped Expreso - https://t.co/RqQJjigYv2 https://t.co/2ZKAbJUVXT</v>
      </c>
      <c r="C1231" s="2" t="s">
        <v>2922</v>
      </c>
      <c r="D1231" s="1" t="s">
        <v>2923</v>
      </c>
    </row>
    <row r="1232" spans="1:4" x14ac:dyDescent="0.15">
      <c r="A1232" s="1" t="s">
        <v>2924</v>
      </c>
      <c r="B1232" s="3" t="str">
        <f ca="1">IFERROR(__xludf.DUMMYFUNCTION("GOOGLETRANSLATE(B1232,""es"",""en"")"),"RT @JulianaOxenford: Today on #90Central, after sanctioning congressman @yonhy_lescano for 120 days, the lawyer of the journalist who reported him for sexual harassment speaks. Also everything about Las Bambas and the technical report of what happened wit"&amp;"h the burned bus. See you 6.55pm @Latina_pe")</f>
        <v>RT @JulianaOxenford: Today on #90Central, after sanctioning congressman @yonhy_lescano for 120 days, the lawyer of the journalist who reported him for sexual harassment speaks. Also everything about Las Bambas and the technical report of what happened with the burned bus. See you 6.55pm @Latina_pe</v>
      </c>
      <c r="C1232" s="2" t="s">
        <v>2925</v>
      </c>
      <c r="D1232" s="1" t="s">
        <v>2926</v>
      </c>
    </row>
    <row r="1233" spans="1:4" x14ac:dyDescent="0.15">
      <c r="A1233" s="1" t="s">
        <v>2927</v>
      </c>
      <c r="B1233" s="3" t="str">
        <f ca="1">IFERROR(__xludf.DUMMYFUNCTION("GOOGLETRANSLATE(B1233,""es"",""en"")"),"@cdantas5 @STF_oficial We do not represent us. The stabilization continues trying to maintain itself, even on sneaker legs. We are warriors and civil society will destroy you one by one.
#1964OBrasilEntreArmasELivros 
#NovaPrevidenciaJa 
#PauloGuedesOrgul"&amp;"haOBrasil 
#STFVergonhaNacional")</f>
        <v>@cdantas5 @STF_oficial We do not represent us. The stabilization continues trying to maintain itself, even on sneaker legs. We are warriors and civil society will destroy you one by one.
#1964OBrasilEntreArmasELivros 
#NovaPrevidenciaJa 
#PauloGuedesOrgulhaOBrasil 
#STFVergonhaNacional</v>
      </c>
      <c r="C1233" s="2" t="s">
        <v>2928</v>
      </c>
      <c r="D1233" s="1" t="s">
        <v>2929</v>
      </c>
    </row>
    <row r="1234" spans="1:4" x14ac:dyDescent="0.15">
      <c r="A1234" s="1" t="s">
        <v>2907</v>
      </c>
      <c r="B1234" s="3" t="str">
        <f ca="1">IFERROR(__xludf.DUMMYFUNCTION("GOOGLETRANSLATE(B1234,""es"",""en"")"),"RT @Peru_Noticias: Copper shipments from Las Bambas have stopped As a result of the blockade, copper shipments from Las Bambas to China have stopped and the mine may paralyze its activity in the... Find out more The post Copper shipments from Las Bambas.."&amp;". https://t.co/ay5czfQP0G #PerúNoticias https://t.co/HaGiq0dAK1")</f>
        <v>RT @Peru_Noticias: Copper shipments from Las Bambas have stopped As a result of the blockade, copper shipments from Las Bambas to China have stopped and the mine may paralyze its activity in the... Find out more The post Copper shipments from Las Bambas... https://t.co/ay5czfQP0G #PerúNoticias https://t.co/HaGiq0dAK1</v>
      </c>
      <c r="C1234" s="2" t="s">
        <v>2930</v>
      </c>
      <c r="D1234" s="1" t="s">
        <v>2931</v>
      </c>
    </row>
    <row r="1235" spans="1:4" x14ac:dyDescent="0.15">
      <c r="A1235" s="1" t="s">
        <v>2932</v>
      </c>
      <c r="B1235" s="3" t="str">
        <f ca="1">IFERROR(__xludf.DUMMYFUNCTION("GOOGLETRANSLATE(B1235,""es"",""en"")"),"RT @jimmybussol: The prosecutor, running, went to file a complaint at the sector's police station, from there to a doctor, those sneakers that swarm around Lima, recommending sleep therapy, due to the shock suffered, being called IMMORAL, with 4 days REST"&amp;"! https://t.co/mEt108F6Mv")</f>
        <v>RT @jimmybussol: The prosecutor, running, went to file a complaint at the sector's police station, from there to a doctor, those sneakers that swarm around Lima, recommending sleep therapy, due to the shock suffered, being called IMMORAL, with 4 days REST! https://t.co/mEt108F6Mv</v>
      </c>
      <c r="C1235" s="2" t="s">
        <v>2933</v>
      </c>
      <c r="D1235" s="1" t="s">
        <v>2931</v>
      </c>
    </row>
    <row r="1236" spans="1:4" x14ac:dyDescent="0.15">
      <c r="A1236" s="1" t="s">
        <v>2934</v>
      </c>
      <c r="B1236" s="3" t="str">
        <f ca="1">IFERROR(__xludf.DUMMYFUNCTION("GOOGLETRANSLATE(B1236,""es"",""en"")"),"Aduviri threatens a strike in support of Las Bambas https://t.co/TKTlIgTPDw")</f>
        <v>Aduviri threatens a strike in support of Las Bambas https://t.co/TKTlIgTPDw</v>
      </c>
      <c r="C1236" s="2" t="s">
        <v>2935</v>
      </c>
      <c r="D1236" s="1" t="s">
        <v>2936</v>
      </c>
    </row>
    <row r="1237" spans="1:4" x14ac:dyDescent="0.15">
      <c r="A1237" s="1" t="s">
        <v>2937</v>
      </c>
      <c r="B1237" s="3" t="str">
        <f ca="1">IFERROR(__xludf.DUMMYFUNCTION("GOOGLETRANSLATE(B1237,""es"",""en"")"),"30 minutes of step classroom and minhas pernas estão bambas")</f>
        <v>30 minutes of step classroom and minhas pernas estão bambas</v>
      </c>
      <c r="C1237" s="2" t="s">
        <v>2938</v>
      </c>
      <c r="D1237" s="1" t="s">
        <v>2939</v>
      </c>
    </row>
    <row r="1238" spans="1:4" x14ac:dyDescent="0.15">
      <c r="A1238" s="1" t="s">
        <v>2129</v>
      </c>
      <c r="B1238" s="3" t="str">
        <f ca="1">IFERROR(__xludf.DUMMYFUNCTION("GOOGLETRANSLATE(B1238,""es"",""en"")"),"RT @ExpresoPeru: Copper shipments from Las Bambas have been stopped Expreso - https://t.co/RqQJjigYv2 https://t.co/2ZKAbJUVXT")</f>
        <v>RT @ExpresoPeru: Copper shipments from Las Bambas have been stopped Expreso - https://t.co/RqQJjigYv2 https://t.co/2ZKAbJUVXT</v>
      </c>
      <c r="C1238" s="2" t="s">
        <v>2940</v>
      </c>
      <c r="D1238" s="1" t="s">
        <v>2939</v>
      </c>
    </row>
    <row r="1239" spans="1:4" x14ac:dyDescent="0.15">
      <c r="A1239" s="1" t="s">
        <v>2941</v>
      </c>
      <c r="B1239" s="3" t="str">
        <f ca="1">IFERROR(__xludf.DUMMYFUNCTION("GOOGLETRANSLATE(B1239,""es"",""en"")"),"RT @Vponce64: If @Poder_Judicial releases the Chávez brothers despite evidence gathered in violence against Las Bambas, anti-mining radicalism will have won. The anti-miners will go after the other mines in the Southern Mining Corridor because in Peru the"&amp;"re will be no Constitution or law. We are warned!")</f>
        <v>RT @Vponce64: If @Poder_Judicial releases the Chávez brothers despite evidence gathered in violence against Las Bambas, anti-mining radicalism will have won. The anti-miners will go after the other mines in the Southern Mining Corridor because in Peru there will be no Constitution or law. We are warned!</v>
      </c>
      <c r="C1239" s="2" t="s">
        <v>2942</v>
      </c>
      <c r="D1239" s="1" t="s">
        <v>2943</v>
      </c>
    </row>
    <row r="1240" spans="1:4" x14ac:dyDescent="0.15">
      <c r="A1240" s="1" t="s">
        <v>2944</v>
      </c>
      <c r="B1240" s="3" t="str">
        <f ca="1">IFERROR(__xludf.DUMMYFUNCTION("GOOGLETRANSLATE(B1240,""es"",""en"")"),"@Racism18 THEY TRANSIT CAUSING DESTRUCTION TO EVERY LIVING BEING, PLUS THAT THE AUTHORITY DECLARES AS A PUBLIC WAY THE CHINESE THREATEN TO SUSPEND THE EXTRAXTIVE OPERATIONS: THEN THEY DO IT WHAT BENEFIT DOES IT GIVE TO THE We want to solve the conflict wi"&amp;"th Las Bambas through dialogue h")</f>
        <v>@Racism18 THEY TRANSIT CAUSING DESTRUCTION TO EVERY LIVING BEING, PLUS THAT THE AUTHORITY DECLARES AS A PUBLIC WAY THE CHINESE THREATEN TO SUSPEND THE EXTRAXTIVE OPERATIONS: THEN THEY DO IT WHAT BENEFIT DOES IT GIVE TO THE We want to solve the conflict with Las Bambas through dialogue h</v>
      </c>
      <c r="C1240" s="2" t="s">
        <v>2945</v>
      </c>
      <c r="D1240" s="1" t="s">
        <v>2946</v>
      </c>
    </row>
    <row r="1241" spans="1:4" x14ac:dyDescent="0.15">
      <c r="A1241" s="1" t="s">
        <v>2641</v>
      </c>
      <c r="B1241" s="3" t="str">
        <f ca="1">IFERROR(__xludf.DUMMYFUNCTION("GOOGLETRANSLATE(B1241,""es"",""en"")"),"Copper shipments from Las Bambas have been stopped https://t.co/IOf6qqVcS7")</f>
        <v>Copper shipments from Las Bambas have been stopped https://t.co/IOf6qqVcS7</v>
      </c>
      <c r="C1241" s="2" t="s">
        <v>2947</v>
      </c>
      <c r="D1241" s="1" t="s">
        <v>2946</v>
      </c>
    </row>
    <row r="1242" spans="1:4" x14ac:dyDescent="0.15">
      <c r="A1242" s="1" t="s">
        <v>2944</v>
      </c>
      <c r="B1242" s="3" t="str">
        <f ca="1">IFERROR(__xludf.DUMMYFUNCTION("GOOGLETRANSLATE(B1242,""es"",""en"")"),"@Racismo18 THESE ABORIGENES MARK OUR IDENTITY AND ARE THE BASIS FOR THE FORMATION OF THE NATION, WHILE THE GOVERNMENT AND THE CHINESE COMPANY WHO DID NOT BUILD THE MINING DUCT THE 250 DUMPERS THAT DAILY Las Bambas: Copper production increases, despite soc"&amp;"ial conflict ht")</f>
        <v>@Racismo18 THESE ABORIGENES MARK OUR IDENTITY AND ARE THE BASIS FOR THE FORMATION OF THE NATION, WHILE THE GOVERNMENT AND THE CHINESE COMPANY WHO DID NOT BUILD THE MINING DUCT THE 250 DUMPERS THAT DAILY Las Bambas: Copper production increases, despite social conflict ht</v>
      </c>
      <c r="C1242" s="2" t="s">
        <v>2948</v>
      </c>
      <c r="D1242" s="1" t="s">
        <v>2946</v>
      </c>
    </row>
    <row r="1243" spans="1:4" x14ac:dyDescent="0.15">
      <c r="A1243" s="1" t="s">
        <v>2641</v>
      </c>
      <c r="B1243" s="3" t="str">
        <f ca="1">IFERROR(__xludf.DUMMYFUNCTION("GOOGLETRANSLATE(B1243,""es"",""en"")"),"Copper shipments from Las Bambas have been stopped https://t.co/fLc1oJKHnT")</f>
        <v>Copper shipments from Las Bambas have been stopped https://t.co/fLc1oJKHnT</v>
      </c>
      <c r="C1243" s="2" t="s">
        <v>2949</v>
      </c>
      <c r="D1243" s="1" t="s">
        <v>2946</v>
      </c>
    </row>
    <row r="1244" spans="1:4" x14ac:dyDescent="0.15">
      <c r="A1244" s="1" t="s">
        <v>2950</v>
      </c>
      <c r="B1244" s="3" t="str">
        <f ca="1">IFERROR(__xludf.DUMMYFUNCTION("GOOGLETRANSLATE(B1244,""es"",""en"")"),"RT @wilbermedinab: From what I have seen and heard up to this point, I can conclude that the Judge will declare the prosecution's request for imprisonment UNFOUNDED due to lack of evidence and other requirements. (LIVE) | Daily Mail https://t.co/DvrbrdG4s"&amp;"C")</f>
        <v>RT @wilbermedinab: From what I have seen and heard up to this point, I can conclude that the Judge will declare the prosecution's request for imprisonment UNFOUNDED due to lack of evidence and other requirements. (LIVE) | Daily Mail https://t.co/DvrbrdG4sC</v>
      </c>
      <c r="C1244" s="2" t="s">
        <v>2951</v>
      </c>
      <c r="D1244" s="1" t="s">
        <v>2952</v>
      </c>
    </row>
    <row r="1245" spans="1:4" x14ac:dyDescent="0.15">
      <c r="A1245" s="1" t="s">
        <v>2953</v>
      </c>
      <c r="B1245" s="3" t="str">
        <f ca="1">IFERROR(__xludf.DUMMYFUNCTION("GOOGLETRANSLATE(B1245,""es"",""en"")"),"Protests against Las Bambas now move to 3 provinces of Cusco https://t.co/zupdvfDVFN")</f>
        <v>Protests against Las Bambas now move to 3 provinces of Cusco https://t.co/zupdvfDVFN</v>
      </c>
      <c r="C1245" s="2" t="s">
        <v>2954</v>
      </c>
      <c r="D1245" s="1" t="s">
        <v>2955</v>
      </c>
    </row>
    <row r="1246" spans="1:4" x14ac:dyDescent="0.15">
      <c r="A1246" s="1" t="s">
        <v>474</v>
      </c>
      <c r="B1246" s="3" t="str">
        <f ca="1">IFERROR(__xludf.DUMMYFUNCTION("GOOGLETRANSLATE(B1246,""es"",""en"")"),"RT @rsousaperu: State advertising increased by 91%, management inability in Las Bambas, rain of consultancies, anemia that attacks 43.5% of children...Are we preventing the southern cold?...etc. Mr. Vizcarra, when does recess end? #VizcarraEnPicada")</f>
        <v>RT @rsousaperu: State advertising increased by 91%, management inability in Las Bambas, rain of consultancies, anemia that attacks 43.5% of children...Are we preventing the southern cold?...etc. Mr. Vizcarra, when does recess end? #VizcarraEnPicada</v>
      </c>
      <c r="C1246" s="2" t="s">
        <v>2956</v>
      </c>
      <c r="D1246" s="1" t="s">
        <v>2955</v>
      </c>
    </row>
    <row r="1247" spans="1:4" x14ac:dyDescent="0.15">
      <c r="A1247" s="1" t="s">
        <v>2957</v>
      </c>
      <c r="B1247" s="3" t="str">
        <f ca="1">IFERROR(__xludf.DUMMYFUNCTION("GOOGLETRANSLATE(B1247,""es"",""en"")"),"RT @Izokamen: @giulianacaccia @NicolasLucar His left-progressive blood that kept him hidden for years, now comes out in spurts when he notices that the caviared lentil has control of the government, a few days ago, @NicolasLucar asked that they release th"&amp;"e 2 seditious lawyers detained in Las Bambas @alvarosarco")</f>
        <v>RT @Izokamen: @giulianacaccia @NicolasLucar His left-progressive blood that kept him hidden for years, now comes out in spurts when he notices that the caviared lentil has control of the government, a few days ago, @NicolasLucar asked that they release the 2 seditious lawyers detained in Las Bambas @alvarosarco</v>
      </c>
      <c r="C1247" s="2" t="s">
        <v>2958</v>
      </c>
      <c r="D1247" s="1" t="s">
        <v>2955</v>
      </c>
    </row>
    <row r="1248" spans="1:4" x14ac:dyDescent="0.15">
      <c r="A1248" s="1" t="s">
        <v>2959</v>
      </c>
      <c r="B1248" s="3" t="str">
        <f ca="1">IFERROR(__xludf.DUMMYFUNCTION("GOOGLETRANSLATE(B1248,""es"",""en"")"),"RT @jimmybussol: The prosecutor, running, went to file a complaint at the sector's police station, from there to a doctor, those sneakers that swarm around Lima, recommending sleep therapy, due to the shock suffered, being called IMMORAL, with 4 days REST"&amp;"! https://t.co/mEt108F6Mv")</f>
        <v>RT @jimmybussol: The prosecutor, running, went to file a complaint at the sector's police station, from there to a doctor, those sneakers that swarm around Lima, recommending sleep therapy, due to the shock suffered, being called IMMORAL, with 4 days REST! https://t.co/mEt108F6Mv</v>
      </c>
      <c r="C1248" s="2" t="s">
        <v>2960</v>
      </c>
      <c r="D1248" s="1" t="s">
        <v>2961</v>
      </c>
    </row>
    <row r="1249" spans="1:4" x14ac:dyDescent="0.15">
      <c r="A1249" s="1" t="s">
        <v>2962</v>
      </c>
      <c r="B1249" s="3" t="str">
        <f ca="1">IFERROR(__xludf.DUMMYFUNCTION("GOOGLETRANSLATE(B1249,""es"",""en"")"),"Bambas is a plot by big mining, the police, Althaus and Fujiapri to kill Indians and blame Del Solar")</f>
        <v>Bambas is a plot by big mining, the police, Althaus and Fujiapri to kill Indians and blame Del Solar</v>
      </c>
      <c r="C1249" s="2" t="s">
        <v>2963</v>
      </c>
      <c r="D1249" s="1" t="s">
        <v>2961</v>
      </c>
    </row>
    <row r="1250" spans="1:4" x14ac:dyDescent="0.15">
      <c r="A1250" s="1" t="s">
        <v>2964</v>
      </c>
      <c r="B1250" s="3" t="str">
        <f ca="1">IFERROR(__xludf.DUMMYFUNCTION("GOOGLETRANSLATE(B1250,""es"",""en"")"),"RT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250" s="2" t="s">
        <v>2965</v>
      </c>
      <c r="D1250" s="1" t="s">
        <v>2961</v>
      </c>
    </row>
    <row r="1251" spans="1:4" x14ac:dyDescent="0.15">
      <c r="A1251" s="1" t="s">
        <v>2950</v>
      </c>
      <c r="B1251" s="3" t="str">
        <f ca="1">IFERROR(__xludf.DUMMYFUNCTION("GOOGLETRANSLATE(B1251,""es"",""en"")"),"RT @JBCPERU: What a way to waste time! The community members of #Fuerabamba themselves have expressed that #GregorioRojas cannot make decisions for them and if he does they will take away all representation. Mr. #DelSolar, the dialogue is there, not here."&amp;" Enough of the movie! https://t.co/B0da0YyFN3")</f>
        <v>RT @JBCPERU: What a way to waste time! The community members of #Fuerabamba themselves have expressed that #GregorioRojas cannot make decisions for them and if he does they will take away all representation. Mr. #DelSolar, the dialogue is there, not here. Enough of the movie! https://t.co/B0da0YyFN3</v>
      </c>
      <c r="C1251" s="2" t="s">
        <v>2966</v>
      </c>
      <c r="D1251" s="1" t="s">
        <v>2967</v>
      </c>
    </row>
    <row r="1252" spans="1:4" x14ac:dyDescent="0.15">
      <c r="A1252" s="1" t="s">
        <v>2968</v>
      </c>
      <c r="B1252" s="3" t="str">
        <f ca="1">IFERROR(__xludf.DUMMYFUNCTION("GOOGLETRANSLATE(B1252,""es"",""en"")"),"RT @imejiapalomimo: #GabineteBamba The Premier declared that there was NO conflict in Las Bambas!!.. So what is it?!! a tea from aunts??!!! https://t.co/Z77UrVBOtT")</f>
        <v>RT @imejiapalomimo: #GabineteBamba The Premier declared that there was NO conflict in Las Bambas!!.. So what is it?!! a tea from aunts??!!! https://t.co/Z77UrVBOtT</v>
      </c>
      <c r="C1252" s="2" t="s">
        <v>2969</v>
      </c>
      <c r="D1252" s="1" t="s">
        <v>2970</v>
      </c>
    </row>
    <row r="1253" spans="1:4" x14ac:dyDescent="0.15">
      <c r="A1253" s="1" t="s">
        <v>2971</v>
      </c>
      <c r="B1253" s="3" t="str">
        <f ca="1">IFERROR(__xludf.DUMMYFUNCTION("GOOGLETRANSLATE(B1253,""es"",""en"")"),"RT @imejiapalomimo: #GabineteBamba The Premier declared that there was NO conflict in Las Bambas!!.. So what is it?!! a tea from aunts??!!! https://t.co/Z77UrVBOtT")</f>
        <v>RT @imejiapalomimo: #GabineteBamba The Premier declared that there was NO conflict in Las Bambas!!.. So what is it?!! a tea from aunts??!!! https://t.co/Z77UrVBOtT</v>
      </c>
      <c r="C1253" s="2" t="s">
        <v>2972</v>
      </c>
      <c r="D1253" s="1" t="s">
        <v>2970</v>
      </c>
    </row>
    <row r="1254" spans="1:4" x14ac:dyDescent="0.15">
      <c r="A1254" s="1" t="s">
        <v>2968</v>
      </c>
      <c r="B1254" s="3" t="str">
        <f ca="1">IFERROR(__xludf.DUMMYFUNCTION("GOOGLETRANSLATE(B1254,""es"",""en"")"),"RT @cercastel2014: #GabineteBamba of Don Panta after the terrible events in Las Bambas has the nerve to ask for trust, because he does not do it with the people so that they can see the results https://t.co/WKA42SXkSU")</f>
        <v>RT @cercastel2014: #GabineteBamba of Don Panta after the terrible events in Las Bambas has the nerve to ask for trust, because he does not do it with the people so that they can see the results https://t.co/WKA42SXkSU</v>
      </c>
      <c r="C1254" s="2" t="s">
        <v>2973</v>
      </c>
      <c r="D1254" s="1" t="s">
        <v>2970</v>
      </c>
    </row>
    <row r="1255" spans="1:4" x14ac:dyDescent="0.15">
      <c r="A1255" s="1" t="s">
        <v>2974</v>
      </c>
      <c r="B1255" s="3" t="str">
        <f ca="1">IFERROR(__xludf.DUMMYFUNCTION("GOOGLETRANSLATE(B1255,""es"",""en"")"),"RT @noticiAmerica: The former head of the PCM, César Villanueva, stated that President Martín Vizcarra should go to Fuerabamba to resolve the conflict over Las Bambas. The APP congressman pointed out that there is distrust regarding the agreements that ca"&amp;"n be made ► https://t.co/yb7YbIdWHK https://t.co/r71NckH1gr")</f>
        <v>RT @noticiAmerica: The former head of the PCM, César Villanueva, stated that President Martín Vizcarra should go to Fuerabamba to resolve the conflict over Las Bambas. The APP congressman pointed out that there is distrust regarding the agreements that can be made ► https://t.co/yb7YbIdWHK https://t.co/r71NckH1gr</v>
      </c>
      <c r="C1255" s="2" t="s">
        <v>2975</v>
      </c>
      <c r="D1255" s="1" t="s">
        <v>2970</v>
      </c>
    </row>
    <row r="1256" spans="1:4" x14ac:dyDescent="0.15">
      <c r="A1256" s="1" t="s">
        <v>2968</v>
      </c>
      <c r="B1256" s="3" t="str">
        <f ca="1">IFERROR(__xludf.DUMMYFUNCTION("GOOGLETRANSLATE(B1256,""es"",""en"")"),"RT @PerspicazU: #GabineteBamba must go first to ask for a trusted boot from Bambas https://t.co/5llYjSKbUw")</f>
        <v>RT @PerspicazU: #GabineteBamba must go first to ask for a trusted boot from Bambas https://t.co/5llYjSKbUw</v>
      </c>
      <c r="C1256" s="2" t="s">
        <v>2976</v>
      </c>
      <c r="D1256" s="1" t="s">
        <v>2970</v>
      </c>
    </row>
    <row r="1257" spans="1:4" x14ac:dyDescent="0.15">
      <c r="A1257" s="1" t="s">
        <v>2977</v>
      </c>
      <c r="B1257" s="3" t="str">
        <f ca="1">IFERROR(__xludf.DUMMYFUNCTION("GOOGLETRANSLATE(B1257,""es"",""en"")"),"🚔👮‍♂️👮‍♀️📣In #SanJuanDeLurigancho we seized a large quantity of #Bambas sneakers, merchandise that in the national market has an approximate value of 120 thousand soles.
🚨More information at 🔗 https://t.co/hImRtBiF6Q 
🚨#PolicíaFiscal https://t.co/l"&amp;"NDvs1FORG")</f>
        <v>🚔👮‍♂️👮‍♀️📣In #SanJuanDeLurigancho we seized a large quantity of #Bambas sneakers, merchandise that in the national market has an approximate value of 120 thousand soles.
🚨More information at 🔗 https://t.co/hImRtBiF6Q 
🚨#PolicíaFiscal https://t.co/lNDvs1FORG</v>
      </c>
      <c r="C1257" s="2" t="s">
        <v>2978</v>
      </c>
      <c r="D1257" s="1" t="s">
        <v>2970</v>
      </c>
    </row>
    <row r="1258" spans="1:4" x14ac:dyDescent="0.15">
      <c r="A1258" s="1" t="s">
        <v>2979</v>
      </c>
      <c r="B1258" s="3" t="str">
        <f ca="1">IFERROR(__xludf.DUMMYFUNCTION("GOOGLETRANSLATE(B1258,""es"",""en"")"),"RT @Politico_pe: #BRIEF: How will #Las Bambas end? It already costs us more than 300 million US$ after two months. Premier said it was a matter “between private parties.” And now the Minister of Transportation says we must pay s/. 300 million! Wasn't it a"&amp;" matter between private parties? https://t.co/NNHgdIMO4T https://t.co/g9s2iLfiKX")</f>
        <v>RT @Politico_pe: #BRIEF: How will #Las Bambas end? It already costs us more than 300 million US$ after two months. Premier said it was a matter “between private parties.” And now the Minister of Transportation says we must pay s/. 300 million! Wasn't it a matter between private parties? https://t.co/NNHgdIMO4T https://t.co/g9s2iLfiKX</v>
      </c>
      <c r="C1258" s="2" t="s">
        <v>2980</v>
      </c>
      <c r="D1258" s="1" t="s">
        <v>2970</v>
      </c>
    </row>
    <row r="1259" spans="1:4" x14ac:dyDescent="0.15">
      <c r="A1259" s="1" t="s">
        <v>743</v>
      </c>
      <c r="B1259" s="3" t="str">
        <f ca="1">IFERROR(__xludf.DUMMYFUNCTION("GOOGLETRANSLATE(B1259,""es"",""en"")"),"Las Bambas Case: Chávez Sotelo Brothers will be in preventive detention for 36 months https://t.co/PGHFKTj81F")</f>
        <v>Las Bambas Case: Chávez Sotelo Brothers will be in preventive detention for 36 months https://t.co/PGHFKTj81F</v>
      </c>
      <c r="C1259" s="2" t="s">
        <v>2981</v>
      </c>
      <c r="D1259" s="1" t="s">
        <v>2982</v>
      </c>
    </row>
    <row r="1260" spans="1:4" x14ac:dyDescent="0.15">
      <c r="A1260" s="1" t="s">
        <v>2968</v>
      </c>
      <c r="B1260" s="3" t="str">
        <f ca="1">IFERROR(__xludf.DUMMYFUNCTION("GOOGLETRANSLATE(B1260,""es"",""en"")"),"RT @NinaMoraPaz23: Here we go again. We will hear more lies without thoughtful or convenient proposals for the country. Making history just like the Bambas Del Solar theme represents a #GabineteBamba")</f>
        <v>RT @NinaMoraPaz23: Here we go again. We will hear more lies without thoughtful or convenient proposals for the country. Making history just like the Bambas Del Solar theme represents a #GabineteBamba</v>
      </c>
      <c r="C1260" s="2" t="s">
        <v>2983</v>
      </c>
      <c r="D1260" s="1" t="s">
        <v>2982</v>
      </c>
    </row>
    <row r="1261" spans="1:4" x14ac:dyDescent="0.15">
      <c r="A1261" s="1" t="s">
        <v>2984</v>
      </c>
      <c r="B1261" s="3" t="str">
        <f ca="1">IFERROR(__xludf.DUMMYFUNCTION("GOOGLETRANSLATE(B1261,""es"",""en"")"),"The only way for the government to listen to you is to take the roads, otherwise look at what is happening in Las Bambas, there it will give you everything https://t.co/gScnyh0Gqr")</f>
        <v>The only way for the government to listen to you is to take the roads, otherwise look at what is happening in Las Bambas, there it will give you everything https://t.co/gScnyh0Gqr</v>
      </c>
      <c r="C1261" s="2" t="s">
        <v>2985</v>
      </c>
      <c r="D1261" s="1" t="s">
        <v>2986</v>
      </c>
    </row>
    <row r="1262" spans="1:4" x14ac:dyDescent="0.15">
      <c r="A1262" s="1" t="s">
        <v>2987</v>
      </c>
      <c r="B1262" s="3" t="str">
        <f ca="1">IFERROR(__xludf.DUMMYFUNCTION("GOOGLETRANSLATE(B1262,""es"",""en"")"),"RT @PoliciaPeru: 🚔👮‍♂️👮‍♀️📣In #SanJuanDeLurigancho we seized a large quantity of #Bambas sneakers, merchandise that in the national market has an approximate value of 120 thousand soles.
🚨More information at 🔗 https://t.co/hImRtBiF6Q 
🚨#PolicíaFisc"&amp;"al https://t.co/lNDvs1FORG")</f>
        <v>RT @PoliciaPeru: 🚔👮‍♂️👮‍♀️📣In #SanJuanDeLurigancho we seized a large quantity of #Bambas sneakers, merchandise that in the national market has an approximate value of 120 thousand soles.
🚨More information at 🔗 https://t.co/hImRtBiF6Q 
🚨#PolicíaFiscal https://t.co/lNDvs1FORG</v>
      </c>
      <c r="C1262" s="2" t="s">
        <v>2988</v>
      </c>
      <c r="D1262" s="1" t="s">
        <v>2989</v>
      </c>
    </row>
    <row r="1263" spans="1:4" x14ac:dyDescent="0.15">
      <c r="A1263" s="1" t="s">
        <v>1971</v>
      </c>
      <c r="B1263" s="3" t="str">
        <f ca="1">IFERROR(__xludf.DUMMYFUNCTION("GOOGLETRANSLATE(B1263,""es"",""en"")"),"RT @JBCPERU: Las Bambas and the cowardice of politicians | EL MONTONERO https://t.co/XqMvDfrqKh")</f>
        <v>RT @JBCPERU: Las Bambas and the cowardice of politicians | EL MONTONERO https://t.co/XqMvDfrqKh</v>
      </c>
      <c r="C1263" s="2" t="s">
        <v>2990</v>
      </c>
      <c r="D1263" s="1" t="s">
        <v>2991</v>
      </c>
    </row>
    <row r="1264" spans="1:4" x14ac:dyDescent="0.15">
      <c r="A1264" s="1" t="s">
        <v>1193</v>
      </c>
      <c r="B1264" s="3" t="str">
        <f ca="1">IFERROR(__xludf.DUMMYFUNCTION("GOOGLETRANSLATE(B1264,""es"",""en"")"),"RT @OscarSignus: SOLAR CABINET
Zero credibility, BAMBAS copper is stagnant
The country is stopped with minimal growth
We don't need actors, we need experienced executives
#VizcarraInepto and his #GabineteBamba https://t.co/QJrs6LjSEE")</f>
        <v>RT @OscarSignus: SOLAR CABINET
Zero credibility, BAMBAS copper is stagnant
The country is stopped with minimal growth
We don't need actors, we need experienced executives
#VizcarraInepto and his #GabineteBamba https://t.co/QJrs6LjSEE</v>
      </c>
      <c r="C1264" s="2" t="s">
        <v>2992</v>
      </c>
      <c r="D1264" s="1" t="s">
        <v>2991</v>
      </c>
    </row>
    <row r="1265" spans="1:4" x14ac:dyDescent="0.15">
      <c r="A1265" s="1" t="s">
        <v>2993</v>
      </c>
      <c r="B1265" s="3" t="str">
        <f ca="1">IFERROR(__xludf.DUMMYFUNCTION("GOOGLETRANSLATE(B1265,""es"",""en"")"),"RT @xafu: The Judiciary issued 36 months of preventive detention for the brothers Frank and Jorge Chávez Sotelo, advisors to the community of Fuerabamba (Apurímac) investigated for alleged extortion against the mining company MMG Las Bambas.
https://t.co/"&amp;"hZe8SaIwf2")</f>
        <v>RT @xafu: The Judiciary issued 36 months of preventive detention for the brothers Frank and Jorge Chávez Sotelo, advisors to the community of Fuerabamba (Apurímac) investigated for alleged extortion against the mining company MMG Las Bambas.
https://t.co/hZe8SaIwf2</v>
      </c>
      <c r="C1265" s="2" t="s">
        <v>2994</v>
      </c>
      <c r="D1265" s="1" t="s">
        <v>2995</v>
      </c>
    </row>
    <row r="1266" spans="1:4" x14ac:dyDescent="0.15">
      <c r="A1266" s="1" t="s">
        <v>2996</v>
      </c>
      <c r="B1266" s="3" t="str">
        <f ca="1">IFERROR(__xludf.DUMMYFUNCTION("GOOGLETRANSLATE(B1266,""es"",""en"")"),"@Jimmychinchay @canalN_ With ministers questioned, Bambas trapped and with 70% disapproval, do you have the nerve to ask for a vote of confidence? And the worst thing is that this congress on its knees gave it to them")</f>
        <v>@Jimmychinchay @canalN_ With ministers questioned, Bambas trapped and with 70% disapproval, do you have the nerve to ask for a vote of confidence? And the worst thing is that this congress on its knees gave it to them</v>
      </c>
      <c r="C1266" s="2" t="s">
        <v>2997</v>
      </c>
      <c r="D1266" s="1" t="s">
        <v>2995</v>
      </c>
    </row>
    <row r="1267" spans="1:4" x14ac:dyDescent="0.15">
      <c r="A1267" s="1" t="s">
        <v>2998</v>
      </c>
      <c r="B1267" s="3" t="str">
        <f ca="1">IFERROR(__xludf.DUMMYFUNCTION("GOOGLETRANSLATE(B1267,""es"",""en"")"),"RT @OscarSignus: SOLAR CABINET
Zero credibility, BAMBAS copper is stagnant
The country is stopped with minimal growth
We don't need actors, we need experienced executives
#VizcarraInepto and his #GabineteBamba https://t.co/QJrs6LjSEE")</f>
        <v>RT @OscarSignus: SOLAR CABINET
Zero credibility, BAMBAS copper is stagnant
The country is stopped with minimal growth
We don't need actors, we need experienced executives
#VizcarraInepto and his #GabineteBamba https://t.co/QJrs6LjSEE</v>
      </c>
      <c r="C1267" s="2" t="s">
        <v>2999</v>
      </c>
      <c r="D1267" s="1" t="s">
        <v>3000</v>
      </c>
    </row>
    <row r="1268" spans="1:4" x14ac:dyDescent="0.15">
      <c r="A1268" s="1" t="s">
        <v>2998</v>
      </c>
      <c r="B1268" s="3" t="str">
        <f ca="1">IFERROR(__xludf.DUMMYFUNCTION("GOOGLETRANSLATE(B1268,""es"",""en"")"),"RT @imejiapalomimo: #GabineteBamba The Premier declared that there was NO conflict in Las Bambas!!.. So what is it?!! a tea from aunts??!!! https://t.co/Z77UrVBOtT")</f>
        <v>RT @imejiapalomimo: #GabineteBamba The Premier declared that there was NO conflict in Las Bambas!!.. So what is it?!! a tea from aunts??!!! https://t.co/Z77UrVBOtT</v>
      </c>
      <c r="C1268" s="2" t="s">
        <v>3001</v>
      </c>
      <c r="D1268" s="1" t="s">
        <v>3002</v>
      </c>
    </row>
    <row r="1269" spans="1:4" x14ac:dyDescent="0.15">
      <c r="A1269" s="1" t="s">
        <v>2028</v>
      </c>
      <c r="B1269" s="3" t="str">
        <f ca="1">IFERROR(__xludf.DUMMYFUNCTION("GOOGLETRANSLATE(B1269,""es"",""en"")"),"RT @xafu: The Judiciary issued 36 months of preventive detention for the brothers Frank and Jorge Chávez Sotelo, advisors to the community of Fuerabamba (Apurímac) investigated for alleged extortion against the mining company MMG Las Bambas.
https://t.co/"&amp;"hZe8SaIwf2")</f>
        <v>RT @xafu: The Judiciary issued 36 months of preventive detention for the brothers Frank and Jorge Chávez Sotelo, advisors to the community of Fuerabamba (Apurímac) investigated for alleged extortion against the mining company MMG Las Bambas.
https://t.co/hZe8SaIwf2</v>
      </c>
      <c r="C1269" s="2" t="s">
        <v>3003</v>
      </c>
      <c r="D1269" s="1" t="s">
        <v>3002</v>
      </c>
    </row>
    <row r="1270" spans="1:4" x14ac:dyDescent="0.15">
      <c r="A1270" s="1" t="s">
        <v>3004</v>
      </c>
      <c r="B1270" s="3" t="str">
        <f ca="1">IFERROR(__xludf.DUMMYFUNCTION("GOOGLETRANSLATE(B1270,""es"",""en"")"),"Mulder: Del Solar has not mentioned how the Las Bambas issue will be resolved. @Politica_ECpe")</f>
        <v>Mulder: Del Solar has not mentioned how the Las Bambas issue will be resolved. @Politica_ECpe</v>
      </c>
      <c r="C1270" s="2" t="s">
        <v>3005</v>
      </c>
      <c r="D1270" s="1" t="s">
        <v>3002</v>
      </c>
    </row>
    <row r="1271" spans="1:4" x14ac:dyDescent="0.15">
      <c r="A1271" s="1" t="s">
        <v>3006</v>
      </c>
      <c r="B1271" s="3" t="str">
        <f ca="1">IFERROR(__xludf.DUMMYFUNCTION("GOOGLETRANSLATE(B1271,""es"",""en"")"),"""Even Toledo, poverty dropped 1 point but this Government increased poverty, anemia and does not solve the country's underlying problems. The demagoguery is over. The Premier has not even mentioned Las Bambas"" he said. @Mauriciomulder")</f>
        <v>"Even Toledo, poverty dropped 1 point but this Government increased poverty, anemia and does not solve the country's underlying problems. The demagoguery is over. The Premier has not even mentioned Las Bambas" he said. @Mauriciomulder</v>
      </c>
      <c r="C1271" s="2" t="s">
        <v>3007</v>
      </c>
      <c r="D1271" s="1" t="s">
        <v>3002</v>
      </c>
    </row>
    <row r="1272" spans="1:4" x14ac:dyDescent="0.15">
      <c r="A1272" s="1" t="s">
        <v>2998</v>
      </c>
      <c r="B1272" s="3" t="str">
        <f ca="1">IFERROR(__xludf.DUMMYFUNCTION("GOOGLETRANSLATE(B1272,""es"",""en"")"),"RT @PerspicazU: #GabineteBamba must go first to ask for a trusted boot from Bambas https://t.co/5llYjSKbUw")</f>
        <v>RT @PerspicazU: #GabineteBamba must go first to ask for a trusted boot from Bambas https://t.co/5llYjSKbUw</v>
      </c>
      <c r="C1272" s="2" t="s">
        <v>3008</v>
      </c>
      <c r="D1272" s="1" t="s">
        <v>3002</v>
      </c>
    </row>
    <row r="1273" spans="1:4" x14ac:dyDescent="0.15">
      <c r="A1273" s="1" t="s">
        <v>3009</v>
      </c>
      <c r="B1273" s="3" t="str">
        <f ca="1">IFERROR(__xludf.DUMMYFUNCTION("GOOGLETRANSLATE(B1273,""es"",""en"")"),"RT @CalderonPasache: Mulder: Del Solar has not mentioned how the Las Bambas issue will be resolved. @Politica_ECpe")</f>
        <v>RT @CalderonPasache: Mulder: Del Solar has not mentioned how the Las Bambas issue will be resolved. @Politica_ECpe</v>
      </c>
      <c r="C1273" s="2" t="s">
        <v>3010</v>
      </c>
      <c r="D1273" s="1" t="s">
        <v>3011</v>
      </c>
    </row>
    <row r="1274" spans="1:4" x14ac:dyDescent="0.15">
      <c r="A1274" s="1" t="s">
        <v>3012</v>
      </c>
      <c r="B1274" s="3" t="str">
        <f ca="1">IFERROR(__xludf.DUMMYFUNCTION("GOOGLETRANSLATE(B1274,""es"",""en"")"),"RT @Plinio2009: Aduviri threatens a strike in support of Las Bambas. While the government's ineptitude in solving this problem continues, while the Chinese mining company also pretends to be Swedish, a major riot is organized throughout the south. Be care"&amp;"ful... https://t.co/AGIkVqYMax")</f>
        <v>RT @Plinio2009: Aduviri threatens a strike in support of Las Bambas. While the government's ineptitude in solving this problem continues, while the Chinese mining company also pretends to be Swedish, a major riot is organized throughout the south. Be careful... https://t.co/AGIkVqYMax</v>
      </c>
      <c r="C1274" s="2" t="s">
        <v>3013</v>
      </c>
      <c r="D1274" s="1" t="s">
        <v>3011</v>
      </c>
    </row>
    <row r="1275" spans="1:4" x14ac:dyDescent="0.15">
      <c r="A1275" s="1" t="s">
        <v>2984</v>
      </c>
      <c r="B1275" s="3" t="str">
        <f ca="1">IFERROR(__xludf.DUMMYFUNCTION("GOOGLETRANSLATE(B1275,""es"",""en"")"),"He won't mention it, nor does he know where Las Bambas is https://t.co/wjiblbybkv")</f>
        <v>He won't mention it, nor does he know where Las Bambas is https://t.co/wjiblbybkv</v>
      </c>
      <c r="C1275" s="2" t="s">
        <v>3014</v>
      </c>
      <c r="D1275" s="1" t="s">
        <v>3015</v>
      </c>
    </row>
    <row r="1276" spans="1:4" x14ac:dyDescent="0.15">
      <c r="A1276" s="1" t="s">
        <v>641</v>
      </c>
      <c r="B1276" s="3" t="str">
        <f ca="1">IFERROR(__xludf.DUMMYFUNCTION("GOOGLETRANSLATE(B1276,""es"",""en"")"),"RT @willaxtv: #CloseUp
The judiciary issued 3 years of preventive detention for the Chávez Sotelo brothers, legal advisors of the Fuerabamba community and investigated for extortion of the Las Bambas mining company.
Primer Plano, the Willax newscast, Mon"&amp;"day through Friday at 11:00 p.m. https://t.co/Lj7kpSJhsb")</f>
        <v>RT @willaxtv: #CloseUp
The judiciary issued 3 years of preventive detention for the Chávez Sotelo brothers, legal advisors of the Fuerabamba community and investigated for extortion of the Las Bambas mining company.
Primer Plano, the Willax newscast, Monday through Friday at 11:00 p.m. https://t.co/Lj7kpSJhsb</v>
      </c>
      <c r="C1276" s="2" t="s">
        <v>3016</v>
      </c>
      <c r="D1276" s="1" t="s">
        <v>3015</v>
      </c>
    </row>
    <row r="1277" spans="1:4" x14ac:dyDescent="0.15">
      <c r="A1277" s="1" t="s">
        <v>3017</v>
      </c>
      <c r="B1277" s="3" t="str">
        <f ca="1">IFERROR(__xludf.DUMMYFUNCTION("GOOGLETRANSLATE(B1277,""es"",""en"")"),"@pcmperu @saldelsol @MimpPeru @MEF_Peru @MinamPeru @MinjusDH_Peru @presidenciaperu @Minsa_Peru @MininterPeru @MidisPeru @MineduPeru @minagriperu 1.- Ministers with complaints
2.- There is no presence of the state in all of Peru. Case of the sneakers
3.- P"&amp;"eru is economically paralyzed and in decline
4.- Anemia grows, there is no reconstruction, unemployment increases among Peruvians
5.- Vizcarra has them by the tail of GORE
What axles?")</f>
        <v>@pcmperu @saldelsol @MimpPeru @MEF_Peru @MinamPeru @MinjusDH_Peru @presidenciaperu @Minsa_Peru @MininterPeru @MidisPeru @MineduPeru @minagriperu 1.- Ministers with complaints
2.- There is no presence of the state in all of Peru. Case of the sneakers
3.- Peru is economically paralyzed and in decline
4.- Anemia grows, there is no reconstruction, unemployment increases among Peruvians
5.- Vizcarra has them by the tail of GORE
What axles?</v>
      </c>
      <c r="C1277" s="2" t="s">
        <v>3018</v>
      </c>
      <c r="D1277" s="1" t="s">
        <v>3019</v>
      </c>
    </row>
    <row r="1278" spans="1:4" x14ac:dyDescent="0.15">
      <c r="A1278" s="1" t="s">
        <v>3020</v>
      </c>
      <c r="B1278" s="3" t="str">
        <f ca="1">IFERROR(__xludf.DUMMYFUNCTION("GOOGLETRANSLATE(B1278,""es"",""en"")"),"RT @meiermq: Isn't this more degrading than Paisana Jacinta?: ""the protesting community members of Las Bambas are not those wonderful Andean people with their traditional folkloric clothes, who call you mamita and give you a little cheese that goes in fr"&amp;"ont of the bin because It smells like a battery"" (pen by R.León)")</f>
        <v>RT @meiermq: Isn't this more degrading than Paisana Jacinta?: "the protesting community members of Las Bambas are not those wonderful Andean people with their traditional folkloric clothes, who call you mamita and give you a little cheese that goes in front of the bin because It smells like a battery" (pen by R.León)</v>
      </c>
      <c r="C1278" s="2" t="s">
        <v>3021</v>
      </c>
      <c r="D1278" s="1" t="s">
        <v>3022</v>
      </c>
    </row>
    <row r="1279" spans="1:4" x14ac:dyDescent="0.15">
      <c r="A1279" s="1" t="s">
        <v>3023</v>
      </c>
      <c r="B1279" s="3" t="str">
        <f ca="1">IFERROR(__xludf.DUMMYFUNCTION("GOOGLETRANSLATE(B1279,""es"",""en"")"),"sneakers https://t.co/UpNTUFFZq8")</f>
        <v>sneakers https://t.co/UpNTUFFZq8</v>
      </c>
      <c r="C1279" s="2" t="s">
        <v>3024</v>
      </c>
      <c r="D1279" s="1" t="s">
        <v>3025</v>
      </c>
    </row>
    <row r="1280" spans="1:4" x14ac:dyDescent="0.15">
      <c r="A1280" s="1" t="s">
        <v>3026</v>
      </c>
      <c r="B1280" s="3" t="str">
        <f ca="1">IFERROR(__xludf.DUMMYFUNCTION("GOOGLETRANSLATE(B1280,""es"",""en"")"),"RT @marianflores123: @noticiAmerica I agree with Villanueva, it is time for the president to solve the conflict in the sneakers")</f>
        <v>RT @marianflores123: @noticiAmerica I agree with Villanueva, it is time for the president to solve the conflict in the sneakers</v>
      </c>
      <c r="C1280" s="2" t="s">
        <v>3027</v>
      </c>
      <c r="D1280" s="1" t="s">
        <v>3025</v>
      </c>
    </row>
    <row r="1281" spans="1:4" x14ac:dyDescent="0.15">
      <c r="A1281" s="1" t="s">
        <v>3026</v>
      </c>
      <c r="B1281" s="3" t="str">
        <f ca="1">IFERROR(__xludf.DUMMYFUNCTION("GOOGLETRANSLATE(B1281,""es"",""en"")"),"RT @LuisRuiz0901: @noticiAmerica It is definitely like that... no one hides, they just have to understand that everything is ""scheduled"" and if he believes that it is not necessary to go to the gym yet, it is because behind him he has a team that can so"&amp;"lve it.")</f>
        <v>RT @LuisRuiz0901: @noticiAmerica It is definitely like that... no one hides, they just have to understand that everything is "scheduled" and if he believes that it is not necessary to go to the gym yet, it is because behind him he has a team that can solve it.</v>
      </c>
      <c r="C1281" s="2" t="s">
        <v>3028</v>
      </c>
      <c r="D1281" s="1" t="s">
        <v>3029</v>
      </c>
    </row>
    <row r="1282" spans="1:4" x14ac:dyDescent="0.15">
      <c r="A1282" s="1" t="s">
        <v>3030</v>
      </c>
      <c r="B1282" s="3" t="str">
        <f ca="1">IFERROR(__xludf.DUMMYFUNCTION("GOOGLETRANSLATE(B1282,""es"",""en"")"),"@alvarosarco They are going to solve the Las Bambas problem with..... more consulting! Live!")</f>
        <v>@alvarosarco They are going to solve the Las Bambas problem with..... more consulting! Live!</v>
      </c>
      <c r="C1282" s="2" t="s">
        <v>3031</v>
      </c>
      <c r="D1282" s="1" t="s">
        <v>3032</v>
      </c>
    </row>
    <row r="1283" spans="1:4" x14ac:dyDescent="0.15">
      <c r="A1283" s="1" t="s">
        <v>2774</v>
      </c>
      <c r="B1283" s="3" t="str">
        <f ca="1">IFERROR(__xludf.DUMMYFUNCTION("GOOGLETRANSLATE(B1283,""es"",""en"")"),"RT @alvarosarco: Does anyone know how the government plans to solve the Las Bambas problem? Because as if it were a minor or unimportant matter, the useless Salvador del Solar did not say anything about it in his entire boring speech #GabineteBamba #NoAlV"&amp;"otoDeConfianza")</f>
        <v>RT @alvarosarco: Does anyone know how the government plans to solve the Las Bambas problem? Because as if it were a minor or unimportant matter, the useless Salvador del Solar did not say anything about it in his entire boring speech #GabineteBamba #NoAlVotoDeConfianza</v>
      </c>
      <c r="C1283" s="2" t="s">
        <v>3033</v>
      </c>
      <c r="D1283" s="1" t="s">
        <v>3034</v>
      </c>
    </row>
    <row r="1284" spans="1:4" x14ac:dyDescent="0.15">
      <c r="A1284" s="1" t="s">
        <v>3035</v>
      </c>
      <c r="B1284" s="3" t="str">
        <f ca="1">IFERROR(__xludf.DUMMYFUNCTION("GOOGLETRANSLATE(B1284,""es"",""en"")"),"sneakers https://t.co/axFBI36kcP")</f>
        <v>sneakers https://t.co/axFBI36kcP</v>
      </c>
      <c r="C1284" s="2" t="s">
        <v>3036</v>
      </c>
      <c r="D1284" s="1" t="s">
        <v>3037</v>
      </c>
    </row>
    <row r="1285" spans="1:4" x14ac:dyDescent="0.15">
      <c r="A1285" s="1" t="s">
        <v>3038</v>
      </c>
      <c r="B1285" s="3" t="str">
        <f ca="1">IFERROR(__xludf.DUMMYFUNCTION("GOOGLETRANSLATE(B1285,""es"",""en"")"),"RT @OscarSignus: SOLAR CABINET
Zero credibility, BAMBAS copper is stagnant
The country is stopped with minimal growth
We don't need actors, we need experienced executives
#VizcarraInepto and his #GabineteBamba https://t.co/QJrs6LjSEE")</f>
        <v>RT @OscarSignus: SOLAR CABINET
Zero credibility, BAMBAS copper is stagnant
The country is stopped with minimal growth
We don't need actors, we need experienced executives
#VizcarraInepto and his #GabineteBamba https://t.co/QJrs6LjSEE</v>
      </c>
      <c r="C1285" s="2" t="s">
        <v>3039</v>
      </c>
      <c r="D1285" s="1" t="s">
        <v>3040</v>
      </c>
    </row>
    <row r="1286" spans="1:4" x14ac:dyDescent="0.15">
      <c r="A1286" s="1" t="s">
        <v>3041</v>
      </c>
      <c r="B1286" s="3" t="str">
        <f ca="1">IFERROR(__xludf.DUMMYFUNCTION("GOOGLETRANSLATE(B1286,""es"",""en"")"),"RT @ExpresoPeru: Projectiles were seized in the raid on the house of one of the alleged leaders of 'Los Chavelos'. https://t.co/mT8jbMHbzr")</f>
        <v>RT @ExpresoPeru: Projectiles were seized in the raid on the house of one of the alleged leaders of 'Los Chavelos'. https://t.co/mT8jbMHbzr</v>
      </c>
      <c r="C1286" s="2" t="s">
        <v>3042</v>
      </c>
      <c r="D1286" s="1" t="s">
        <v>3040</v>
      </c>
    </row>
    <row r="1287" spans="1:4" x14ac:dyDescent="0.15">
      <c r="A1287" s="1" t="s">
        <v>3043</v>
      </c>
      <c r="B1287" s="3" t="str">
        <f ca="1">IFERROR(__xludf.DUMMYFUNCTION("GOOGLETRANSLATE(B1287,""es"",""en"")"),"RT @meiermq: Isn't this more degrading than Paisana Jacinta?: ""the protesting community members of Las Bambas are not those wonderful Andean people with their traditional folkloric clothes, who call you mamita and give you a little cheese that goes in fr"&amp;"ont of the bin because It smells like a battery"" (pen by R.León)")</f>
        <v>RT @meiermq: Isn't this more degrading than Paisana Jacinta?: "the protesting community members of Las Bambas are not those wonderful Andean people with their traditional folkloric clothes, who call you mamita and give you a little cheese that goes in front of the bin because It smells like a battery" (pen by R.León)</v>
      </c>
      <c r="C1287" s="2" t="s">
        <v>3044</v>
      </c>
      <c r="D1287" s="1" t="s">
        <v>3040</v>
      </c>
    </row>
    <row r="1288" spans="1:4" x14ac:dyDescent="0.15">
      <c r="A1288" s="1" t="s">
        <v>929</v>
      </c>
      <c r="B1288" s="3" t="str">
        <f ca="1">IFERROR(__xludf.DUMMYFUNCTION("GOOGLETRANSLATE(B1288,""es"",""en"")"),"IT HAPPENS IN PERU....""THEY TAKE ROADS....THEY IMPOSE CONDITIONS!!! THEY DON'T LISTEN TO ANYONE!!! THEY CORNER THE GOVERNMENT...AND THE LAWS?....WHY ARE THEY NOT APPLIED"". ...""LAS BAMBAS"" OUT OF CONTROL!!!")</f>
        <v>IT HAPPENS IN PERU...."THEY TAKE ROADS....THEY IMPOSE CONDITIONS!!! THEY DON'T LISTEN TO ANYONE!!! THEY CORNER THE GOVERNMENT...AND THE LAWS?....WHY ARE THEY NOT APPLIED". ..."LAS BAMBAS" OUT OF CONTROL!!!</v>
      </c>
      <c r="C1288" s="2" t="s">
        <v>3045</v>
      </c>
      <c r="D1288" s="1" t="s">
        <v>3046</v>
      </c>
    </row>
    <row r="1289" spans="1:4" x14ac:dyDescent="0.15">
      <c r="A1289" s="1" t="s">
        <v>3047</v>
      </c>
      <c r="B1289" s="3" t="str">
        <f ca="1">IFERROR(__xludf.DUMMYFUNCTION("GOOGLETRANSLATE(B1289,""es"",""en"")"),"@noticiAmerica Like those from Las Bambas! Do judges depend on the executive? 
They depended! 
In the era of Montesinos and Fujimori, of García...")</f>
        <v>@noticiAmerica Like those from Las Bambas! Do judges depend on the executive? 
They depended! 
In the era of Montesinos and Fujimori, of García...</v>
      </c>
      <c r="C1289" s="2" t="s">
        <v>3048</v>
      </c>
      <c r="D1289" s="1" t="s">
        <v>3046</v>
      </c>
    </row>
    <row r="1290" spans="1:4" x14ac:dyDescent="0.15">
      <c r="A1290" s="1" t="s">
        <v>3049</v>
      </c>
      <c r="B1290" s="3" t="str">
        <f ca="1">IFERROR(__xludf.DUMMYFUNCTION("GOOGLETRANSLATE(B1290,""es"",""en"")"),"RT @ocram: I don't know if I've told you, but 15 years ago I was almost lynched in Las Bambas. It was going to be my fault (ours, Marco Vásquez accompanied me). We entered without warning, like idiots, into a very isolated community. https://t.co/68w2eTIU"&amp;"hv")</f>
        <v>RT @ocram: I don't know if I've told you, but 15 years ago I was almost lynched in Las Bambas. It was going to be my fault (ours, Marco Vásquez accompanied me). We entered without warning, like idiots, into a very isolated community. https://t.co/68w2eTIUhv</v>
      </c>
      <c r="C1290" s="2" t="s">
        <v>3050</v>
      </c>
      <c r="D1290" s="1" t="s">
        <v>3051</v>
      </c>
    </row>
    <row r="1291" spans="1:4" x14ac:dyDescent="0.15">
      <c r="A1291" s="1" t="s">
        <v>3052</v>
      </c>
      <c r="B1291" s="3" t="str">
        <f ca="1">IFERROR(__xludf.DUMMYFUNCTION("GOOGLETRANSLATE(B1291,""es"",""en"")"),"Mulder criticized that Del Solar did not mention Las Bambas in a vote of confidence https://t.co/A25FJ42Nuj")</f>
        <v>Mulder criticized that Del Solar did not mention Las Bambas in a vote of confidence https://t.co/A25FJ42Nuj</v>
      </c>
      <c r="C1291" s="2" t="s">
        <v>3053</v>
      </c>
      <c r="D1291" s="1" t="s">
        <v>3051</v>
      </c>
    </row>
    <row r="1292" spans="1:4" x14ac:dyDescent="0.15">
      <c r="A1292" s="1" t="s">
        <v>3054</v>
      </c>
      <c r="B1292" s="3" t="str">
        <f ca="1">IFERROR(__xludf.DUMMYFUNCTION("GOOGLETRANSLATE(B1292,""es"",""en"")"),"RT @MarthaChavezC: With this Defense Report on Las Bambas, from December 2016, it is shown that this government was already aware of the origin of today's conflict and did little or nothing. It also reveals the inefficiency of the humalist minister Pulgar"&amp;" Vidal (exported as a guru to continue growing). https://t.co/a4jTGV198K")</f>
        <v>RT @MarthaChavezC: With this Defense Report on Las Bambas, from December 2016, it is shown that this government was already aware of the origin of today's conflict and did little or nothing. It also reveals the inefficiency of the humalist minister Pulgar Vidal (exported as a guru to continue growing). https://t.co/a4jTGV198K</v>
      </c>
      <c r="C1292" s="2" t="s">
        <v>3055</v>
      </c>
      <c r="D1292" s="1" t="s">
        <v>3056</v>
      </c>
    </row>
    <row r="1293" spans="1:4" x14ac:dyDescent="0.15">
      <c r="A1293" s="1" t="s">
        <v>3057</v>
      </c>
      <c r="B1293" s="3" t="str">
        <f ca="1">IFERROR(__xludf.DUMMYFUNCTION("GOOGLETRANSLATE(B1293,""es"",""en"")"),"@StefaniaKnowles I've seen it with Adidas sweatshirts/jackets for playing sports and the same with Nike sneakers")</f>
        <v>@StefaniaKnowles I've seen it with Adidas sweatshirts/jackets for playing sports and the same with Nike sneakers</v>
      </c>
      <c r="C1293" s="2" t="s">
        <v>3058</v>
      </c>
      <c r="D1293" s="1" t="s">
        <v>3056</v>
      </c>
    </row>
    <row r="1294" spans="1:4" x14ac:dyDescent="0.15">
      <c r="A1294" s="1" t="s">
        <v>249</v>
      </c>
      <c r="B1294" s="3" t="str">
        <f ca="1">IFERROR(__xludf.DUMMYFUNCTION("GOOGLETRANSLATE(B1294,""es"",""en"")"),"RT @tsunamivirtual: According to this investigation, President Vizcarra and Premier Salvador del Solar would be squires of PPK's businesses in the Las Bambas conflict,... https://t.co/7j2UfUaf1p")</f>
        <v>RT @tsunamivirtual: According to this investigation, President Vizcarra and Premier Salvador del Solar would be squires of PPK's businesses in the Las Bambas conflict,... https://t.co/7j2UfUaf1p</v>
      </c>
      <c r="C1294" s="2" t="s">
        <v>3059</v>
      </c>
      <c r="D1294" s="1" t="s">
        <v>3060</v>
      </c>
    </row>
    <row r="1295" spans="1:4" x14ac:dyDescent="0.15">
      <c r="A1295" s="1" t="s">
        <v>2028</v>
      </c>
      <c r="B1295" s="3" t="str">
        <f ca="1">IFERROR(__xludf.DUMMYFUNCTION("GOOGLETRANSLATE(B1295,""es"",""en"")"),"RT @PerspicazU: #GabineteBamba must go first to ask for a trusted boot from Bambas https://t.co/5llYjSKbUw")</f>
        <v>RT @PerspicazU: #GabineteBamba must go first to ask for a trusted boot from Bambas https://t.co/5llYjSKbUw</v>
      </c>
      <c r="C1295" s="2" t="s">
        <v>3061</v>
      </c>
      <c r="D1295" s="1" t="s">
        <v>3060</v>
      </c>
    </row>
    <row r="1296" spans="1:4" x14ac:dyDescent="0.15">
      <c r="A1296" s="1" t="s">
        <v>3062</v>
      </c>
      <c r="B1296" s="3" t="str">
        <f ca="1">IFERROR(__xludf.DUMMYFUNCTION("GOOGLETRANSLATE(B1296,""es"",""en"")"),"RT @christianvuiYT: me: forgive me father for i have sinned
father: yeah it's cool just do 2 hail marys, 1 our father, 2 sicko modes, and 3 mo sneakers.
me: what
daddy: 😎👌🏻")</f>
        <v>RT @christianvuiYT: me: forgive me father for i have sinned
father: yeah it's cool just do 2 hail marys, 1 our father, 2 sicko modes, and 3 mo sneakers.
me: what
daddy: 😎👌🏻</v>
      </c>
      <c r="C1296" s="2" t="s">
        <v>3063</v>
      </c>
      <c r="D1296" s="1" t="s">
        <v>3064</v>
      </c>
    </row>
    <row r="1297" spans="1:4" x14ac:dyDescent="0.15">
      <c r="A1297" s="1" t="s">
        <v>249</v>
      </c>
      <c r="B1297" s="3" t="str">
        <f ca="1">IFERROR(__xludf.DUMMYFUNCTION("GOOGLETRANSLATE(B1297,""es"",""en"")"),"RT @LynhSac: VIZCARRA AND PANTALEON AND THEIR VISITORS - THEY ARE TAKING CARE OF PPK'S BUSINESS!
VIZCARRA AND PANTALEON AND THEIR VISITORS - THEY ARE TAKING CARE OF PPK'S BUSINESS! https://t.co/ZUIyjfiEqx")</f>
        <v>RT @LynhSac: VIZCARRA AND PANTALEON AND THEIR VISITORS - THEY ARE TAKING CARE OF PPK'S BUSINESS!
VIZCARRA AND PANTALEON AND THEIR VISITORS - THEY ARE TAKING CARE OF PPK'S BUSINESS! https://t.co/ZUIyjfiEqx</v>
      </c>
      <c r="C1297" s="2" t="s">
        <v>3065</v>
      </c>
      <c r="D1297" s="1" t="s">
        <v>3064</v>
      </c>
    </row>
    <row r="1298" spans="1:4" x14ac:dyDescent="0.15">
      <c r="A1298" s="1" t="s">
        <v>1201</v>
      </c>
      <c r="B1298" s="3" t="str">
        <f ca="1">IFERROR(__xludf.DUMMYFUNCTION("GOOGLETRANSLATE(B1298,""es"",""en"")"),"@elcomercio_peru Those from Bambas ask the government to release their lawyers in preventive detention?
Fujimorists ask the government to release Keiko from preventive detention?
And the independence of powers? It doesn't matter?
as long as the governmen"&amp;"t puts pressure on the judiciary? and achieve releases?
That's blackmail.")</f>
        <v>@elcomercio_peru Those from Bambas ask the government to release their lawyers in preventive detention?
Fujimorists ask the government to release Keiko from preventive detention?
And the independence of powers? It doesn't matter?
as long as the government puts pressure on the judiciary? and achieve releases?
That's blackmail.</v>
      </c>
      <c r="C1298" s="2" t="s">
        <v>3066</v>
      </c>
      <c r="D1298" s="1" t="s">
        <v>3067</v>
      </c>
    </row>
    <row r="1299" spans="1:4" x14ac:dyDescent="0.15">
      <c r="A1299" s="1" t="s">
        <v>3068</v>
      </c>
      <c r="B1299" s="3" t="str">
        <f ca="1">IFERROR(__xludf.DUMMYFUNCTION("GOOGLETRANSLATE(B1299,""es"",""en"")"),"Hahahaha, scared to death of losing their beans congressmen give confidence to cabinet @saldelsol 
Never mind ministers with an investigation for Corruption, Las Bambas, the pocketbook is not first, pathetic, cowards.
Barking dog does not bite!
@congresop"&amp;"eru")</f>
        <v>Hahahaha, scared to death of losing their beans congressmen give confidence to cabinet @saldelsol 
Never mind ministers with an investigation for Corruption, Las Bambas, the pocketbook is not first, pathetic, cowards.
Barking dog does not bite!
@congresoperu</v>
      </c>
      <c r="C1299" s="2" t="s">
        <v>3069</v>
      </c>
      <c r="D1299" s="1" t="s">
        <v>3070</v>
      </c>
    </row>
    <row r="1300" spans="1:4" x14ac:dyDescent="0.15">
      <c r="A1300" s="1" t="s">
        <v>3071</v>
      </c>
      <c r="B1300" s="3" t="str">
        <f ca="1">IFERROR(__xludf.DUMMYFUNCTION("GOOGLETRANSLATE(B1300,""es"",""en"")"),"RT @alvarosarco: Does anyone know how the government plans to solve the Las Bambas problem? Because as if it were a minor or unimportant matter, the useless Salvador del Solar did not say anything about it in his entire boring speech #GabineteBamba #NoAlV"&amp;"otoDeConfianza")</f>
        <v>RT @alvarosarco: Does anyone know how the government plans to solve the Las Bambas problem? Because as if it were a minor or unimportant matter, the useless Salvador del Solar did not say anything about it in his entire boring speech #GabineteBamba #NoAlVotoDeConfianza</v>
      </c>
      <c r="C1300" s="2" t="s">
        <v>3072</v>
      </c>
      <c r="D1300" s="1" t="s">
        <v>3070</v>
      </c>
    </row>
    <row r="1301" spans="1:4" x14ac:dyDescent="0.15">
      <c r="A1301" s="1" t="s">
        <v>3073</v>
      </c>
      <c r="B1301" s="3" t="str">
        <f ca="1">IFERROR(__xludf.DUMMYFUNCTION("GOOGLETRANSLATE(B1301,""es"",""en"")"),"RT @christianvuiYT: me: forgive me father for i have sinned
father: yeah it's cool just do 2 hail marys, 1 our father, 2 sicko modes, and 3 mo sneakers.
me: what
daddy: 😎👌🏻")</f>
        <v>RT @christianvuiYT: me: forgive me father for i have sinned
father: yeah it's cool just do 2 hail marys, 1 our father, 2 sicko modes, and 3 mo sneakers.
me: what
daddy: 😎👌🏻</v>
      </c>
      <c r="C1301" s="2" t="s">
        <v>3074</v>
      </c>
      <c r="D1301" s="1" t="s">
        <v>3070</v>
      </c>
    </row>
    <row r="1302" spans="1:4" x14ac:dyDescent="0.15">
      <c r="A1302" s="1" t="s">
        <v>3075</v>
      </c>
      <c r="B1302" s="3" t="str">
        <f ca="1">IFERROR(__xludf.DUMMYFUNCTION("GOOGLETRANSLATE(B1302,""es"",""en"")"),"Is it clear to everyone that mining conflicts, like the one in Las Bambas, are not only social or environmental but basically a contrast of value systems?")</f>
        <v>Is it clear to everyone that mining conflicts, like the one in Las Bambas, are not only social or environmental but basically a contrast of value systems?</v>
      </c>
      <c r="C1302" s="2" t="s">
        <v>3076</v>
      </c>
      <c r="D1302" s="1" t="s">
        <v>3070</v>
      </c>
    </row>
    <row r="1303" spans="1:4" x14ac:dyDescent="0.15">
      <c r="A1303" s="1" t="s">
        <v>3077</v>
      </c>
      <c r="B1303" s="3" t="str">
        <f ca="1">IFERROR(__xludf.DUMMYFUNCTION("GOOGLETRANSLATE(B1303,""es"",""en"")"),"@noticiAmerica I wouldn't be surprised if there were orange infiltrators in the Las Bambas mining conflict, the shielding of the corrupt Prosecutor Chavarry by the Fujiapristas is also very strange just before the request for a vote of confidence from the"&amp;" Premier @saldelsol. What are they up to?? ?")</f>
        <v>@noticiAmerica I wouldn't be surprised if there were orange infiltrators in the Las Bambas mining conflict, the shielding of the corrupt Prosecutor Chavarry by the Fujiapristas is also very strange just before the request for a vote of confidence from the Premier @saldelsol. What are they up to?? ?</v>
      </c>
      <c r="C1303" s="2" t="s">
        <v>3078</v>
      </c>
      <c r="D1303" s="1" t="s">
        <v>3079</v>
      </c>
    </row>
    <row r="1304" spans="1:4" x14ac:dyDescent="0.15">
      <c r="A1304" s="1" t="s">
        <v>3080</v>
      </c>
      <c r="B1304" s="3" t="str">
        <f ca="1">IFERROR(__xludf.DUMMYFUNCTION("GOOGLETRANSLATE(B1304,""es"",""en"")"),"#THEULTIMO Víctor Andrés García Belaúnde announces that they will question the Minister of Transportation, Edmer Trujillo. The head of the MTC would not have been efficient in Las Bambas (via Yavi Yavi), Jorge Chávez Airport (expansion is not completed) a"&amp;"nd tragedy in Fiori @larepublica_pe")</f>
        <v>#THEULTIMO Víctor Andrés García Belaúnde announces that they will question the Minister of Transportation, Edmer Trujillo. The head of the MTC would not have been efficient in Las Bambas (via Yavi Yavi), Jorge Chávez Airport (expansion is not completed) and tragedy in Fiori @larepublica_pe</v>
      </c>
      <c r="C1304" s="2" t="s">
        <v>3081</v>
      </c>
      <c r="D1304" s="1" t="s">
        <v>3079</v>
      </c>
    </row>
    <row r="1305" spans="1:4" x14ac:dyDescent="0.15">
      <c r="A1305" s="1" t="s">
        <v>3082</v>
      </c>
      <c r="B1305" s="3" t="str">
        <f ca="1">IFERROR(__xludf.DUMMYFUNCTION("GOOGLETRANSLATE(B1305,""es"",""en"")"),"RT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305" s="2" t="s">
        <v>3083</v>
      </c>
      <c r="D1305" s="1" t="s">
        <v>3084</v>
      </c>
    </row>
    <row r="1306" spans="1:4" x14ac:dyDescent="0.15">
      <c r="A1306" s="1" t="s">
        <v>3085</v>
      </c>
      <c r="B1306" s="3" t="str">
        <f ca="1">IFERROR(__xludf.DUMMYFUNCTION("GOOGLETRANSLATE(B1306,""es"",""en"")"),"RT @alvarosarco: Does anyone know how the government plans to solve the Las Bambas problem? Because as if it were a minor or unimportant matter, the useless Salvador del Solar did not say anything about it in his entire boring speech #GabineteBamba #NoAlV"&amp;"otoDeConfianza")</f>
        <v>RT @alvarosarco: Does anyone know how the government plans to solve the Las Bambas problem? Because as if it were a minor or unimportant matter, the useless Salvador del Solar did not say anything about it in his entire boring speech #GabineteBamba #NoAlVotoDeConfianza</v>
      </c>
      <c r="C1306" s="2" t="s">
        <v>3086</v>
      </c>
      <c r="D1306" s="1" t="s">
        <v>3084</v>
      </c>
    </row>
    <row r="1307" spans="1:4" x14ac:dyDescent="0.15">
      <c r="A1307" s="1" t="s">
        <v>3087</v>
      </c>
      <c r="B1307" s="3" t="str">
        <f ca="1">IFERROR(__xludf.DUMMYFUNCTION("GOOGLETRANSLATE(B1307,""es"",""en"")"),"RT @julioguzmanperu: Social conflicts require a comprehensive prevention policy. Concrete development plans and restructuring of @pcmperu. An office with ministerial rank, strategic vision and capacity for dialogue is necessary. Sustainable solution for L"&amp;"as Bambas and future conflicts.")</f>
        <v>RT @julioguzmanperu: Social conflicts require a comprehensive prevention policy. Concrete development plans and restructuring of @pcmperu. An office with ministerial rank, strategic vision and capacity for dialogue is necessary. Sustainable solution for Las Bambas and future conflicts.</v>
      </c>
      <c r="C1307" s="2" t="s">
        <v>3088</v>
      </c>
      <c r="D1307" s="1" t="s">
        <v>3084</v>
      </c>
    </row>
    <row r="1308" spans="1:4" x14ac:dyDescent="0.15">
      <c r="A1308" s="1" t="s">
        <v>3089</v>
      </c>
      <c r="B1308" s="3" t="str">
        <f ca="1">IFERROR(__xludf.DUMMYFUNCTION("GOOGLETRANSLATE(B1308,""es"",""en"")"),"RT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308" s="2" t="s">
        <v>3090</v>
      </c>
      <c r="D1308" s="1" t="s">
        <v>3091</v>
      </c>
    </row>
    <row r="1309" spans="1:4" x14ac:dyDescent="0.15">
      <c r="A1309" s="1" t="s">
        <v>3092</v>
      </c>
      <c r="B1309" s="3" t="str">
        <f ca="1">IFERROR(__xludf.DUMMYFUNCTION("GOOGLETRANSLATE(B1309,""es"",""en"")"),"RT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309" s="2" t="s">
        <v>3093</v>
      </c>
      <c r="D1309" s="1" t="s">
        <v>3091</v>
      </c>
    </row>
    <row r="1310" spans="1:4" x14ac:dyDescent="0.15">
      <c r="A1310" s="1" t="s">
        <v>1409</v>
      </c>
      <c r="B1310" s="3" t="str">
        <f ca="1">IFERROR(__xludf.DUMMYFUNCTION("GOOGLETRANSLATE(B1310,""es"",""en"")"),"RT @bethlaw011: I am listening to the Premier and he still does not explain the concrete actions to close gaps in infrastructure, investments, employability.
And regarding the Bambas?, solution proposals?
That's what the vote of confidence is about. https"&amp;"://t.co/2pceLTRvPr")</f>
        <v>RT @bethlaw011: I am listening to the Premier and he still does not explain the concrete actions to close gaps in infrastructure, investments, employability.
And regarding the Bambas?, solution proposals?
That's what the vote of confidence is about. https://t.co/2pceLTRvPr</v>
      </c>
      <c r="C1310" s="2" t="s">
        <v>3094</v>
      </c>
      <c r="D1310" s="1" t="s">
        <v>3095</v>
      </c>
    </row>
    <row r="1311" spans="1:4" x14ac:dyDescent="0.15">
      <c r="A1311" s="1" t="s">
        <v>2028</v>
      </c>
      <c r="B1311" s="3" t="str">
        <f ca="1">IFERROR(__xludf.DUMMYFUNCTION("GOOGLETRANSLATE(B1311,""es"",""en"")"),"RT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311" s="2" t="s">
        <v>3096</v>
      </c>
      <c r="D1311" s="1" t="s">
        <v>3095</v>
      </c>
    </row>
    <row r="1312" spans="1:4" x14ac:dyDescent="0.15">
      <c r="A1312" s="1" t="s">
        <v>3097</v>
      </c>
      <c r="B1312" s="3" t="str">
        <f ca="1">IFERROR(__xludf.DUMMYFUNCTION("GOOGLETRANSLATE(B1312,""es"",""en"")"),"RT @meiermq: Isn't this more degrading than Paisana Jacinta?: ""the protesting community members of Las Bambas are not those wonderful Andean people with their traditional folkloric clothes, who call you mamita and give you a little cheese that goes in fr"&amp;"ont of the bin because It smells like a battery"" (pen by R.León)")</f>
        <v>RT @meiermq: Isn't this more degrading than Paisana Jacinta?: "the protesting community members of Las Bambas are not those wonderful Andean people with their traditional folkloric clothes, who call you mamita and give you a little cheese that goes in front of the bin because It smells like a battery" (pen by R.León)</v>
      </c>
      <c r="C1312" s="2" t="s">
        <v>3098</v>
      </c>
      <c r="D1312" s="1" t="s">
        <v>3095</v>
      </c>
    </row>
    <row r="1313" spans="1:4" x14ac:dyDescent="0.15">
      <c r="A1313" s="1" t="s">
        <v>2045</v>
      </c>
      <c r="B1313" s="3" t="str">
        <f ca="1">IFERROR(__xludf.DUMMYFUNCTION("GOOGLETRANSLATE(B1313,""es"",""en"")"),"RT @rsousaperu: State advertising increased by 91%, management inability in Las Bambas, rain of consultancies, anemia that attacks 43.5% of children...Are we preventing the southern cold?...etc. Mr. Vizcarra, when does recess end? #VizcarraEnPicada")</f>
        <v>RT @rsousaperu: State advertising increased by 91%, management inability in Las Bambas, rain of consultancies, anemia that attacks 43.5% of children...Are we preventing the southern cold?...etc. Mr. Vizcarra, when does recess end? #VizcarraEnPicada</v>
      </c>
      <c r="C1313" s="2" t="s">
        <v>3099</v>
      </c>
      <c r="D1313" s="1" t="s">
        <v>3100</v>
      </c>
    </row>
    <row r="1314" spans="1:4" x14ac:dyDescent="0.15">
      <c r="A1314" s="1" t="s">
        <v>2028</v>
      </c>
      <c r="B1314" s="3" t="str">
        <f ca="1">IFERROR(__xludf.DUMMYFUNCTION("GOOGLETRANSLATE(B1314,""es"",""en"")"),"RT @jimmybussol: The prosecutor, running, went to file a complaint at the sector's police station, from there to a doctor, those sneakers that swarm around Lima, recommending sleep therapy, due to the shock suffered, being called IMMORAL, with 4 days REST"&amp;"! https://t.co/mEt108F6Mv")</f>
        <v>RT @jimmybussol: The prosecutor, running, went to file a complaint at the sector's police station, from there to a doctor, those sneakers that swarm around Lima, recommending sleep therapy, due to the shock suffered, being called IMMORAL, with 4 days REST! https://t.co/mEt108F6Mv</v>
      </c>
      <c r="C1314" s="2" t="s">
        <v>3101</v>
      </c>
      <c r="D1314" s="1" t="s">
        <v>3100</v>
      </c>
    </row>
    <row r="1315" spans="1:4" x14ac:dyDescent="0.15">
      <c r="A1315" s="1" t="s">
        <v>3102</v>
      </c>
      <c r="B1315" s="3" t="str">
        <f ca="1">IFERROR(__xludf.DUMMYFUNCTION("GOOGLETRANSLATE(B1315,""es"",""en"")"),"Mining in Carhuamayo, Junín, extensive exploration at the head of the basin in communal territory, without consultation and with the consent of the Ministry of Energy and Mines. The population is mobilized. Just like in Las Bambas! @BancadaFAperu https://"&amp;"t.co/1LCgzEgQvN")</f>
        <v>Mining in Carhuamayo, Junín, extensive exploration at the head of the basin in communal territory, without consultation and with the consent of the Ministry of Energy and Mines. The population is mobilized. Just like in Las Bambas! @BancadaFAperu https://t.co/1LCgzEgQvN</v>
      </c>
      <c r="C1315" s="2" t="s">
        <v>3103</v>
      </c>
      <c r="D1315" s="1" t="s">
        <v>3100</v>
      </c>
    </row>
    <row r="1316" spans="1:4" x14ac:dyDescent="0.15">
      <c r="A1316" s="1" t="s">
        <v>3104</v>
      </c>
      <c r="B1316" s="3" t="str">
        <f ca="1">IFERROR(__xludf.DUMMYFUNCTION("GOOGLETRANSLATE(B1316,""es"",""en"")"),"RT @LuisaPalaciosS: @peru21noticias 🚨GREAT ROBBERY
Vizcarra and Del Solar protect Kuczynski's business in Las Bambas
The advisor to the community members of Fuerabamba revealed that the owner of the trucks that transport the mineral from the MMG mining c"&amp;"ompany would be the former president Pedro Pablo Kuczynski
https://t.co/lxFmC8OzZU https://t.co/oduV91T9PV")</f>
        <v>RT @LuisaPalaciosS: @peru21noticias 🚨GREAT ROBBERY
Vizcarra and Del Solar protect Kuczynski's business in Las Bambas
The advisor to the community members of Fuerabamba revealed that the owner of the trucks that transport the mineral from the MMG mining company would be the former president Pedro Pablo Kuczynski
https://t.co/lxFmC8OzZU https://t.co/oduV91T9PV</v>
      </c>
      <c r="C1316" s="2" t="s">
        <v>3105</v>
      </c>
      <c r="D1316" s="1" t="s">
        <v>3106</v>
      </c>
    </row>
    <row r="1317" spans="1:4" x14ac:dyDescent="0.15">
      <c r="A1317" s="1" t="s">
        <v>3107</v>
      </c>
      <c r="B1317" s="3" t="str">
        <f ca="1">IFERROR(__xludf.DUMMYFUNCTION("GOOGLETRANSLATE(B1317,""es"",""en"")"),"RT @choocherin: Del Solar spoke of “Peruvian men and women”, “everyone”.
He forgot about “COMUNEROS AND COMUNERAS” (las Bambas)")</f>
        <v>RT @choocherin: Del Solar spoke of “Peruvian men and women”, “everyone”.
He forgot about “COMUNEROS AND COMUNERAS” (las Bambas)</v>
      </c>
      <c r="C1317" s="2" t="s">
        <v>3108</v>
      </c>
      <c r="D1317" s="1" t="s">
        <v>3106</v>
      </c>
    </row>
    <row r="1318" spans="1:4" x14ac:dyDescent="0.15">
      <c r="A1318" s="1" t="s">
        <v>1582</v>
      </c>
      <c r="B1318" s="3" t="str">
        <f ca="1">IFERROR(__xludf.DUMMYFUNCTION("GOOGLETRANSLATE(B1318,""es"",""en"")"),"RT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318" s="2" t="s">
        <v>3109</v>
      </c>
      <c r="D1318" s="1" t="s">
        <v>3110</v>
      </c>
    </row>
    <row r="1319" spans="1:4" x14ac:dyDescent="0.15">
      <c r="A1319" s="1" t="s">
        <v>3111</v>
      </c>
      <c r="B1319" s="3" t="str">
        <f ca="1">IFERROR(__xludf.DUMMYFUNCTION("GOOGLETRANSLATE(B1319,""es"",""en"")"),"RT @rsousaperu: State advertising increased by 91%, management inability in Las Bambas, rain of consultancies, anemia that attacks 43.5% of children...Are we preventing the southern cold?...etc. Mr. Vizcarra, when does recess end? #VizcarraEnPicada")</f>
        <v>RT @rsousaperu: State advertising increased by 91%, management inability in Las Bambas, rain of consultancies, anemia that attacks 43.5% of children...Are we preventing the southern cold?...etc. Mr. Vizcarra, when does recess end? #VizcarraEnPicada</v>
      </c>
      <c r="C1319" s="2" t="s">
        <v>3112</v>
      </c>
      <c r="D1319" s="1" t="s">
        <v>3113</v>
      </c>
    </row>
    <row r="1320" spans="1:4" x14ac:dyDescent="0.15">
      <c r="A1320" s="1" t="s">
        <v>3114</v>
      </c>
      <c r="B1320" s="3" t="str">
        <f ca="1">IFERROR(__xludf.DUMMYFUNCTION("GOOGLETRANSLATE(B1320,""es"",""en"")"),"RT @diariocorreo: Las Bambas: Residents will not lift the blockade, they do not accept the Executive's proposal (VIDEO) https://t.co/0dmJofFchj https://t.co/0JIpIh8GzW")</f>
        <v>RT @diariocorreo: Las Bambas: Residents will not lift the blockade, they do not accept the Executive's proposal (VIDEO) https://t.co/0dmJofFchj https://t.co/0JIpIh8GzW</v>
      </c>
      <c r="C1320" s="2" t="s">
        <v>3115</v>
      </c>
      <c r="D1320" s="1" t="s">
        <v>3116</v>
      </c>
    </row>
    <row r="1321" spans="1:4" x14ac:dyDescent="0.15">
      <c r="A1321" s="1" t="s">
        <v>3117</v>
      </c>
      <c r="B1321" s="3" t="str">
        <f ca="1">IFERROR(__xludf.DUMMYFUNCTION("GOOGLETRANSLATE(B1321,""es"",""en"")"),"Las Bambas: why are Chávez Sotelo advisors accused of extortion? https://t.co/8uSFnomSCg")</f>
        <v>Las Bambas: why are Chávez Sotelo advisors accused of extortion? https://t.co/8uSFnomSCg</v>
      </c>
      <c r="C1321" s="2" t="s">
        <v>3118</v>
      </c>
      <c r="D1321" s="1" t="s">
        <v>3116</v>
      </c>
    </row>
    <row r="1322" spans="1:4" x14ac:dyDescent="0.15">
      <c r="A1322" s="1" t="s">
        <v>3119</v>
      </c>
      <c r="B1322" s="3" t="str">
        <f ca="1">IFERROR(__xludf.DUMMYFUNCTION("GOOGLETRANSLATE(B1322,""es"",""en"")"),"RT @alvarosarco: Does anyone know how the government plans to solve the Las Bambas problem? Because as if it were a minor or unimportant matter, the useless Salvador del Solar did not say anything about it in his entire boring speech #GabineteBamba #NoAlV"&amp;"otoDeConfianza")</f>
        <v>RT @alvarosarco: Does anyone know how the government plans to solve the Las Bambas problem? Because as if it were a minor or unimportant matter, the useless Salvador del Solar did not say anything about it in his entire boring speech #GabineteBamba #NoAlVotoDeConfianza</v>
      </c>
      <c r="C1322" s="2" t="s">
        <v>3120</v>
      </c>
      <c r="D1322" s="1" t="s">
        <v>3121</v>
      </c>
    </row>
    <row r="1323" spans="1:4" x14ac:dyDescent="0.15">
      <c r="A1323" s="1" t="s">
        <v>3122</v>
      </c>
      <c r="B1323" s="3" t="str">
        <f ca="1">IFERROR(__xludf.DUMMYFUNCTION("GOOGLETRANSLATE(B1323,""es"",""en"")"),"RT @meiermq: Isn't this more degrading than Paisana Jacinta?: ""the protesting community members of Las Bambas are not those wonderful Andean people with their traditional folkloric clothes, who call you mamita and give you a little cheese that goes in fr"&amp;"ont of the bin because It smells like a battery"" (pen by R.León)")</f>
        <v>RT @meiermq: Isn't this more degrading than Paisana Jacinta?: "the protesting community members of Las Bambas are not those wonderful Andean people with their traditional folkloric clothes, who call you mamita and give you a little cheese that goes in front of the bin because It smells like a battery" (pen by R.León)</v>
      </c>
      <c r="C1323" s="2" t="s">
        <v>3123</v>
      </c>
      <c r="D1323" s="1" t="s">
        <v>3121</v>
      </c>
    </row>
    <row r="1324" spans="1:4" x14ac:dyDescent="0.15">
      <c r="A1324" s="1" t="s">
        <v>3124</v>
      </c>
      <c r="B1324" s="3" t="str">
        <f ca="1">IFERROR(__xludf.DUMMYFUNCTION("GOOGLETRANSLATE(B1324,""es"",""en"")"),"RT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324" s="2" t="s">
        <v>3125</v>
      </c>
      <c r="D1324" s="1" t="s">
        <v>3121</v>
      </c>
    </row>
    <row r="1325" spans="1:4" x14ac:dyDescent="0.15">
      <c r="A1325" s="1" t="s">
        <v>882</v>
      </c>
      <c r="B1325" s="3" t="str">
        <f ca="1">IFERROR(__xludf.DUMMYFUNCTION("GOOGLETRANSLATE(B1325,""es"",""en"")"),"RT @HugoMass1972: Tick tock tick tock 1:37 min and the adult film actor @saldelsol only talked about the aforementioned Gender Idiology. Zero insecurity, zero Las Bambas, zero anemia, zero reconstruction of the north with effective medium-term plans. #Don"&amp;"PantaMásDeLoSame")</f>
        <v>RT @HugoMass1972: Tick tock tick tock 1:37 min and the adult film actor @saldelsol only talked about the aforementioned Gender Idiology. Zero insecurity, zero Las Bambas, zero anemia, zero reconstruction of the north with effective medium-term plans. #DonPantaMásDeLoSame</v>
      </c>
      <c r="C1325" s="2" t="s">
        <v>3126</v>
      </c>
      <c r="D1325" s="1" t="s">
        <v>3121</v>
      </c>
    </row>
    <row r="1326" spans="1:4" x14ac:dyDescent="0.15">
      <c r="A1326" s="1" t="s">
        <v>3124</v>
      </c>
      <c r="B1326" s="3" t="str">
        <f ca="1">IFERROR(__xludf.DUMMYFUNCTION("GOOGLETRANSLATE(B1326,""es"",""en"")"),"RT @choocherin: Del Solar spoke of “Peruvian men and women”, “everyone”.
He forgot about “COMUNEROS AND COMUNERAS” (las Bambas)")</f>
        <v>RT @choocherin: Del Solar spoke of “Peruvian men and women”, “everyone”.
He forgot about “COMUNEROS AND COMUNERAS” (las Bambas)</v>
      </c>
      <c r="C1326" s="2" t="s">
        <v>3127</v>
      </c>
      <c r="D1326" s="1" t="s">
        <v>3121</v>
      </c>
    </row>
    <row r="1327" spans="1:4" x14ac:dyDescent="0.15">
      <c r="A1327" s="1" t="s">
        <v>3128</v>
      </c>
      <c r="B1327" s="3" t="str">
        <f ca="1">IFERROR(__xludf.DUMMYFUNCTION("GOOGLETRANSLATE(B1327,""es"",""en"")"),"RT @alvarosarco: Does anyone know how the government plans to solve the Las Bambas problem? Because as if it were a minor or unimportant matter, the useless Salvador del Solar did not say anything about it in his entire boring speech #GabineteBamba #NoAlV"&amp;"otoDeConfianza")</f>
        <v>RT @alvarosarco: Does anyone know how the government plans to solve the Las Bambas problem? Because as if it were a minor or unimportant matter, the useless Salvador del Solar did not say anything about it in his entire boring speech #GabineteBamba #NoAlVotoDeConfianza</v>
      </c>
      <c r="C1327" s="2" t="s">
        <v>3129</v>
      </c>
      <c r="D1327" s="1" t="s">
        <v>3121</v>
      </c>
    </row>
    <row r="1328" spans="1:4" x14ac:dyDescent="0.15">
      <c r="A1328" s="1" t="s">
        <v>2321</v>
      </c>
      <c r="B1328" s="3" t="str">
        <f ca="1">IFERROR(__xludf.DUMMYFUNCTION("GOOGLETRANSLATE(B1328,""es"",""en"")"),"RT @alvarosarco: Does anyone know how the government plans to solve the Las Bambas problem? Because as if it were a minor or unimportant matter, the useless Salvador del Solar did not say anything about it in his entire boring speech #GabineteBamba #NoAlV"&amp;"otoDeConfianza")</f>
        <v>RT @alvarosarco: Does anyone know how the government plans to solve the Las Bambas problem? Because as if it were a minor or unimportant matter, the useless Salvador del Solar did not say anything about it in his entire boring speech #GabineteBamba #NoAlVotoDeConfianza</v>
      </c>
      <c r="C1328" s="2" t="s">
        <v>3130</v>
      </c>
      <c r="D1328" s="1" t="s">
        <v>3131</v>
      </c>
    </row>
    <row r="1329" spans="1:4" x14ac:dyDescent="0.15">
      <c r="A1329" s="1" t="s">
        <v>3132</v>
      </c>
      <c r="B1329" s="3" t="str">
        <f ca="1">IFERROR(__xludf.DUMMYFUNCTION("GOOGLETRANSLATE(B1329,""es"",""en"")"),"RT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329" s="2" t="s">
        <v>3133</v>
      </c>
      <c r="D1329" s="1" t="s">
        <v>3134</v>
      </c>
    </row>
    <row r="1330" spans="1:4" x14ac:dyDescent="0.15">
      <c r="A1330" s="1" t="s">
        <v>3122</v>
      </c>
      <c r="B1330" s="3" t="str">
        <f ca="1">IFERROR(__xludf.DUMMYFUNCTION("GOOGLETRANSLATE(B1330,""es"",""en"")"),"RT @OscarSignus: SOLAR CABINET
Zero credibility, BAMBAS copper is stagnant
The country is stopped with minimal growth
We don't need actors, we need experienced executives
#VizcarraInepto and his #GabineteBamba https://t.co/QJrs6LjSEE")</f>
        <v>RT @OscarSignus: SOLAR CABINET
Zero credibility, BAMBAS copper is stagnant
The country is stopped with minimal growth
We don't need actors, we need experienced executives
#VizcarraInepto and his #GabineteBamba https://t.co/QJrs6LjSEE</v>
      </c>
      <c r="C1330" s="2" t="s">
        <v>3135</v>
      </c>
      <c r="D1330" s="1" t="s">
        <v>3134</v>
      </c>
    </row>
    <row r="1331" spans="1:4" x14ac:dyDescent="0.15">
      <c r="A1331" s="1" t="s">
        <v>3136</v>
      </c>
      <c r="B1331" s="3" t="str">
        <f ca="1">IFERROR(__xludf.DUMMYFUNCTION("GOOGLETRANSLATE(B1331,""es"",""en"")"),"@StefaniaKnowles @itsambrown But if you have a lot of Nike sneakers, just by putting it on Google you'll get a thousand photos... https://t.co/3kF8aCH4RS")</f>
        <v>@StefaniaKnowles @itsambrown But if you have a lot of Nike sneakers, just by putting it on Google you'll get a thousand photos... https://t.co/3kF8aCH4RS</v>
      </c>
      <c r="C1331" s="2" t="s">
        <v>3137</v>
      </c>
      <c r="D1331" s="1" t="s">
        <v>3134</v>
      </c>
    </row>
    <row r="1332" spans="1:4" x14ac:dyDescent="0.15">
      <c r="A1332" s="1" t="s">
        <v>3138</v>
      </c>
      <c r="B1332" s="3" t="str">
        <f ca="1">IFERROR(__xludf.DUMMYFUNCTION("GOOGLETRANSLATE(B1332,""es"",""en"")"),"RT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332" s="2" t="s">
        <v>3139</v>
      </c>
      <c r="D1332" s="1" t="s">
        <v>3140</v>
      </c>
    </row>
    <row r="1333" spans="1:4" x14ac:dyDescent="0.15">
      <c r="A1333" s="1" t="s">
        <v>2779</v>
      </c>
      <c r="B1333" s="3" t="str">
        <f ca="1">IFERROR(__xludf.DUMMYFUNCTION("GOOGLETRANSLATE(B1333,""es"",""en"")"),"RT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333" s="2" t="s">
        <v>3141</v>
      </c>
      <c r="D1333" s="1" t="s">
        <v>3142</v>
      </c>
    </row>
    <row r="1334" spans="1:4" x14ac:dyDescent="0.15">
      <c r="A1334" s="1" t="s">
        <v>3143</v>
      </c>
      <c r="B1334" s="3" t="str">
        <f ca="1">IFERROR(__xludf.DUMMYFUNCTION("GOOGLETRANSLATE(B1334,""es"",""en"")"),"RT @choocherin: Del Solar spoke of “Peruvian men and women”, “everyone”.
He forgot about “COMUNEROS AND COMUNERAS” (las Bambas)")</f>
        <v>RT @choocherin: Del Solar spoke of “Peruvian men and women”, “everyone”.
He forgot about “COMUNEROS AND COMUNERAS” (las Bambas)</v>
      </c>
      <c r="C1334" s="2" t="s">
        <v>3144</v>
      </c>
      <c r="D1334" s="1" t="s">
        <v>3145</v>
      </c>
    </row>
    <row r="1335" spans="1:4" x14ac:dyDescent="0.15">
      <c r="A1335" s="1" t="s">
        <v>1518</v>
      </c>
      <c r="B1335" s="3" t="str">
        <f ca="1">IFERROR(__xludf.DUMMYFUNCTION("GOOGLETRANSLATE(B1335,""es"",""en"")"),"RT @NuevoPeruGP: Congressman @ManuelDammert: ""The sneakers are just the symptom of the crisis in southern Peru. They want to turn it solely into a mining area, affecting other ancestral activities in the area"" #VotoDeConfianza")</f>
        <v>RT @NuevoPeruGP: Congressman @ManuelDammert: "The sneakers are just the symptom of the crisis in southern Peru. They want to turn it solely into a mining area, affecting other ancestral activities in the area" #VotoDeConfianza</v>
      </c>
      <c r="C1335" s="2" t="s">
        <v>3146</v>
      </c>
      <c r="D1335" s="1" t="s">
        <v>3145</v>
      </c>
    </row>
    <row r="1336" spans="1:4" x14ac:dyDescent="0.15">
      <c r="A1336" s="1" t="s">
        <v>3143</v>
      </c>
      <c r="B1336" s="3" t="str">
        <f ca="1">IFERROR(__xludf.DUMMYFUNCTION("GOOGLETRANSLATE(B1336,""es"",""en"")"),"RT @RipoRicardo: @choocherin Sneakers and bass drums 🤣")</f>
        <v>RT @RipoRicardo: @choocherin Sneakers and bass drums 🤣</v>
      </c>
      <c r="C1336" s="2" t="s">
        <v>3147</v>
      </c>
      <c r="D1336" s="1" t="s">
        <v>3145</v>
      </c>
    </row>
    <row r="1337" spans="1:4" x14ac:dyDescent="0.15">
      <c r="A1337" s="1" t="s">
        <v>3052</v>
      </c>
      <c r="B1337" s="3" t="str">
        <f ca="1">IFERROR(__xludf.DUMMYFUNCTION("GOOGLETRANSLATE(B1337,""es"",""en"")"),"Las Bambas: They dictate 36 months of preventive detention against lawyers of Fuerabamba community members https://t.co/Cbswg20Vyw")</f>
        <v>Las Bambas: They dictate 36 months of preventive detention against lawyers of Fuerabamba community members https://t.co/Cbswg20Vyw</v>
      </c>
      <c r="C1337" s="2" t="s">
        <v>3148</v>
      </c>
      <c r="D1337" s="1" t="s">
        <v>3149</v>
      </c>
    </row>
    <row r="1338" spans="1:4" x14ac:dyDescent="0.15">
      <c r="A1338" s="1" t="s">
        <v>3150</v>
      </c>
      <c r="B1338" s="3" t="str">
        <f ca="1">IFERROR(__xludf.DUMMYFUNCTION("GOOGLETRANSLATE(B1338,""es"",""en"")"),"RT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338" s="2" t="s">
        <v>3151</v>
      </c>
      <c r="D1338" s="1" t="s">
        <v>3152</v>
      </c>
    </row>
    <row r="1339" spans="1:4" x14ac:dyDescent="0.15">
      <c r="A1339" s="1" t="s">
        <v>3153</v>
      </c>
      <c r="B1339" s="3" t="str">
        <f ca="1">IFERROR(__xludf.DUMMYFUNCTION("GOOGLETRANSLATE(B1339,""es"",""en"")"),"RT @choocherin: Del Solar spoke of “Peruvian men and women”, “everyone”.
He forgot about “COMUNEROS AND COMUNERAS” (las Bambas)")</f>
        <v>RT @choocherin: Del Solar spoke of “Peruvian men and women”, “everyone”.
He forgot about “COMUNEROS AND COMUNERAS” (las Bambas)</v>
      </c>
      <c r="C1339" s="2" t="s">
        <v>3154</v>
      </c>
      <c r="D1339" s="1" t="s">
        <v>3152</v>
      </c>
    </row>
    <row r="1340" spans="1:4" x14ac:dyDescent="0.15">
      <c r="A1340" s="1" t="s">
        <v>3155</v>
      </c>
      <c r="B1340" s="3" t="str">
        <f ca="1">IFERROR(__xludf.DUMMYFUNCTION("GOOGLETRANSLATE(B1340,""es"",""en"")"),"@alvarosarco Easy, the problem will be solved by hiring a consultant...")</f>
        <v>@alvarosarco Easy, the problem will be solved by hiring a consultant...</v>
      </c>
      <c r="C1340" s="2" t="s">
        <v>3156</v>
      </c>
      <c r="D1340" s="1" t="s">
        <v>3157</v>
      </c>
    </row>
    <row r="1341" spans="1:4" x14ac:dyDescent="0.15">
      <c r="A1341" s="1" t="s">
        <v>3158</v>
      </c>
      <c r="B1341" s="3" t="str">
        <f ca="1">IFERROR(__xludf.DUMMYFUNCTION("GOOGLETRANSLATE(B1341,""es"",""en"")"),"The government solves the problem of Las Bambas by creating a smokescreen with a focus on gender and LGBT marriage, they believe that this is how they solve conflicts by distracting people with what the @Poder_Judicial_ does, nothing is causality")</f>
        <v>The government solves the problem of Las Bambas by creating a smokescreen with a focus on gender and LGBT marriage, they believe that this is how they solve conflicts by distracting people with what the @Poder_Judicial_ does, nothing is causality</v>
      </c>
      <c r="C1341" s="2" t="s">
        <v>3159</v>
      </c>
      <c r="D1341" s="1" t="s">
        <v>3160</v>
      </c>
    </row>
    <row r="1342" spans="1:4" x14ac:dyDescent="0.15">
      <c r="A1342" s="1" t="s">
        <v>3161</v>
      </c>
      <c r="B1342" s="3" t="str">
        <f ca="1">IFERROR(__xludf.DUMMYFUNCTION("GOOGLETRANSLATE(B1342,""es"",""en"")"),"RT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342" s="2" t="s">
        <v>3162</v>
      </c>
      <c r="D1342" s="1" t="s">
        <v>3163</v>
      </c>
    </row>
    <row r="1343" spans="1:4" x14ac:dyDescent="0.15">
      <c r="A1343" s="1" t="s">
        <v>1061</v>
      </c>
      <c r="B1343" s="3" t="str">
        <f ca="1">IFERROR(__xludf.DUMMYFUNCTION("GOOGLETRANSLATE(B1343,""es"",""en"")"),"RT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343" s="2" t="s">
        <v>3164</v>
      </c>
      <c r="D1343" s="1" t="s">
        <v>3163</v>
      </c>
    </row>
    <row r="1344" spans="1:4" x14ac:dyDescent="0.15">
      <c r="A1344" s="1" t="s">
        <v>3165</v>
      </c>
      <c r="B1344" s="3" t="str">
        <f ca="1">IFERROR(__xludf.DUMMYFUNCTION("GOOGLETRANSLATE(B1344,""es"",""en"")"),"RT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344" s="2" t="s">
        <v>3166</v>
      </c>
      <c r="D1344" s="1" t="s">
        <v>3163</v>
      </c>
    </row>
    <row r="1345" spans="1:4" x14ac:dyDescent="0.15">
      <c r="A1345" s="1" t="s">
        <v>3167</v>
      </c>
      <c r="B1345" s="3" t="str">
        <f ca="1">IFERROR(__xludf.DUMMYFUNCTION("GOOGLETRANSLATE(B1345,""es"",""en"")"),"@KikeBravoPrado BAMBAS, you are only seeing the projection and not who operates the projector, Bambas, the largest copper producer, if it is paralyzed, what happens? Price goes up, if price goes up, who wins? Chile, this is a new betrayal of the country ,"&amp;" for convenience, money, hate.")</f>
        <v>@KikeBravoPrado BAMBAS, you are only seeing the projection and not who operates the projector, Bambas, the largest copper producer, if it is paralyzed, what happens? Price goes up, if price goes up, who wins? Chile, this is a new betrayal of the country , for convenience, money, hate.</v>
      </c>
      <c r="C1345" s="2" t="s">
        <v>3168</v>
      </c>
      <c r="D1345" s="1" t="s">
        <v>3169</v>
      </c>
    </row>
    <row r="1346" spans="1:4" x14ac:dyDescent="0.15">
      <c r="A1346" s="1" t="s">
        <v>3170</v>
      </c>
      <c r="B1346" s="3" t="str">
        <f ca="1">IFERROR(__xludf.DUMMYFUNCTION("GOOGLETRANSLATE(B1346,""es"",""en"")"),"RT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346" s="2" t="s">
        <v>3171</v>
      </c>
      <c r="D1346" s="1" t="s">
        <v>3169</v>
      </c>
    </row>
    <row r="1347" spans="1:4" x14ac:dyDescent="0.15">
      <c r="A1347" s="1" t="s">
        <v>3172</v>
      </c>
      <c r="B1347" s="3" t="str">
        <f ca="1">IFERROR(__xludf.DUMMYFUNCTION("GOOGLETRANSLATE(B1347,""es"",""en"")"),"RT @__SeuAmor: Basic rules of a role with my friends:
1- It is known how the fat man dials two hours before to check in at certain time.
2- Don't tell very intelligent songs in sneakers because they won't understand and your face will look stupid.
3- Deix"&amp;"a as vodkas longe da Evelin
4- TER LOVE MTO LOVE ✌🏻❤")</f>
        <v>RT @__SeuAmor: Basic rules of a role with my friends:
1- It is known how the fat man dials two hours before to check in at certain time.
2- Don't tell very intelligent songs in sneakers because they won't understand and your face will look stupid.
3- Deixa as vodkas longe da Evelin
4- TER LOVE MTO LOVE ✌🏻❤</v>
      </c>
      <c r="C1347" s="2" t="s">
        <v>3173</v>
      </c>
      <c r="D1347" s="1" t="s">
        <v>3169</v>
      </c>
    </row>
    <row r="1348" spans="1:4" x14ac:dyDescent="0.15">
      <c r="A1348" s="1" t="s">
        <v>3174</v>
      </c>
      <c r="B1348" s="3" t="str">
        <f ca="1">IFERROR(__xludf.DUMMYFUNCTION("GOOGLETRANSLATE(B1348,""es"",""en"")"),"RT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348" s="2" t="s">
        <v>3175</v>
      </c>
      <c r="D1348" s="1" t="s">
        <v>3176</v>
      </c>
    </row>
    <row r="1349" spans="1:4" x14ac:dyDescent="0.15">
      <c r="A1349" s="1" t="s">
        <v>3174</v>
      </c>
      <c r="B1349" s="3" t="str">
        <f ca="1">IFERROR(__xludf.DUMMYFUNCTION("GOOGLETRANSLATE(B1349,""es"",""en"")"),"RT @meiermq: Isn't this more degrading than Paisana Jacinta?: ""the protesting community members of Las Bambas are not those wonderful Andean people with their traditional folkloric clothes, who call you mamita and give you a little cheese that goes in fr"&amp;"ont of the bin because It smells like a battery"" (pen by R.León)")</f>
        <v>RT @meiermq: Isn't this more degrading than Paisana Jacinta?: "the protesting community members of Las Bambas are not those wonderful Andean people with their traditional folkloric clothes, who call you mamita and give you a little cheese that goes in front of the bin because It smells like a battery" (pen by R.León)</v>
      </c>
      <c r="C1349" s="2" t="s">
        <v>3177</v>
      </c>
      <c r="D1349" s="1" t="s">
        <v>3176</v>
      </c>
    </row>
    <row r="1350" spans="1:4" x14ac:dyDescent="0.15">
      <c r="A1350" s="1" t="s">
        <v>2625</v>
      </c>
      <c r="B1350" s="3" t="str">
        <f ca="1">IFERROR(__xludf.DUMMYFUNCTION("GOOGLETRANSLATE(B1350,""es"",""en"")"),"@canalN_ The community leader Gregorio Rojas acknowledged that his lawyers urged them to block the passage of the Las Bambas mining vehicles, with which he obtained his Conditional Freedom..... https://t.co/lljQCyJR6A")</f>
        <v>@canalN_ The community leader Gregorio Rojas acknowledged that his lawyers urged them to block the passage of the Las Bambas mining vehicles, with which he obtained his Conditional Freedom..... https://t.co/lljQCyJR6A</v>
      </c>
      <c r="C1350" s="2" t="s">
        <v>3178</v>
      </c>
      <c r="D1350" s="1" t="s">
        <v>3176</v>
      </c>
    </row>
    <row r="1351" spans="1:4" x14ac:dyDescent="0.15">
      <c r="A1351" s="1" t="s">
        <v>2439</v>
      </c>
      <c r="B1351" s="3" t="str">
        <f ca="1">IFERROR(__xludf.DUMMYFUNCTION("GOOGLETRANSLATE(B1351,""es"",""en"")"),"RT @ContactoN_: Lourdes Flores Nano @LourdesFloresN ""Salvador del Solar was not explicit in his presentation and lost an opportunity by not talking about Las Bambas"" with @MijaelGLP by @canalN_")</f>
        <v>RT @ContactoN_: Lourdes Flores Nano @LourdesFloresN "Salvador del Solar was not explicit in his presentation and lost an opportunity by not talking about Las Bambas" with @MijaelGLP by @canalN_</v>
      </c>
      <c r="C1351" s="2" t="s">
        <v>3179</v>
      </c>
      <c r="D1351" s="1" t="s">
        <v>3176</v>
      </c>
    </row>
    <row r="1352" spans="1:4" x14ac:dyDescent="0.15">
      <c r="A1352" s="1" t="s">
        <v>3180</v>
      </c>
      <c r="B1352" s="3" t="str">
        <f ca="1">IFERROR(__xludf.DUMMYFUNCTION("GOOGLETRANSLATE(B1352,""es"",""en"")"),"RT @meiermq: Isn't this more degrading than Paisana Jacinta?: ""the protesting community members of Las Bambas are not those wonderful Andean people with their traditional folkloric clothes, who call you mamita and give you a little cheese that goes in fr"&amp;"ont of the bin because It smells like a battery"" (pen by R.León)")</f>
        <v>RT @meiermq: Isn't this more degrading than Paisana Jacinta?: "the protesting community members of Las Bambas are not those wonderful Andean people with their traditional folkloric clothes, who call you mamita and give you a little cheese that goes in front of the bin because It smells like a battery" (pen by R.León)</v>
      </c>
      <c r="C1352" s="2" t="s">
        <v>3181</v>
      </c>
      <c r="D1352" s="1" t="s">
        <v>3176</v>
      </c>
    </row>
    <row r="1353" spans="1:4" x14ac:dyDescent="0.15">
      <c r="A1353" s="1" t="s">
        <v>3182</v>
      </c>
      <c r="B1353" s="3" t="str">
        <f ca="1">IFERROR(__xludf.DUMMYFUNCTION("GOOGLETRANSLATE(B1353,""es"",""en"")"),"RT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353" s="2" t="s">
        <v>3183</v>
      </c>
      <c r="D1353" s="1" t="s">
        <v>3184</v>
      </c>
    </row>
    <row r="1354" spans="1:4" x14ac:dyDescent="0.15">
      <c r="A1354" s="1" t="s">
        <v>3185</v>
      </c>
      <c r="B1354" s="3" t="str">
        <f ca="1">IFERROR(__xludf.DUMMYFUNCTION("GOOGLETRANSLATE(B1354,""es"",""en"")"),"I highly doubt that they will not give Del Solar a vote of confidence. Millionaire expenses on consultancies, the unresolved Las Bambas crisis, the responsibility of the MTC in the Fiori case are its main points against it. And it's only been 2 weeks.")</f>
        <v>I highly doubt that they will not give Del Solar a vote of confidence. Millionaire expenses on consultancies, the unresolved Las Bambas crisis, the responsibility of the MTC in the Fiori case are its main points against it. And it's only been 2 weeks.</v>
      </c>
      <c r="C1354" s="2" t="s">
        <v>3186</v>
      </c>
      <c r="D1354" s="1" t="s">
        <v>3184</v>
      </c>
    </row>
    <row r="1355" spans="1:4" x14ac:dyDescent="0.15">
      <c r="A1355" s="1" t="s">
        <v>947</v>
      </c>
      <c r="B1355" s="3" t="str">
        <f ca="1">IFERROR(__xludf.DUMMYFUNCTION("GOOGLETRANSLATE(B1355,""es"",""en"")"),"RT @ContactoN_: Lourdes Flores Nano @LourdesFloresN ""Salvador del Solar was not explicit in his presentation and lost an opportunity by not talking about Las Bambas"" with @MijaelGLP by @canalN_")</f>
        <v>RT @ContactoN_: Lourdes Flores Nano @LourdesFloresN "Salvador del Solar was not explicit in his presentation and lost an opportunity by not talking about Las Bambas" with @MijaelGLP by @canalN_</v>
      </c>
      <c r="C1355" s="2" t="s">
        <v>3187</v>
      </c>
      <c r="D1355" s="1" t="s">
        <v>3184</v>
      </c>
    </row>
    <row r="1356" spans="1:4" x14ac:dyDescent="0.15">
      <c r="A1356" s="1" t="s">
        <v>1314</v>
      </c>
      <c r="B1356" s="3" t="str">
        <f ca="1">IFERROR(__xludf.DUMMYFUNCTION("GOOGLETRANSLATE(B1356,""es"",""en"")"),"RT @ContactoN_: Lourdes Flores Nano @LourdesFloresN ""Salvador del Solar was not explicit in his presentation and lost an opportunity by not talking about Las Bambas"" with @MijaelGLP by @canalN_")</f>
        <v>RT @ContactoN_: Lourdes Flores Nano @LourdesFloresN "Salvador del Solar was not explicit in his presentation and lost an opportunity by not talking about Las Bambas" with @MijaelGLP by @canalN_</v>
      </c>
      <c r="C1356" s="2" t="s">
        <v>3188</v>
      </c>
      <c r="D1356" s="1" t="s">
        <v>3189</v>
      </c>
    </row>
    <row r="1357" spans="1:4" x14ac:dyDescent="0.15">
      <c r="A1357" s="1" t="s">
        <v>1304</v>
      </c>
      <c r="B1357" s="3" t="str">
        <f ca="1">IFERROR(__xludf.DUMMYFUNCTION("GOOGLETRANSLATE(B1357,""es"",""en"")"),"@YeniVilcatoma2 @saldelsol This cabinet does not deserve the vote of confidence, three ministers in corruption Bruce, Zeballos and the minister of education need to investigate the minister of transport while Don Panta has done nothing for Las Bambas")</f>
        <v>@YeniVilcatoma2 @saldelsol This cabinet does not deserve the vote of confidence, three ministers in corruption Bruce, Zeballos and the minister of education need to investigate the minister of transport while Don Panta has done nothing for Las Bambas</v>
      </c>
      <c r="C1357" s="2" t="s">
        <v>3190</v>
      </c>
      <c r="D1357" s="1" t="s">
        <v>3191</v>
      </c>
    </row>
    <row r="1358" spans="1:4" x14ac:dyDescent="0.15">
      <c r="A1358" s="1" t="s">
        <v>482</v>
      </c>
      <c r="B1358" s="3" t="str">
        <f ca="1">IFERROR(__xludf.DUMMYFUNCTION("GOOGLETRANSLATE(B1358,""es"",""en"")"),"Mulder criticized that Del Solar did not mention Las Bambas in a vote of confidence 
https://t.co/9DM0ej1Xd0")</f>
        <v>Mulder criticized that Del Solar did not mention Las Bambas in a vote of confidence 
https://t.co/9DM0ej1Xd0</v>
      </c>
      <c r="C1358" s="2" t="s">
        <v>3192</v>
      </c>
      <c r="D1358" s="1" t="s">
        <v>3193</v>
      </c>
    </row>
    <row r="1359" spans="1:4" x14ac:dyDescent="0.15">
      <c r="A1359" s="1" t="s">
        <v>3194</v>
      </c>
      <c r="B1359" s="3" t="str">
        <f ca="1">IFERROR(__xludf.DUMMYFUNCTION("GOOGLETRANSLATE(B1359,""es"",""en"")"),"RT @meiermq: Isn't this more degrading than Paisana Jacinta?: ""the protesting community members of Las Bambas are not those wonderful Andean people with their traditional folkloric clothes, who call you mamita and give you a little cheese that goes in fr"&amp;"ont of the bin because It smells like a battery"" (pen by R.León)")</f>
        <v>RT @meiermq: Isn't this more degrading than Paisana Jacinta?: "the protesting community members of Las Bambas are not those wonderful Andean people with their traditional folkloric clothes, who call you mamita and give you a little cheese that goes in front of the bin because It smells like a battery" (pen by R.León)</v>
      </c>
      <c r="C1359" s="2" t="s">
        <v>3195</v>
      </c>
      <c r="D1359" s="1" t="s">
        <v>3196</v>
      </c>
    </row>
    <row r="1360" spans="1:4" x14ac:dyDescent="0.15">
      <c r="A1360" s="1" t="s">
        <v>2840</v>
      </c>
      <c r="B1360" s="3" t="str">
        <f ca="1">IFERROR(__xludf.DUMMYFUNCTION("GOOGLETRANSLATE(B1360,""es"",""en"")"),"RT @Politico_pe: #BRIEF: How will #Las Bambas end? It already costs us more than 300 million US$ after two months. Premier said it was a matter “between private parties.” And now the Minister of Transportation says we must pay s/. 300 million! Wasn't it a"&amp;" matter between private parties? https://t.co/NNHgdIMO4T https://t.co/g9s2iLfiKX")</f>
        <v>RT @Politico_pe: #BRIEF: How will #Las Bambas end? It already costs us more than 300 million US$ after two months. Premier said it was a matter “between private parties.” And now the Minister of Transportation says we must pay s/. 300 million! Wasn't it a matter between private parties? https://t.co/NNHgdIMO4T https://t.co/g9s2iLfiKX</v>
      </c>
      <c r="C1360" s="2" t="s">
        <v>3197</v>
      </c>
      <c r="D1360" s="1" t="s">
        <v>3198</v>
      </c>
    </row>
    <row r="1361" spans="1:4" x14ac:dyDescent="0.15">
      <c r="A1361" s="1" t="s">
        <v>1065</v>
      </c>
      <c r="B1361" s="3" t="str">
        <f ca="1">IFERROR(__xludf.DUMMYFUNCTION("GOOGLETRANSLATE(B1361,""es"",""en"")"),"RT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361" s="2" t="s">
        <v>3199</v>
      </c>
      <c r="D1361" s="1" t="s">
        <v>3200</v>
      </c>
    </row>
    <row r="1362" spans="1:4" x14ac:dyDescent="0.15">
      <c r="A1362" s="1" t="s">
        <v>3201</v>
      </c>
      <c r="B1362" s="3" t="str">
        <f ca="1">IFERROR(__xludf.DUMMYFUNCTION("GOOGLETRANSLATE(B1362,""es"",""en"")"),"RT @rsousaperu: State advertising increased by 91%, management inability in Las Bambas, rain of consultancies, anemia that attacks 43.5% of children...Are we preventing the southern cold?...etc. Mr. Vizcarra, when does recess end? #VizcarraEnPicada")</f>
        <v>RT @rsousaperu: State advertising increased by 91%, management inability in Las Bambas, rain of consultancies, anemia that attacks 43.5% of children...Are we preventing the southern cold?...etc. Mr. Vizcarra, when does recess end? #VizcarraEnPicada</v>
      </c>
      <c r="C1362" s="2" t="s">
        <v>3202</v>
      </c>
      <c r="D1362" s="1" t="s">
        <v>3203</v>
      </c>
    </row>
    <row r="1363" spans="1:4" x14ac:dyDescent="0.15">
      <c r="A1363" s="1" t="s">
        <v>3204</v>
      </c>
      <c r="B1363" s="3" t="str">
        <f ca="1">IFERROR(__xludf.DUMMYFUNCTION("GOOGLETRANSLATE(B1363,""es"",""en"")"),"RT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363" s="2" t="s">
        <v>3205</v>
      </c>
      <c r="D1363" s="1" t="s">
        <v>3206</v>
      </c>
    </row>
    <row r="1364" spans="1:4" x14ac:dyDescent="0.15">
      <c r="A1364" s="1" t="s">
        <v>115</v>
      </c>
      <c r="B1364" s="3" t="str">
        <f ca="1">IFERROR(__xludf.DUMMYFUNCTION("GOOGLETRANSLATE(B1364,""es"",""en"")"),"RT @elcomercio_peru: Mulder criticized that Del Solar did not mention Las Bambas in a vote of confidence 
https://t.co/9DM0ej1Xd0")</f>
        <v>RT @elcomercio_peru: Mulder criticized that Del Solar did not mention Las Bambas in a vote of confidence 
https://t.co/9DM0ej1Xd0</v>
      </c>
      <c r="C1364" s="2" t="s">
        <v>3207</v>
      </c>
      <c r="D1364" s="1" t="s">
        <v>3206</v>
      </c>
    </row>
    <row r="1365" spans="1:4" x14ac:dyDescent="0.15">
      <c r="A1365" s="1" t="s">
        <v>3208</v>
      </c>
      <c r="B1365" s="3" t="str">
        <f ca="1">IFERROR(__xludf.DUMMYFUNCTION("GOOGLETRANSLATE(B1365,""es"",""en"")"),"RT @JoptanElMagno: @apranorte @F_Ghilardi @RPPNoticias @alvarosarco @eudmed @KarlaCalle Estrella...here the chongo of Las Bambas is not the mine itself...but the company of PPK and the promise of Vizcarra 2 years ago, nothing further")</f>
        <v>RT @JoptanElMagno: @apranorte @F_Ghilardi @RPPNoticias @alvarosarco @eudmed @KarlaCalle Estrella...here the chongo of Las Bambas is not the mine itself...but the company of PPK and the promise of Vizcarra 2 years ago, nothing further</v>
      </c>
      <c r="C1365" s="2" t="s">
        <v>3209</v>
      </c>
      <c r="D1365" s="1" t="s">
        <v>3210</v>
      </c>
    </row>
    <row r="1366" spans="1:4" x14ac:dyDescent="0.15">
      <c r="A1366" s="1" t="s">
        <v>3211</v>
      </c>
      <c r="B1366" s="3" t="str">
        <f ca="1">IFERROR(__xludf.DUMMYFUNCTION("GOOGLETRANSLATE(B1366,""es"",""en"")"),"RT @alvarosarco: Does anyone know how the government plans to solve the Las Bambas problem? Because as if it were a minor or unimportant matter, the useless Salvador del Solar did not say anything about it in his entire boring speech #GabineteBamba #NoAlV"&amp;"otoDeConfianza")</f>
        <v>RT @alvarosarco: Does anyone know how the government plans to solve the Las Bambas problem? Because as if it were a minor or unimportant matter, the useless Salvador del Solar did not say anything about it in his entire boring speech #GabineteBamba #NoAlVotoDeConfianza</v>
      </c>
      <c r="C1366" s="2" t="s">
        <v>3212</v>
      </c>
      <c r="D1366" s="1" t="s">
        <v>3210</v>
      </c>
    </row>
    <row r="1367" spans="1:4" x14ac:dyDescent="0.15">
      <c r="A1367" s="1" t="s">
        <v>3211</v>
      </c>
      <c r="B1367" s="3" t="str">
        <f ca="1">IFERROR(__xludf.DUMMYFUNCTION("GOOGLETRANSLATE(B1367,""es"",""en"")"),"RT @victori39804465: @alvarosarco THE MINISTER PROGRE CAVIARON JUST REPEATED, EVERYONE AND EVERYONE/ CONGRESSMEN AND CONGRESSMEN/ THEM AND THEM...
PURE DUMMY OF THEIR GENDER IDEOLOGY!
HE NEVER MENTIONED THE SNEAKERS!
#CabinetBamba")</f>
        <v>RT @victori39804465: @alvarosarco THE MINISTER PROGRE CAVIARON JUST REPEATED, EVERYONE AND EVERYONE/ CONGRESSMEN AND CONGRESSMEN/ THEM AND THEM...
PURE DUMMY OF THEIR GENDER IDEOLOGY!
HE NEVER MENTIONED THE SNEAKERS!
#CabinetBamba</v>
      </c>
      <c r="C1367" s="2" t="s">
        <v>3213</v>
      </c>
      <c r="D1367" s="1" t="s">
        <v>3210</v>
      </c>
    </row>
    <row r="1368" spans="1:4" x14ac:dyDescent="0.15">
      <c r="A1368" s="1" t="s">
        <v>3214</v>
      </c>
      <c r="B1368" s="3" t="str">
        <f ca="1">IFERROR(__xludf.DUMMYFUNCTION("GOOGLETRANSLATE(B1368,""es"",""en"")"),"RT @choocherin: Del Solar spoke of “Peruvian men and women”, “everyone”.
He forgot about “COMUNEROS AND COMUNERAS” (las Bambas)")</f>
        <v>RT @choocherin: Del Solar spoke of “Peruvian men and women”, “everyone”.
He forgot about “COMUNEROS AND COMUNERAS” (las Bambas)</v>
      </c>
      <c r="C1368" s="2" t="s">
        <v>3215</v>
      </c>
      <c r="D1368" s="1" t="s">
        <v>3210</v>
      </c>
    </row>
    <row r="1369" spans="1:4" x14ac:dyDescent="0.15">
      <c r="A1369" s="1" t="s">
        <v>65</v>
      </c>
      <c r="B1369" s="3" t="str">
        <f ca="1">IFERROR(__xludf.DUMMYFUNCTION("GOOGLETRANSLATE(B1369,""es"",""en"")"),"COVERING YOUR EYES, LIKE A KANGAROO, WILL YOU MAKE PERU GROW?
Del Solar assures that “lack of authority” will reduce poverty by 18% by 2021. If they do not know how to face current problems: Las Bambas, Tia María and etc., which will affect foreign invest"&amp;"ment, how? https://t.co/slTCClmszV")</f>
        <v>COVERING YOUR EYES, LIKE A KANGAROO, WILL YOU MAKE PERU GROW?
Del Solar assures that “lack of authority” will reduce poverty by 18% by 2021. If they do not know how to face current problems: Las Bambas, Tia María and etc., which will affect foreign investment, how? https://t.co/slTCClmszV</v>
      </c>
      <c r="C1369" s="2" t="s">
        <v>3216</v>
      </c>
      <c r="D1369" s="1" t="s">
        <v>3217</v>
      </c>
    </row>
    <row r="1370" spans="1:4" x14ac:dyDescent="0.15">
      <c r="A1370" s="1" t="s">
        <v>3218</v>
      </c>
      <c r="B1370" s="3" t="str">
        <f ca="1">IFERROR(__xludf.DUMMYFUNCTION("GOOGLETRANSLATE(B1370,""es"",""en"")"),"RT @Izokamen: @giulianacaccia @NicolasLucar His left-progressive blood that kept him hidden for years, now comes out in spurts when he notices that the caviared lentil has control of the government, a few days ago, @NicolasLucar asked that they release th"&amp;"e 2 seditious lawyers detained in Las Bambas @alvarosarco")</f>
        <v>RT @Izokamen: @giulianacaccia @NicolasLucar His left-progressive blood that kept him hidden for years, now comes out in spurts when he notices that the caviared lentil has control of the government, a few days ago, @NicolasLucar asked that they release the 2 seditious lawyers detained in Las Bambas @alvarosarco</v>
      </c>
      <c r="C1370" s="2" t="s">
        <v>3219</v>
      </c>
      <c r="D1370" s="1" t="s">
        <v>3220</v>
      </c>
    </row>
    <row r="1371" spans="1:4" x14ac:dyDescent="0.15">
      <c r="A1371" s="1" t="s">
        <v>2835</v>
      </c>
      <c r="B1371" s="3" t="str">
        <f ca="1">IFERROR(__xludf.DUMMYFUNCTION("GOOGLETRANSLATE(B1371,""es"",""en"")"),"RT @alvarosarco: Does anyone know how the government plans to solve the Las Bambas problem? Because as if it were a minor or unimportant matter, the useless Salvador del Solar did not say anything about it in his entire boring speech #GabineteBamba #NoAlV"&amp;"otoDeConfianza")</f>
        <v>RT @alvarosarco: Does anyone know how the government plans to solve the Las Bambas problem? Because as if it were a minor or unimportant matter, the useless Salvador del Solar did not say anything about it in his entire boring speech #GabineteBamba #NoAlVotoDeConfianza</v>
      </c>
      <c r="C1371" s="2" t="s">
        <v>3221</v>
      </c>
      <c r="D1371" s="1" t="s">
        <v>3220</v>
      </c>
    </row>
    <row r="1372" spans="1:4" x14ac:dyDescent="0.15">
      <c r="A1372" s="1" t="s">
        <v>1072</v>
      </c>
      <c r="B1372" s="3" t="str">
        <f ca="1">IFERROR(__xludf.DUMMYFUNCTION("GOOGLETRANSLATE(B1372,""es"",""en"")"),"RT @BancadaAPP: Regarding the mining conflict in Las Bambas, the spokespersons for the #BancadaAPP, @ricarnarvaez and @RichardAcunaN asked for respect from the peasant communities. “We believe in private investment but with social responsibility”@Latina_p"&amp;"e @Capital967 @Agencia_Andina @atvpe @canalN_ @RPPNoticias https://t.co/hvymbgPsie")</f>
        <v>RT @BancadaAPP: Regarding the mining conflict in Las Bambas, the spokespersons for the #BancadaAPP, @ricarnarvaez and @RichardAcunaN asked for respect from the peasant communities. “We believe in private investment but with social responsibility”@Latina_pe @Capital967 @Agencia_Andina @atvpe @canalN_ @RPPNoticias https://t.co/hvymbgPsie</v>
      </c>
      <c r="C1372" s="2" t="s">
        <v>3222</v>
      </c>
      <c r="D1372" s="1" t="s">
        <v>3223</v>
      </c>
    </row>
    <row r="1373" spans="1:4" x14ac:dyDescent="0.15">
      <c r="A1373" s="1" t="s">
        <v>2858</v>
      </c>
      <c r="B1373" s="3" t="str">
        <f ca="1">IFERROR(__xludf.DUMMYFUNCTION("GOOGLETRANSLATE(B1373,""es"",""en"")"),"RT @meiermq: Isn't this more degrading than Paisana Jacinta?: ""the protesting community members of Las Bambas are not those wonderful Andean people with their traditional folkloric clothes, who call you mamita and give you a little cheese that goes in fr"&amp;"ont of the bin because It smells like a battery"" (pen by R.León)")</f>
        <v>RT @meiermq: Isn't this more degrading than Paisana Jacinta?: "the protesting community members of Las Bambas are not those wonderful Andean people with their traditional folkloric clothes, who call you mamita and give you a little cheese that goes in front of the bin because It smells like a battery" (pen by R.León)</v>
      </c>
      <c r="C1373" s="2" t="s">
        <v>3224</v>
      </c>
      <c r="D1373" s="1" t="s">
        <v>3225</v>
      </c>
    </row>
    <row r="1374" spans="1:4" x14ac:dyDescent="0.15">
      <c r="A1374" s="1" t="s">
        <v>3226</v>
      </c>
      <c r="B1374" s="3" t="str">
        <f ca="1">IFERROR(__xludf.DUMMYFUNCTION("GOOGLETRANSLATE(B1374,""es"",""en"")"),"RT @LuisaPalaciosS: 🚨GREAT THEFT
Vizcarra and Del Solar protect Kuczynski's business in Las Bambas
The advisor to the community members of Fuerabamba revealed that the owner of the trucks that transport the mineral from the MMG mining company would be th"&amp;"e former president Pedro Pablo Kuczynski
https://t.co/lxFmC8OzZU https://t.co/ghmTjNksOI")</f>
        <v>RT @LuisaPalaciosS: 🚨GREAT THEFT
Vizcarra and Del Solar protect Kuczynski's business in Las Bambas
The advisor to the community members of Fuerabamba revealed that the owner of the trucks that transport the mineral from the MMG mining company would be the former president Pedro Pablo Kuczynski
https://t.co/lxFmC8OzZU https://t.co/ghmTjNksOI</v>
      </c>
      <c r="C1374" s="2" t="s">
        <v>3227</v>
      </c>
      <c r="D1374" s="1" t="s">
        <v>3228</v>
      </c>
    </row>
    <row r="1375" spans="1:4" x14ac:dyDescent="0.15">
      <c r="A1375" s="1" t="s">
        <v>3229</v>
      </c>
      <c r="B1375" s="3" t="str">
        <f ca="1">IFERROR(__xludf.DUMMYFUNCTION("GOOGLETRANSLATE(B1375,""es"",""en"")"),"RT @meiermq: Isn't this more degrading than Paisana Jacinta?: ""the protesting community members of Las Bambas are not those wonderful Andean people with their traditional folkloric clothes, who call you mamita and give you a little cheese that goes in fr"&amp;"ont of the bin because It smells like a battery"" (pen by R.León)")</f>
        <v>RT @meiermq: Isn't this more degrading than Paisana Jacinta?: "the protesting community members of Las Bambas are not those wonderful Andean people with their traditional folkloric clothes, who call you mamita and give you a little cheese that goes in front of the bin because It smells like a battery" (pen by R.León)</v>
      </c>
      <c r="C1375" s="2" t="s">
        <v>3230</v>
      </c>
      <c r="D1375" s="1" t="s">
        <v>3231</v>
      </c>
    </row>
    <row r="1376" spans="1:4" x14ac:dyDescent="0.15">
      <c r="A1376" s="1" t="s">
        <v>3229</v>
      </c>
      <c r="B1376" s="3" t="str">
        <f ca="1">IFERROR(__xludf.DUMMYFUNCTION("GOOGLETRANSLATE(B1376,""es"",""en"")"),"RT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376" s="2" t="s">
        <v>3232</v>
      </c>
      <c r="D1376" s="1" t="s">
        <v>3233</v>
      </c>
    </row>
    <row r="1377" spans="1:4" x14ac:dyDescent="0.15">
      <c r="A1377" s="1" t="s">
        <v>3234</v>
      </c>
      <c r="B1377" s="3" t="str">
        <f ca="1">IFERROR(__xludf.DUMMYFUNCTION("GOOGLETRANSLATE(B1377,""es"",""en"")"),"RT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377" s="2" t="s">
        <v>3235</v>
      </c>
      <c r="D1377" s="1" t="s">
        <v>3236</v>
      </c>
    </row>
    <row r="1378" spans="1:4" x14ac:dyDescent="0.15">
      <c r="A1378" s="1" t="s">
        <v>3237</v>
      </c>
      <c r="B1378" s="3" t="str">
        <f ca="1">IFERROR(__xludf.DUMMYFUNCTION("GOOGLETRANSLATE(B1378,""es"",""en"")"),"RT @kjawoogie: Las Bambas blockade affecting smelter treatment charges in China - important indicator of market tightness. Prices below $67 a tonne for only the second time in 5 years. China may be forced to buy more refined material from overseas or draw"&amp;" down on stocks. https://t.co/2qQUHJZqpx")</f>
        <v>RT @kjawoogie: Las Bambas blockade affecting smelter treatment charges in China - important indicator of market tightness. Prices below $67 a tonne for only the second time in 5 years. China may be forced to buy more refined material from overseas or draw down on stocks. https://t.co/2qQUHJZqpx</v>
      </c>
      <c r="C1378" s="2" t="s">
        <v>3238</v>
      </c>
      <c r="D1378" s="1" t="s">
        <v>3239</v>
      </c>
    </row>
    <row r="1379" spans="1:4" x14ac:dyDescent="0.15">
      <c r="A1379" s="1" t="s">
        <v>34</v>
      </c>
      <c r="B1379" s="3" t="str">
        <f ca="1">IFERROR(__xludf.DUMMYFUNCTION("GOOGLETRANSLATE(B1379,""es"",""en"")"),"@drcesardip @JorgeMunozAP Good idea for when the roads in Las Bambas open again, there are quite a few flowerpots along that road and the region and the country will immediately escape poverty. https://t.co/s6FkJRFC0E")</f>
        <v>@drcesardip @JorgeMunozAP Good idea for when the roads in Las Bambas open again, there are quite a few flowerpots along that road and the region and the country will immediately escape poverty. https://t.co/s6FkJRFC0E</v>
      </c>
      <c r="C1379" s="2" t="s">
        <v>3240</v>
      </c>
      <c r="D1379" s="1" t="s">
        <v>3241</v>
      </c>
    </row>
    <row r="1380" spans="1:4" x14ac:dyDescent="0.15">
      <c r="A1380" s="1" t="s">
        <v>3242</v>
      </c>
      <c r="B1380" s="3" t="str">
        <f ca="1">IFERROR(__xludf.DUMMYFUNCTION("GOOGLETRANSLATE(B1380,""es"",""en"")"),"https://t.co/3cgDprw0k6 https://t.co/3cgDprw0k6")</f>
        <v>https://t.co/3cgDprw0k6 https://t.co/3cgDprw0k6</v>
      </c>
      <c r="C1380" s="2" t="s">
        <v>3243</v>
      </c>
      <c r="D1380" s="1" t="s">
        <v>3244</v>
      </c>
    </row>
    <row r="1381" spans="1:4" x14ac:dyDescent="0.15">
      <c r="A1381" s="1" t="s">
        <v>3245</v>
      </c>
      <c r="B1381" s="3" t="str">
        <f ca="1">IFERROR(__xludf.DUMMYFUNCTION("GOOGLETRANSLATE(B1381,""es"",""en"")"),"RT @alvarosarco: Does anyone know how the government plans to solve the Las Bambas problem? Because as if it were a minor or unimportant matter, the useless Salvador del Solar did not say anything about it in his entire boring speech #GabineteBamba #NoAlV"&amp;"otoDeConfianza")</f>
        <v>RT @alvarosarco: Does anyone know how the government plans to solve the Las Bambas problem? Because as if it were a minor or unimportant matter, the useless Salvador del Solar did not say anything about it in his entire boring speech #GabineteBamba #NoAlVotoDeConfianza</v>
      </c>
      <c r="C1381" s="2" t="s">
        <v>3246</v>
      </c>
      <c r="D1381" s="1" t="s">
        <v>3247</v>
      </c>
    </row>
    <row r="1382" spans="1:4" x14ac:dyDescent="0.15">
      <c r="A1382" s="1" t="s">
        <v>3248</v>
      </c>
      <c r="B1382" s="3" t="str">
        <f ca="1">IFERROR(__xludf.DUMMYFUNCTION("GOOGLETRANSLATE(B1382,""es"",""en"")"),"RT @BancadaFAperu: @HumbertoTYL Who are our institutions at the service of? The PNP protects the mine and private property is over that of the communities, that happens in Las Bambas. Any state policy that maintains these privileges is against the people."&amp;" We will not give a vote of confidence."" https://t.co/ZeFnYMC1Z8")</f>
        <v>RT @BancadaFAperu: @HumbertoTYL Who are our institutions at the service of? The PNP protects the mine and private property is over that of the communities, that happens in Las Bambas. Any state policy that maintains these privileges is against the people. We will not give a vote of confidence." https://t.co/ZeFnYMC1Z8</v>
      </c>
      <c r="C1382" s="2" t="s">
        <v>3249</v>
      </c>
      <c r="D1382" s="1" t="s">
        <v>3250</v>
      </c>
    </row>
    <row r="1383" spans="1:4" x14ac:dyDescent="0.15">
      <c r="A1383" s="1" t="s">
        <v>3251</v>
      </c>
      <c r="B1383" s="3" t="str">
        <f ca="1">IFERROR(__xludf.DUMMYFUNCTION("GOOGLETRANSLATE(B1383,""es"",""en"")"),"RT @Celendin_Libre: The consequences of mining and the little or no participation of women in decision making #LasBambas #Apurimac https://t.co/op8f25jSHI")</f>
        <v>RT @Celendin_Libre: The consequences of mining and the little or no participation of women in decision making #LasBambas #Apurimac https://t.co/op8f25jSHI</v>
      </c>
      <c r="C1383" s="2" t="s">
        <v>3252</v>
      </c>
      <c r="D1383" s="1" t="s">
        <v>3250</v>
      </c>
    </row>
    <row r="1384" spans="1:4" x14ac:dyDescent="0.15">
      <c r="A1384" s="1" t="s">
        <v>2465</v>
      </c>
      <c r="B1384" s="3" t="str">
        <f ca="1">IFERROR(__xludf.DUMMYFUNCTION("GOOGLETRANSLATE(B1384,""es"",""en"")"),"THEY ALREADY GAVE YOU THE VOTE OF CONFIDENCE, NOW GET YOUR BATTERIES ON AND GO SOLVE THE PROBLEM OF THE SNEAKERS AND THE BAMBOS!
DEL SOLAR VIOLATES SPANISH STANDARDS DUE TO GENDER APPROACH via @Manifiesto_pe https://t.co/G4v9EllNZV")</f>
        <v>THEY ALREADY GAVE YOU THE VOTE OF CONFIDENCE, NOW GET YOUR BATTERIES ON AND GO SOLVE THE PROBLEM OF THE SNEAKERS AND THE BAMBOS!
DEL SOLAR VIOLATES SPANISH STANDARDS DUE TO GENDER APPROACH via @Manifiesto_pe https://t.co/G4v9EllNZV</v>
      </c>
      <c r="C1384" s="2" t="s">
        <v>3253</v>
      </c>
      <c r="D1384" s="1" t="s">
        <v>3254</v>
      </c>
    </row>
    <row r="1385" spans="1:4" x14ac:dyDescent="0.15">
      <c r="A1385" s="1" t="s">
        <v>3255</v>
      </c>
      <c r="B1385" s="3" t="str">
        <f ca="1">IFERROR(__xludf.DUMMYFUNCTION("GOOGLETRANSLATE(B1385,""es"",""en"")"),"RT @delro3000: @manifiesto_peru Distressed #delsolarcaviarinutil now comes to ruin the language and families with its perverse gender approach (+ 100 types according to UN rojete) and the Bambas? The coward didn't even mention the case")</f>
        <v>RT @delro3000: @manifiesto_peru Distressed #delsolarcaviarinutil now comes to ruin the language and families with its perverse gender approach (+ 100 types according to UN rojete) and the Bambas? The coward didn't even mention the case</v>
      </c>
      <c r="C1385" s="2" t="s">
        <v>3256</v>
      </c>
      <c r="D1385" s="1" t="s">
        <v>3257</v>
      </c>
    </row>
    <row r="1386" spans="1:4" x14ac:dyDescent="0.15">
      <c r="A1386" s="1" t="s">
        <v>3255</v>
      </c>
      <c r="B1386" s="3" t="str">
        <f ca="1">IFERROR(__xludf.DUMMYFUNCTION("GOOGLETRANSLATE(B1386,""es"",""en"")"),"RT @stefany00111: @manifiesto_peru The Vizcarras the Vizcarras, the Salvador the saviors, the, stop talking nonsense to them, tell us what there is about the Vizcarra companies, the corrupt ministers, how do you handle Bambas, your resume when you give mo"&amp;"ney you have in the bank, it won't be like Toledo if you rise to the country")</f>
        <v>RT @stefany00111: @manifiesto_peru The Vizcarras the Vizcarras, the Salvador the saviors, the, stop talking nonsense to them, tell us what there is about the Vizcarra companies, the corrupt ministers, how do you handle Bambas, your resume when you give money you have in the bank, it won't be like Toledo if you rise to the country</v>
      </c>
      <c r="C1386" s="2" t="s">
        <v>3258</v>
      </c>
      <c r="D1386" s="1" t="s">
        <v>3259</v>
      </c>
    </row>
    <row r="1387" spans="1:4" x14ac:dyDescent="0.15">
      <c r="A1387" s="1" t="s">
        <v>370</v>
      </c>
      <c r="B1387" s="3" t="str">
        <f ca="1">IFERROR(__xludf.DUMMYFUNCTION("GOOGLETRANSLATE(B1387,""es"",""en"")"),"RT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387" s="2" t="s">
        <v>3260</v>
      </c>
      <c r="D1387" s="1" t="s">
        <v>3261</v>
      </c>
    </row>
    <row r="1388" spans="1:4" x14ac:dyDescent="0.15">
      <c r="A1388" s="1" t="s">
        <v>3262</v>
      </c>
      <c r="B1388" s="3" t="str">
        <f ca="1">IFERROR(__xludf.DUMMYFUNCTION("GOOGLETRANSLATE(B1388,""es"",""en"")"),"RT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388" s="2" t="s">
        <v>3263</v>
      </c>
      <c r="D1388" s="1" t="s">
        <v>3264</v>
      </c>
    </row>
    <row r="1389" spans="1:4" x14ac:dyDescent="0.15">
      <c r="A1389" s="1" t="s">
        <v>3265</v>
      </c>
      <c r="B1389" s="3" t="str">
        <f ca="1">IFERROR(__xludf.DUMMYFUNCTION("GOOGLETRANSLATE(B1389,""es"",""en"")"),"@ExpresoPeru For del Solar, the most important thing is THE LOSS of the Bambas conflict, the clarification of the Vizcarra companies, the current corrupt ministers, because Del Solar did not present his resume, how much money he has, it is not going to be"&amp;" that we meet with surprise like Toledo")</f>
        <v>@ExpresoPeru For del Solar, the most important thing is THE LOSS of the Bambas conflict, the clarification of the Vizcarra companies, the current corrupt ministers, because Del Solar did not present his resume, how much money he has, it is not going to be that we meet with surprise like Toledo</v>
      </c>
      <c r="C1389" s="2" t="s">
        <v>3266</v>
      </c>
      <c r="D1389" s="1" t="s">
        <v>3267</v>
      </c>
    </row>
    <row r="1390" spans="1:4" x14ac:dyDescent="0.15">
      <c r="A1390" s="1" t="s">
        <v>3268</v>
      </c>
      <c r="B1390" s="3" t="str">
        <f ca="1">IFERROR(__xludf.DUMMYFUNCTION("GOOGLETRANSLATE(B1390,""es"",""en"")"),"RT @Gatitadelsur: THEY ALREADY GAVE YOU THE VOTE OF CONFIDENCE, NOW GET UP YOUR BATTERIES AND GO SOLVE THE PROBLEM OF THE SNEAKERS AND THE BAMBOS!
DEL SOLAR VIOLATES SPANISH STANDARDS DUE TO GENDER APPROACH via @Manifiesto_pe https://t.co/G4v9EllNZV")</f>
        <v>RT @Gatitadelsur: THEY ALREADY GAVE YOU THE VOTE OF CONFIDENCE, NOW GET UP YOUR BATTERIES AND GO SOLVE THE PROBLEM OF THE SNEAKERS AND THE BAMBOS!
DEL SOLAR VIOLATES SPANISH STANDARDS DUE TO GENDER APPROACH via @Manifiesto_pe https://t.co/G4v9EllNZV</v>
      </c>
      <c r="C1390" s="2" t="s">
        <v>3269</v>
      </c>
      <c r="D1390" s="1" t="s">
        <v>3270</v>
      </c>
    </row>
    <row r="1391" spans="1:4" x14ac:dyDescent="0.15">
      <c r="A1391" s="1" t="s">
        <v>3271</v>
      </c>
      <c r="B1391" s="3" t="str">
        <f ca="1">IFERROR(__xludf.DUMMYFUNCTION("GOOGLETRANSLATE(B1391,""es"",""en"")"),"RT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391" s="2" t="s">
        <v>3272</v>
      </c>
      <c r="D1391" s="1" t="s">
        <v>3273</v>
      </c>
    </row>
    <row r="1392" spans="1:4" x14ac:dyDescent="0.15">
      <c r="A1392" s="1" t="s">
        <v>3274</v>
      </c>
      <c r="B1392" s="3" t="str">
        <f ca="1">IFERROR(__xludf.DUMMYFUNCTION("GOOGLETRANSLATE(B1392,""es"",""en"")"),"@TaniaPariona @pcmperu @NuevoPeruGP @noticias_tvperu @aidesep_org @Servindi @canalN_ @Ensartes @lavozdeayacucho @exitosape @elcomercio_peru Congressman please do not confuse real struggles of indigenous peoples with the Greed, blackmail and extortion that"&amp;" they are doing in Las Bambas to receive more money from all Peruvians. That money has to go to those most in need, not to those lawyers.")</f>
        <v>@TaniaPariona @pcmperu @NuevoPeruGP @noticias_tvperu @aidesep_org @Servindi @canalN_ @Ensartes @lavozdeayacucho @exitosape @elcomercio_peru Congressman please do not confuse real struggles of indigenous peoples with the Greed, blackmail and extortion that they are doing in Las Bambas to receive more money from all Peruvians. That money has to go to those most in need, not to those lawyers.</v>
      </c>
      <c r="C1392" s="2" t="s">
        <v>3275</v>
      </c>
      <c r="D1392" s="1" t="s">
        <v>3276</v>
      </c>
    </row>
    <row r="1393" spans="1:4" x14ac:dyDescent="0.15">
      <c r="A1393" s="1" t="s">
        <v>3277</v>
      </c>
      <c r="B1393" s="3" t="str">
        <f ca="1">IFERROR(__xludf.DUMMYFUNCTION("GOOGLETRANSLATE(B1393,""es"",""en"")"),"Liam Payne is sitting here, let's talk... 
How do you manage to be a cute baby and at the same time a man who leaves everyone's legs wearing sneakers??
putz, what a cute homem shit https://t.co/Df8NtYKCeS")</f>
        <v>Liam Payne is sitting here, let's talk... 
How do you manage to be a cute baby and at the same time a man who leaves everyone's legs wearing sneakers??
putz, what a cute homem shit https://t.co/Df8NtYKCeS</v>
      </c>
      <c r="C1393" s="2" t="s">
        <v>3278</v>
      </c>
      <c r="D1393" s="1" t="s">
        <v>3276</v>
      </c>
    </row>
    <row r="1394" spans="1:4" x14ac:dyDescent="0.15">
      <c r="A1394" s="1" t="s">
        <v>3255</v>
      </c>
      <c r="B1394" s="3" t="str">
        <f ca="1">IFERROR(__xludf.DUMMYFUNCTION("GOOGLETRANSLATE(B1394,""es"",""en"")"),"RT @ExpresoPeru: They criticize Martín Vizcarra for Enagás and Las Bambas Expreso - https://t.co/nSQ9VZHtC4 https://t.co/KZTkqJt8UJ")</f>
        <v>RT @ExpresoPeru: They criticize Martín Vizcarra for Enagás and Las Bambas Expreso - https://t.co/nSQ9VZHtC4 https://t.co/KZTkqJt8UJ</v>
      </c>
      <c r="C1394" s="2" t="s">
        <v>3279</v>
      </c>
      <c r="D1394" s="1" t="s">
        <v>3280</v>
      </c>
    </row>
    <row r="1395" spans="1:4" x14ac:dyDescent="0.15">
      <c r="A1395" s="1" t="s">
        <v>3281</v>
      </c>
      <c r="B1395" s="3" t="str">
        <f ca="1">IFERROR(__xludf.DUMMYFUNCTION("GOOGLETRANSLATE(B1395,""es"",""en"")"),"They criticize Martín Vizcarra for Enagás and Las Bambas https://t.co/xVr5y9mtAH")</f>
        <v>They criticize Martín Vizcarra for Enagás and Las Bambas https://t.co/xVr5y9mtAH</v>
      </c>
      <c r="C1395" s="2" t="s">
        <v>3282</v>
      </c>
      <c r="D1395" s="1" t="s">
        <v>3283</v>
      </c>
    </row>
    <row r="1396" spans="1:4" x14ac:dyDescent="0.15">
      <c r="A1396" s="1" t="s">
        <v>3284</v>
      </c>
      <c r="B1396" s="3" t="str">
        <f ca="1">IFERROR(__xludf.DUMMYFUNCTION("GOOGLETRANSLATE(B1396,""es"",""en"")"),"RT @alvarosarco: Does anyone know how the government plans to solve the Las Bambas problem? Because as if it were a minor or unimportant matter, the useless Salvador del Solar did not say anything about it in his entire boring speech #GabineteBamba #NoAlV"&amp;"otoDeConfianza")</f>
        <v>RT @alvarosarco: Does anyone know how the government plans to solve the Las Bambas problem? Because as if it were a minor or unimportant matter, the useless Salvador del Solar did not say anything about it in his entire boring speech #GabineteBamba #NoAlVotoDeConfianza</v>
      </c>
      <c r="C1396" s="2" t="s">
        <v>3285</v>
      </c>
      <c r="D1396" s="1" t="s">
        <v>3286</v>
      </c>
    </row>
    <row r="1397" spans="1:4" x14ac:dyDescent="0.15">
      <c r="A1397" s="1" t="s">
        <v>3287</v>
      </c>
      <c r="B1397" s="3" t="str">
        <f ca="1">IFERROR(__xludf.DUMMYFUNCTION("GOOGLETRANSLATE(B1397,""es"",""en"")"),"@luvsicklau Sneakers, t-shirts or sports shoes")</f>
        <v>@luvsicklau Sneakers, t-shirts or sports shoes</v>
      </c>
      <c r="C1397" s="2" t="s">
        <v>3288</v>
      </c>
      <c r="D1397" s="1" t="s">
        <v>3289</v>
      </c>
    </row>
    <row r="1398" spans="1:4" x14ac:dyDescent="0.15">
      <c r="A1398" s="1" t="s">
        <v>314</v>
      </c>
      <c r="B1398" s="3" t="str">
        <f ca="1">IFERROR(__xludf.DUMMYFUNCTION("GOOGLETRANSLATE(B1398,""es"",""en"")"),"@elcomercio_peru MULDER IS GOING TO CRITICIZE NO ONE FOR BAMBAS!!! FUJIAPRISM WITH ITS MINISTER MORAN WOULD LIKE TO DISAPPEAR PEASANT COMMUNITIES HARMFUL BY MINING. HOW DID FUJIMORI AND ALAN GARCIAMULDER DO IT AT THE TIME HOW MUCH DID COIMA PAY THE MINERS"&amp;" TO CONSEQUENT WITHOUT CONSULTATION?")</f>
        <v>@elcomercio_peru MULDER IS GOING TO CRITICIZE NO ONE FOR BAMBAS!!! FUJIAPRISM WITH ITS MINISTER MORAN WOULD LIKE TO DISAPPEAR PEASANT COMMUNITIES HARMFUL BY MINING. HOW DID FUJIMORI AND ALAN GARCIAMULDER DO IT AT THE TIME HOW MUCH DID COIMA PAY THE MINERS TO CONSEQUENT WITHOUT CONSULTATION?</v>
      </c>
      <c r="C1398" s="2" t="s">
        <v>3290</v>
      </c>
      <c r="D1398" s="1" t="s">
        <v>3291</v>
      </c>
    </row>
    <row r="1399" spans="1:4" x14ac:dyDescent="0.15">
      <c r="A1399" s="1" t="s">
        <v>2944</v>
      </c>
      <c r="B1399" s="3" t="str">
        <f ca="1">IFERROR(__xludf.DUMMYFUNCTION("GOOGLETRANSLATE(B1399,""es"",""en"")"),"RT @EfrainArca: @Racismo18 THESE ABORIGENES MARK OUR IDENTITY AND ARE THE BASIS FOR THE FORMATION OF THE NATION, WHILE THE GOVERNMENT AND THE CHINESE COMPANY WHO DID NOT BUILD THE MINING DUCT THE 250 DUMPERS THAT DAILY Las Bambas: Copper production increa"&amp;"ses, despite social conflict ht")</f>
        <v>RT @EfrainArca: @Racismo18 THESE ABORIGENES MARK OUR IDENTITY AND ARE THE BASIS FOR THE FORMATION OF THE NATION, WHILE THE GOVERNMENT AND THE CHINESE COMPANY WHO DID NOT BUILD THE MINING DUCT THE 250 DUMPERS THAT DAILY Las Bambas: Copper production increases, despite social conflict ht</v>
      </c>
      <c r="C1399" s="2" t="s">
        <v>3292</v>
      </c>
      <c r="D1399" s="1" t="s">
        <v>3291</v>
      </c>
    </row>
    <row r="1400" spans="1:4" x14ac:dyDescent="0.15">
      <c r="A1400" s="1" t="s">
        <v>3293</v>
      </c>
      <c r="B1400" s="3" t="str">
        <f ca="1">IFERROR(__xludf.DUMMYFUNCTION("GOOGLETRANSLATE(B1400,""es"",""en"")"),"@BastMRS Lately I've been wearing sneakers at full speed and I just bought some cute sneakers for spring.")</f>
        <v>@BastMRS Lately I've been wearing sneakers at full speed and I just bought some cute sneakers for spring.</v>
      </c>
      <c r="C1400" s="2" t="s">
        <v>3294</v>
      </c>
      <c r="D1400" s="1" t="s">
        <v>3291</v>
      </c>
    </row>
    <row r="1401" spans="1:4" x14ac:dyDescent="0.15">
      <c r="A1401" s="1" t="s">
        <v>2944</v>
      </c>
      <c r="B1401" s="3" t="str">
        <f ca="1">IFERROR(__xludf.DUMMYFUNCTION("GOOGLETRANSLATE(B1401,""es"",""en"")"),"RT @EfrainArca: @Racismo18 PRIMARY WITHOUT ADDED VALUE IN EXORBITANT QUANTITIES IN ADDITION TO GOLD AND OTHER MINERALS, FOR WHICH THE GOVERNMENT USES
THAT MONEY IN MAINTAINING A CORRUPT, USELESS AND ANTI-NATIONAL CONGRESS, EXECUTIVE AND JUDICIAL Comuneros"&amp;" of Las Bambas: highway seizure will continue until li")</f>
        <v>RT @EfrainArca: @Racismo18 PRIMARY WITHOUT ADDED VALUE IN EXORBITANT QUANTITIES IN ADDITION TO GOLD AND OTHER MINERALS, FOR WHICH THE GOVERNMENT USES
THAT MONEY IN MAINTAINING A CORRUPT, USELESS AND ANTI-NATIONAL CONGRESS, EXECUTIVE AND JUDICIAL Comuneros of Las Bambas: highway seizure will continue until li</v>
      </c>
      <c r="C1401" s="2" t="s">
        <v>3295</v>
      </c>
      <c r="D1401" s="1" t="s">
        <v>3296</v>
      </c>
    </row>
    <row r="1402" spans="1:4" x14ac:dyDescent="0.15">
      <c r="A1402" s="1" t="s">
        <v>3297</v>
      </c>
      <c r="B1402" s="3" t="str">
        <f ca="1">IFERROR(__xludf.DUMMYFUNCTION("GOOGLETRANSLATE(B1402,""es"",""en"")"),"RT @ixla_: I love that I leave you with these badass legs.")</f>
        <v>RT @ixla_: I love that I leave you with these badass legs.</v>
      </c>
      <c r="C1402" s="2" t="s">
        <v>3298</v>
      </c>
      <c r="D1402" s="1" t="s">
        <v>3299</v>
      </c>
    </row>
    <row r="1403" spans="1:4" x14ac:dyDescent="0.15">
      <c r="A1403" s="1" t="s">
        <v>3300</v>
      </c>
      <c r="B1403" s="3" t="str">
        <f ca="1">IFERROR(__xludf.DUMMYFUNCTION("GOOGLETRANSLATE(B1403,""es"",""en"")"),"RT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403" s="2" t="s">
        <v>3301</v>
      </c>
      <c r="D1403" s="1" t="s">
        <v>3299</v>
      </c>
    </row>
    <row r="1404" spans="1:4" x14ac:dyDescent="0.15">
      <c r="A1404" s="1" t="s">
        <v>1026</v>
      </c>
      <c r="B1404" s="3" t="str">
        <f ca="1">IFERROR(__xludf.DUMMYFUNCTION("GOOGLETRANSLATE(B1404,""es"",""en"")"),"RT @Jhonney2020: A weak cabinet? At 1:30 a.m. The Del Solar cabinet received the vote of confidence with only 46 votes in favor, 27 against and 21 abstained. The premier did not address the social conflict in Las Bambas, which has been unresolved for almo"&amp;"st two months. https://t.co/wnfowAAfWL")</f>
        <v>RT @Jhonney2020: A weak cabinet? At 1:30 a.m. The Del Solar cabinet received the vote of confidence with only 46 votes in favor, 27 against and 21 abstained. The premier did not address the social conflict in Las Bambas, which has been unresolved for almost two months. https://t.co/wnfowAAfWL</v>
      </c>
      <c r="C1404" s="2" t="s">
        <v>3302</v>
      </c>
      <c r="D1404" s="1" t="s">
        <v>3299</v>
      </c>
    </row>
    <row r="1405" spans="1:4" x14ac:dyDescent="0.15">
      <c r="A1405" s="1" t="s">
        <v>3303</v>
      </c>
      <c r="B1405" s="3" t="str">
        <f ca="1">IFERROR(__xludf.DUMMYFUNCTION("GOOGLETRANSLATE(B1405,""es"",""en"")"),"Your sneakers are clean, you don't come from the street...")</f>
        <v>Your sneakers are clean, you don't come from the street...</v>
      </c>
      <c r="C1405" s="2" t="s">
        <v>3304</v>
      </c>
      <c r="D1405" s="1" t="s">
        <v>3305</v>
      </c>
    </row>
    <row r="1406" spans="1:4" x14ac:dyDescent="0.15">
      <c r="A1406" s="1" t="s">
        <v>3306</v>
      </c>
      <c r="B1406" s="3" t="str">
        <f ca="1">IFERROR(__xludf.DUMMYFUNCTION("GOOGLETRANSLATE(B1406,""es"",""en"")"),"RT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406" s="2" t="s">
        <v>3307</v>
      </c>
      <c r="D1406" s="1" t="s">
        <v>3308</v>
      </c>
    </row>
    <row r="1407" spans="1:4" x14ac:dyDescent="0.15">
      <c r="A1407" s="1" t="s">
        <v>241</v>
      </c>
      <c r="B1407" s="3" t="str">
        <f ca="1">IFERROR(__xludf.DUMMYFUNCTION("GOOGLETRANSLATE(B1407,""es"",""en"")"),"Good day!
🔴 AND THE SNEAKERS FOR WHEN 
This is our cover
Check out the digital edition here ➤➤ https://t.co/Xba15WDo2W https://t.co/Nz0aCmPQHI")</f>
        <v>Good day!
🔴 AND THE SNEAKERS FOR WHEN 
This is our cover
Check out the digital edition here ➤➤ https://t.co/Xba15WDo2W https://t.co/Nz0aCmPQHI</v>
      </c>
      <c r="C1407" s="2" t="s">
        <v>3309</v>
      </c>
      <c r="D1407" s="1" t="s">
        <v>3310</v>
      </c>
    </row>
    <row r="1408" spans="1:4" x14ac:dyDescent="0.15">
      <c r="A1408" s="1" t="s">
        <v>3311</v>
      </c>
      <c r="B1408" s="3" t="str">
        <f ca="1">IFERROR(__xludf.DUMMYFUNCTION("GOOGLETRANSLATE(B1408,""es"",""en"")"),"RT @meiermq: Isn't this more degrading than Paisana Jacinta?: ""the protesting community members of Las Bambas are not those wonderful Andean people with their traditional folkloric clothes, who call you mamita and give you a little cheese that goes in fr"&amp;"ont of the bin because It smells like a battery"" (pen by R.León)")</f>
        <v>RT @meiermq: Isn't this more degrading than Paisana Jacinta?: "the protesting community members of Las Bambas are not those wonderful Andean people with their traditional folkloric clothes, who call you mamita and give you a little cheese that goes in front of the bin because It smells like a battery" (pen by R.León)</v>
      </c>
      <c r="C1408" s="2" t="s">
        <v>3312</v>
      </c>
      <c r="D1408" s="1" t="s">
        <v>3310</v>
      </c>
    </row>
    <row r="1409" spans="1:4" x14ac:dyDescent="0.15">
      <c r="A1409" s="1" t="s">
        <v>3313</v>
      </c>
      <c r="B1409" s="3" t="str">
        <f ca="1">IFERROR(__xludf.DUMMYFUNCTION("GOOGLETRANSLATE(B1409,""es"",""en"")"),"RT @rsousaperu: State advertising increased by 91%, management inability in Las Bambas, rain of consultancies, anemia that attacks 43.5% of children...Are we preventing the southern cold?...etc. Mr. Vizcarra, when does recess end? #VizcarraEnPicada")</f>
        <v>RT @rsousaperu: State advertising increased by 91%, management inability in Las Bambas, rain of consultancies, anemia that attacks 43.5% of children...Are we preventing the southern cold?...etc. Mr. Vizcarra, when does recess end? #VizcarraEnPicada</v>
      </c>
      <c r="C1409" s="2" t="s">
        <v>3314</v>
      </c>
      <c r="D1409" s="1" t="s">
        <v>3315</v>
      </c>
    </row>
    <row r="1410" spans="1:4" x14ac:dyDescent="0.15">
      <c r="A1410" s="1" t="s">
        <v>3316</v>
      </c>
      <c r="B1410" s="3" t="str">
        <f ca="1">IFERROR(__xludf.DUMMYFUNCTION("GOOGLETRANSLATE(B1410,""es"",""en"")"),"Luis Nunes: “It was a strategic mistake not to talk about Las Bambas” https://t.co/lNusXNchnr via @peru21noticias")</f>
        <v>Luis Nunes: “It was a strategic mistake not to talk about Las Bambas” https://t.co/lNusXNchnr via @peru21noticias</v>
      </c>
      <c r="C1410" s="2" t="s">
        <v>3317</v>
      </c>
      <c r="D1410" s="1" t="s">
        <v>3318</v>
      </c>
    </row>
    <row r="1411" spans="1:4" x14ac:dyDescent="0.15">
      <c r="A1411" s="1" t="s">
        <v>3319</v>
      </c>
      <c r="B1411" s="3" t="str">
        <f ca="1">IFERROR(__xludf.DUMMYFUNCTION("GOOGLETRANSLATE(B1411,""es"",""en"")"),"RT @peru21noticias: Challhuahuacho communities demand the presence of President Martín Vizcarra to resolve the conflict in #LasBambas https://t.co/2CkEZ5KC0T https://t.co/DfHgj4gSW5")</f>
        <v>RT @peru21noticias: Challhuahuacho communities demand the presence of President Martín Vizcarra to resolve the conflict in #LasBambas https://t.co/2CkEZ5KC0T https://t.co/DfHgj4gSW5</v>
      </c>
      <c r="C1411" s="2" t="s">
        <v>3320</v>
      </c>
      <c r="D1411" s="1" t="s">
        <v>3318</v>
      </c>
    </row>
    <row r="1412" spans="1:4" x14ac:dyDescent="0.15">
      <c r="A1412" s="1" t="s">
        <v>169</v>
      </c>
      <c r="B1412" s="3" t="str">
        <f ca="1">IFERROR(__xludf.DUMMYFUNCTION("GOOGLETRANSLATE(B1412,""es"",""en"")"),"RT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412" s="2" t="s">
        <v>3321</v>
      </c>
      <c r="D1412" s="1" t="s">
        <v>3318</v>
      </c>
    </row>
    <row r="1413" spans="1:4" x14ac:dyDescent="0.15">
      <c r="A1413" s="1" t="s">
        <v>3322</v>
      </c>
      <c r="B1413" s="3" t="str">
        <f ca="1">IFERROR(__xludf.DUMMYFUNCTION("GOOGLETRANSLATE(B1413,""es"",""en"")"),"@pardalidae Wherever the six-euro black sneakers from Primark are, let everything else be removed")</f>
        <v>@pardalidae Wherever the six-euro black sneakers from Primark are, let everything else be removed</v>
      </c>
      <c r="C1413" s="2" t="s">
        <v>3323</v>
      </c>
      <c r="D1413" s="1" t="s">
        <v>3324</v>
      </c>
    </row>
    <row r="1414" spans="1:4" x14ac:dyDescent="0.15">
      <c r="A1414" s="1" t="s">
        <v>1157</v>
      </c>
      <c r="B1414" s="3" t="str">
        <f ca="1">IFERROR(__xludf.DUMMYFUNCTION("GOOGLETRANSLATE(B1414,""es"",""en"")"),"RT @elcomercio_peru: Mulder criticized that Del Solar did not mention Las Bambas in a vote of confidence 
https://t.co/9DM0ej1Xd0")</f>
        <v>RT @elcomercio_peru: Mulder criticized that Del Solar did not mention Las Bambas in a vote of confidence 
https://t.co/9DM0ej1Xd0</v>
      </c>
      <c r="C1414" s="2" t="s">
        <v>3325</v>
      </c>
      <c r="D1414" s="1" t="s">
        <v>3324</v>
      </c>
    </row>
    <row r="1415" spans="1:4" x14ac:dyDescent="0.15">
      <c r="A1415" s="1" t="s">
        <v>3313</v>
      </c>
      <c r="B1415" s="3" t="str">
        <f ca="1">IFERROR(__xludf.DUMMYFUNCTION("GOOGLETRANSLATE(B1415,""es"",""en"")"),"RT @dmacera: Now that the paralysis of Las Bambas operations is taking shape, let's put their contribution into perspective.
Who is benefiting from this conflict? https://t.co/EsVEWMpXXy")</f>
        <v>RT @dmacera: Now that the paralysis of Las Bambas operations is taking shape, let's put their contribution into perspective.
Who is benefiting from this conflict? https://t.co/EsVEWMpXXy</v>
      </c>
      <c r="C1415" s="2" t="s">
        <v>3326</v>
      </c>
      <c r="D1415" s="1" t="s">
        <v>3327</v>
      </c>
    </row>
    <row r="1416" spans="1:4" x14ac:dyDescent="0.15">
      <c r="A1416" s="1" t="s">
        <v>3328</v>
      </c>
      <c r="B1416" s="3" t="str">
        <f ca="1">IFERROR(__xludf.DUMMYFUNCTION("GOOGLETRANSLATE(B1416,""es"",""en"")"),"The premier didn't say anything about the Bambas and nothing about Fiori??")</f>
        <v>The premier didn't say anything about the Bambas and nothing about Fiori??</v>
      </c>
      <c r="C1416" s="2" t="s">
        <v>3329</v>
      </c>
      <c r="D1416" s="1" t="s">
        <v>3330</v>
      </c>
    </row>
    <row r="1417" spans="1:4" x14ac:dyDescent="0.15">
      <c r="A1417" s="1" t="s">
        <v>3331</v>
      </c>
      <c r="B1417" s="3" t="str">
        <f ca="1">IFERROR(__xludf.DUMMYFUNCTION("GOOGLETRANSLATE(B1417,""es"",""en"")"),"@mariacanizares_ Bambas")</f>
        <v>@mariacanizares_ Bambas</v>
      </c>
      <c r="C1417" s="2" t="s">
        <v>3332</v>
      </c>
      <c r="D1417" s="1" t="s">
        <v>3333</v>
      </c>
    </row>
    <row r="1418" spans="1:4" x14ac:dyDescent="0.15">
      <c r="A1418" s="1" t="s">
        <v>3334</v>
      </c>
      <c r="B1418" s="3" t="str">
        <f ca="1">IFERROR(__xludf.DUMMYFUNCTION("GOOGLETRANSLATE(B1418,""es"",""en"")"),"LAS BAMBAS https://t.co/esfT4RflNQ")</f>
        <v>LAS BAMBAS https://t.co/esfT4RflNQ</v>
      </c>
      <c r="C1418" s="2" t="s">
        <v>3335</v>
      </c>
      <c r="D1418" s="1" t="s">
        <v>3336</v>
      </c>
    </row>
    <row r="1419" spans="1:4" x14ac:dyDescent="0.15">
      <c r="A1419" s="1" t="s">
        <v>3337</v>
      </c>
      <c r="B1419" s="3" t="str">
        <f ca="1">IFERROR(__xludf.DUMMYFUNCTION("GOOGLETRANSLATE(B1419,""es"",""en"")"),"RT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419" s="2" t="s">
        <v>3338</v>
      </c>
      <c r="D1419" s="1" t="s">
        <v>3339</v>
      </c>
    </row>
    <row r="1420" spans="1:4" x14ac:dyDescent="0.15">
      <c r="A1420" s="1" t="s">
        <v>3340</v>
      </c>
      <c r="B1420" s="3" t="str">
        <f ca="1">IFERROR(__xludf.DUMMYFUNCTION("GOOGLETRANSLATE(B1420,""es"",""en"")"),"RT @peru21noticias: Salvador del Solar blames Congress, but forgets about Las Bambas https://t.co/cMcC29eT2a
The message was met with applause at times, but at the end of the presentation the criticism was immediate.
By: Fabiana Sánchez di Natale (@Fabian"&amp;"asd)/ Patricia Quispe Villanueva (@pquispev) https://t.co/F4pcypba4Q")</f>
        <v>RT @peru21noticias: Salvador del Solar blames Congress, but forgets about Las Bambas https://t.co/cMcC29eT2a
The message was met with applause at times, but at the end of the presentation the criticism was immediate.
By: Fabiana Sánchez di Natale (@Fabianasd)/ Patricia Quispe Villanueva (@pquispev) https://t.co/F4pcypba4Q</v>
      </c>
      <c r="C1420" s="2" t="s">
        <v>3341</v>
      </c>
      <c r="D1420" s="1" t="s">
        <v>3342</v>
      </c>
    </row>
    <row r="1421" spans="1:4" x14ac:dyDescent="0.15">
      <c r="A1421" s="1" t="s">
        <v>297</v>
      </c>
      <c r="B1421" s="3" t="str">
        <f ca="1">IFERROR(__xludf.DUMMYFUNCTION("GOOGLETRANSLATE(B1421,""es"",""en"")"),"#LasBambas #MiningConflicts 
Gregorio Rojas admits to the prosecutor that the detained advisors of his community designed and executed a plan to demand the payment of 500 million soles from the Chinese mining company MMG. ►https://t.co/7J6uKzu3qr")</f>
        <v>#LasBambas #MiningConflicts 
Gregorio Rojas admits to the prosecutor that the detained advisors of his community designed and executed a plan to demand the payment of 500 million soles from the Chinese mining company MMG. ►https://t.co/7J6uKzu3qr</v>
      </c>
      <c r="C1421" s="2" t="s">
        <v>3343</v>
      </c>
      <c r="D1421" s="1" t="s">
        <v>3342</v>
      </c>
    </row>
    <row r="1422" spans="1:4" x14ac:dyDescent="0.15">
      <c r="A1422" s="1" t="s">
        <v>108</v>
      </c>
      <c r="B1422" s="3" t="str">
        <f ca="1">IFERROR(__xludf.DUMMYFUNCTION("GOOGLETRANSLATE(B1422,""es"",""en"")"),"RT @marthamoyano: The premier didn't say anything about the Bambas and nothing about Fiori??")</f>
        <v>RT @marthamoyano: The premier didn't say anything about the Bambas and nothing about Fiori??</v>
      </c>
      <c r="C1422" s="2" t="s">
        <v>3344</v>
      </c>
      <c r="D1422" s="1" t="s">
        <v>3342</v>
      </c>
    </row>
    <row r="1423" spans="1:4" x14ac:dyDescent="0.15">
      <c r="A1423" s="1" t="s">
        <v>1339</v>
      </c>
      <c r="B1423" s="3" t="str">
        <f ca="1">IFERROR(__xludf.DUMMYFUNCTION("GOOGLETRANSLATE(B1423,""es"",""en"")"),"RT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423" s="2" t="s">
        <v>3345</v>
      </c>
      <c r="D1423" s="1" t="s">
        <v>3346</v>
      </c>
    </row>
    <row r="1424" spans="1:4" x14ac:dyDescent="0.15">
      <c r="A1424" s="1" t="s">
        <v>3347</v>
      </c>
      <c r="B1424" s="3" t="str">
        <f ca="1">IFERROR(__xludf.DUMMYFUNCTION("GOOGLETRANSLATE(B1424,""es"",""en"")"),"Leaf chordi with a gas... vou malhar firm hj, hit heavy, leave with as pernas sneakers from the academy")</f>
        <v>Leaf chordi with a gas... vou malhar firm hj, hit heavy, leave with as pernas sneakers from the academy</v>
      </c>
      <c r="C1424" s="2" t="s">
        <v>3348</v>
      </c>
      <c r="D1424" s="1" t="s">
        <v>3346</v>
      </c>
    </row>
    <row r="1425" spans="1:4" x14ac:dyDescent="0.15">
      <c r="A1425" s="1" t="s">
        <v>3349</v>
      </c>
      <c r="B1425" s="3" t="str">
        <f ca="1">IFERROR(__xludf.DUMMYFUNCTION("GOOGLETRANSLATE(B1425,""es"",""en"")"),"RT @lamula: #LasBambas #ConflictosMineros 
Gregorio Rojas admits to the prosecutor that the detained advisors of his community designed and executed a plan to demand the payment of 500 million soles from the Chinese mining company MMG. ►https://t.co/7J6uK"&amp;"zu3qr")</f>
        <v>RT @lamula: #LasBambas #ConflictosMineros 
Gregorio Rojas admits to the prosecutor that the detained advisors of his community designed and executed a plan to demand the payment of 500 million soles from the Chinese mining company MMG. ►https://t.co/7J6uKzu3qr</v>
      </c>
      <c r="C1425" s="2" t="s">
        <v>3350</v>
      </c>
      <c r="D1425" s="1" t="s">
        <v>3346</v>
      </c>
    </row>
    <row r="1426" spans="1:4" x14ac:dyDescent="0.15">
      <c r="A1426" s="1" t="s">
        <v>3351</v>
      </c>
      <c r="B1426" s="3" t="str">
        <f ca="1">IFERROR(__xludf.DUMMYFUNCTION("GOOGLETRANSLATE(B1426,""es"",""en"")"),"RT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426" s="2" t="s">
        <v>3352</v>
      </c>
      <c r="D1426" s="1" t="s">
        <v>3346</v>
      </c>
    </row>
    <row r="1427" spans="1:4" x14ac:dyDescent="0.15">
      <c r="A1427" s="1" t="s">
        <v>3353</v>
      </c>
      <c r="B1427" s="3" t="str">
        <f ca="1">IFERROR(__xludf.DUMMYFUNCTION("GOOGLETRANSLATE(B1427,""es"",""en"")"),"[VIDEO] #JoséCarlosRequena: “Del Solar did not talk about Las Bambas, nor about consultancies” ► https://t.co/5aQUw3LqIU")</f>
        <v>[VIDEO] #JoséCarlosRequena: “Del Solar did not talk about Las Bambas, nor about consultancies” ► https://t.co/5aQUw3LqIU</v>
      </c>
      <c r="C1427" s="2" t="s">
        <v>3354</v>
      </c>
      <c r="D1427" s="1" t="s">
        <v>3355</v>
      </c>
    </row>
    <row r="1428" spans="1:4" x14ac:dyDescent="0.15">
      <c r="A1428" s="1" t="s">
        <v>647</v>
      </c>
      <c r="B1428" s="3" t="str">
        <f ca="1">IFERROR(__xludf.DUMMYFUNCTION("GOOGLETRANSLATE(B1428,""es"",""en"")"),"RT @BDPTV: [VIDEO] #JoséCarlosRequena: “Del Solar did not talk about Las Bambas, nor about consultancies” ► https://t.co/5aQUw3LqIU")</f>
        <v>RT @BDPTV: [VIDEO] #JoséCarlosRequena: “Del Solar did not talk about Las Bambas, nor about consultancies” ► https://t.co/5aQUw3LqIU</v>
      </c>
      <c r="C1428" s="2" t="s">
        <v>3356</v>
      </c>
      <c r="D1428" s="1" t="s">
        <v>3355</v>
      </c>
    </row>
    <row r="1429" spans="1:4" x14ac:dyDescent="0.15">
      <c r="A1429" s="1" t="s">
        <v>3357</v>
      </c>
      <c r="B1429" s="3" t="str">
        <f ca="1">IFERROR(__xludf.DUMMYFUNCTION("GOOGLETRANSLATE(B1429,""es"",""en"")"),"Well, I realized that I was going to roll some amazing sneakers with the gurias that I like, I'll get excited 😪😪")</f>
        <v>Well, I realized that I was going to roll some amazing sneakers with the gurias that I like, I'll get excited 😪😪</v>
      </c>
      <c r="C1429" s="2" t="s">
        <v>3358</v>
      </c>
      <c r="D1429" s="1" t="s">
        <v>3359</v>
      </c>
    </row>
    <row r="1430" spans="1:4" x14ac:dyDescent="0.15">
      <c r="A1430" s="1" t="s">
        <v>3360</v>
      </c>
      <c r="B1430" s="3" t="str">
        <f ca="1">IFERROR(__xludf.DUMMYFUNCTION("GOOGLETRANSLATE(B1430,""es"",""en"")"),"RT @LuisaPalaciosS: @TRICICLODELPERU 🚨GREAT THEFT
Vizcarra and Del Solar protect Kuczynski's business in Las Bambas
The advisor to the community members of Fuerabamba revealed that the owner of the trucks that transport the mineral from the MMG mining co"&amp;"mpany would be the former president Pedro Pablo Kuczynski
https://t.co/lxFmC8OzZU https://t.co/Ic4JDajo5E")</f>
        <v>RT @LuisaPalaciosS: @TRICICLODELPERU 🚨GREAT THEFT
Vizcarra and Del Solar protect Kuczynski's business in Las Bambas
The advisor to the community members of Fuerabamba revealed that the owner of the trucks that transport the mineral from the MMG mining company would be the former president Pedro Pablo Kuczynski
https://t.co/lxFmC8OzZU https://t.co/Ic4JDajo5E</v>
      </c>
      <c r="C1430" s="2" t="s">
        <v>3361</v>
      </c>
      <c r="D1430" s="1" t="s">
        <v>3362</v>
      </c>
    </row>
    <row r="1431" spans="1:4" x14ac:dyDescent="0.15">
      <c r="A1431" s="1" t="s">
        <v>101</v>
      </c>
      <c r="B1431" s="3" t="str">
        <f ca="1">IFERROR(__xludf.DUMMYFUNCTION("GOOGLETRANSLATE(B1431,""es"",""en"")"),"Salvador del Solar: “Las Bambas is a priority for Peru” “The project has to continue, we have to find a way for there to be greater harmony,” said the president of the Council of Ministers. He insisted that the conflict between the c... https://t.co/qXof8"&amp;"f7bOJ #PeruNoticias https://t.co/Qos6JZ2Po8")</f>
        <v>Salvador del Solar: “Las Bambas is a priority for Peru” “The project has to continue, we have to find a way for there to be greater harmony,” said the president of the Council of Ministers. He insisted that the conflict between the c... https://t.co/qXof8f7bOJ #PeruNoticias https://t.co/Qos6JZ2Po8</v>
      </c>
      <c r="C1431" s="2" t="s">
        <v>3363</v>
      </c>
      <c r="D1431" s="1" t="s">
        <v>3362</v>
      </c>
    </row>
    <row r="1432" spans="1:4" x14ac:dyDescent="0.15">
      <c r="A1432" s="1" t="s">
        <v>3364</v>
      </c>
      <c r="B1432" s="3" t="str">
        <f ca="1">IFERROR(__xludf.DUMMYFUNCTION("GOOGLETRANSLATE(B1432,""es"",""en"")"),"RT @PeruPressTv: President of the peasant community of #Fuerabamba, Gregorio Rojas, confessed that the brothers Jorge and Frank Chávez Sotelo are responsible for the planning and execution of the road blockade in Las Bambas, to demand S/ 500 million from "&amp;"the Chinese mining company MMG. https://t.co/6P5wuhWXLV")</f>
        <v>RT @PeruPressTv: President of the peasant community of #Fuerabamba, Gregorio Rojas, confessed that the brothers Jorge and Frank Chávez Sotelo are responsible for the planning and execution of the road blockade in Las Bambas, to demand S/ 500 million from the Chinese mining company MMG. https://t.co/6P5wuhWXLV</v>
      </c>
      <c r="C1432" s="2" t="s">
        <v>3365</v>
      </c>
      <c r="D1432" s="1" t="s">
        <v>3366</v>
      </c>
    </row>
    <row r="1433" spans="1:4" x14ac:dyDescent="0.15">
      <c r="A1433" s="1" t="s">
        <v>3367</v>
      </c>
      <c r="B1433" s="3" t="str">
        <f ca="1">IFERROR(__xludf.DUMMYFUNCTION("GOOGLETRANSLATE(B1433,""es"",""en"")"),"@amerinoreyna @KeikoFujimori @albertofujimori The leader of Las Bambas was released as soon as?
Learn @PFuerzaPopular.
They betrayed their essence and now they are on the verge of extinction
#KeikoPresaPolitics")</f>
        <v>@amerinoreyna @KeikoFujimori @albertofujimori The leader of Las Bambas was released as soon as?
Learn @PFuerzaPopular.
They betrayed their essence and now they are on the verge of extinction
#KeikoPresaPolitics</v>
      </c>
      <c r="C1433" s="2" t="s">
        <v>3368</v>
      </c>
      <c r="D1433" s="1" t="s">
        <v>3369</v>
      </c>
    </row>
    <row r="1434" spans="1:4" x14ac:dyDescent="0.15">
      <c r="A1434" s="1" t="s">
        <v>3370</v>
      </c>
      <c r="B1434" s="3" t="str">
        <f ca="1">IFERROR(__xludf.DUMMYFUNCTION("GOOGLETRANSLATE(B1434,""es"",""en"")"),"RT @vcabalg: True message:
In Peru they give you permission to invest, they expect you to make the investment of billions of dollars, you deliver benefits agreed upon by the community, and when you start operating they blackmail and block you.
Don't inves"&amp;"t there, they are cheaters.
https://t.co/StPgMvUyFY")</f>
        <v>RT @vcabalg: True message:
In Peru they give you permission to invest, they expect you to make the investment of billions of dollars, you deliver benefits agreed upon by the community, and when you start operating they blackmail and block you.
Don't invest there, they are cheaters.
https://t.co/StPgMvUyFY</v>
      </c>
      <c r="C1434" s="2" t="s">
        <v>3371</v>
      </c>
      <c r="D1434" s="1" t="s">
        <v>3372</v>
      </c>
    </row>
    <row r="1435" spans="1:4" x14ac:dyDescent="0.15">
      <c r="A1435" s="1" t="s">
        <v>3373</v>
      </c>
      <c r="B1435" s="3" t="str">
        <f ca="1">IFERROR(__xludf.DUMMYFUNCTION("GOOGLETRANSLATE(B1435,""es"",""en"")"),"RT @marthamoyano: The premier didn't say anything about the Bambas and nothing about Fiori??")</f>
        <v>RT @marthamoyano: The premier didn't say anything about the Bambas and nothing about Fiori??</v>
      </c>
      <c r="C1435" s="2" t="s">
        <v>3374</v>
      </c>
      <c r="D1435" s="1" t="s">
        <v>3375</v>
      </c>
    </row>
    <row r="1436" spans="1:4" x14ac:dyDescent="0.15">
      <c r="A1436" s="1" t="s">
        <v>3376</v>
      </c>
      <c r="B1436" s="3" t="str">
        <f ca="1">IFERROR(__xludf.DUMMYFUNCTION("GOOGLETRANSLATE(B1436,""es"",""en"")"),"RT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436" s="2" t="s">
        <v>3377</v>
      </c>
      <c r="D1436" s="1" t="s">
        <v>3378</v>
      </c>
    </row>
    <row r="1437" spans="1:4" x14ac:dyDescent="0.15">
      <c r="A1437" s="1" t="s">
        <v>3379</v>
      </c>
      <c r="B1437" s="3" t="str">
        <f ca="1">IFERROR(__xludf.DUMMYFUNCTION("GOOGLETRANSLATE(B1437,""es"",""en"")"),"@iamgaonaxlol 3?? 2 sneakers and you? 😂😂😂😂 They are the same as Caesar's (?")</f>
        <v>@iamgaonaxlol 3?? 2 sneakers and you? 😂😂😂😂 They are the same as Caesar's (?</v>
      </c>
      <c r="C1437" s="2" t="s">
        <v>3380</v>
      </c>
      <c r="D1437" s="1" t="s">
        <v>3381</v>
      </c>
    </row>
    <row r="1438" spans="1:4" x14ac:dyDescent="0.15">
      <c r="A1438" s="1" t="s">
        <v>3382</v>
      </c>
      <c r="B1438" s="3" t="str">
        <f ca="1">IFERROR(__xludf.DUMMYFUNCTION("GOOGLETRANSLATE(B1438,""es"",""en"")"),"RT @PeruPressTv: President of the peasant community of #Fuerabamba, Gregorio Rojas, confessed that the brothers Jorge and Frank Chávez Sotelo are responsible for the planning and execution of the road blockade in Las Bambas, to demand S/ 500 million from "&amp;"the Chinese mining company MMG. https://t.co/6P5wuhWXLV")</f>
        <v>RT @PeruPressTv: President of the peasant community of #Fuerabamba, Gregorio Rojas, confessed that the brothers Jorge and Frank Chávez Sotelo are responsible for the planning and execution of the road blockade in Las Bambas, to demand S/ 500 million from the Chinese mining company MMG. https://t.co/6P5wuhWXLV</v>
      </c>
      <c r="C1438" s="2" t="s">
        <v>3383</v>
      </c>
      <c r="D1438" s="1" t="s">
        <v>3384</v>
      </c>
    </row>
    <row r="1439" spans="1:4" x14ac:dyDescent="0.15">
      <c r="A1439" s="1" t="s">
        <v>3385</v>
      </c>
      <c r="B1439" s="3" t="str">
        <f ca="1">IFERROR(__xludf.DUMMYFUNCTION("GOOGLETRANSLATE(B1439,""es"",""en"")"),"COUP D'ÉTAT, URGENT https://t.co/Cw4zXhooNt")</f>
        <v>COUP D'ÉTAT, URGENT https://t.co/Cw4zXhooNt</v>
      </c>
      <c r="C1439" s="2" t="s">
        <v>3386</v>
      </c>
      <c r="D1439" s="1" t="s">
        <v>3387</v>
      </c>
    </row>
    <row r="1440" spans="1:4" x14ac:dyDescent="0.15">
      <c r="A1440" s="1" t="s">
        <v>3388</v>
      </c>
      <c r="B1440" s="3" t="str">
        <f ca="1">IFERROR(__xludf.DUMMYFUNCTION("GOOGLETRANSLATE(B1440,""es"",""en"")"),"Las Bambas: Second day of strike in Abancay was total https://t.co/AQEXXgINYO")</f>
        <v>Las Bambas: Second day of strike in Abancay was total https://t.co/AQEXXgINYO</v>
      </c>
      <c r="C1440" s="2" t="s">
        <v>3389</v>
      </c>
      <c r="D1440" s="1" t="s">
        <v>3390</v>
      </c>
    </row>
    <row r="1441" spans="1:4" x14ac:dyDescent="0.15">
      <c r="A1441" s="1" t="s">
        <v>3391</v>
      </c>
      <c r="B1441" s="3" t="str">
        <f ca="1">IFERROR(__xludf.DUMMYFUNCTION("GOOGLETRANSLATE(B1441,""es"",""en"")"),"RT @hltm: These are the lawyers who harm the country, extorting mining companies, generating exorbitant economic expectations among community members and riots by blocking roads. Preventive detention well deserved. https://t.co/aMRBRyWaES")</f>
        <v>RT @hltm: These are the lawyers who harm the country, extorting mining companies, generating exorbitant economic expectations among community members and riots by blocking roads. Preventive detention well deserved. https://t.co/aMRBRyWaES</v>
      </c>
      <c r="C1441" s="2" t="s">
        <v>3392</v>
      </c>
      <c r="D1441" s="1" t="s">
        <v>3390</v>
      </c>
    </row>
    <row r="1442" spans="1:4" x14ac:dyDescent="0.15">
      <c r="A1442" s="1" t="s">
        <v>3388</v>
      </c>
      <c r="B1442" s="3" t="str">
        <f ca="1">IFERROR(__xludf.DUMMYFUNCTION("GOOGLETRANSLATE(B1442,""es"",""en"")"),"Las Bambas: Leader of Cotabambas cites that there is a willingness for dialogue https://t.co/748khZFuQo")</f>
        <v>Las Bambas: Leader of Cotabambas cites that there is a willingness for dialogue https://t.co/748khZFuQo</v>
      </c>
      <c r="C1442" s="2" t="s">
        <v>3393</v>
      </c>
      <c r="D1442" s="1" t="s">
        <v>3390</v>
      </c>
    </row>
    <row r="1443" spans="1:4" x14ac:dyDescent="0.15">
      <c r="A1443" s="1" t="s">
        <v>3394</v>
      </c>
      <c r="B1443" s="3" t="str">
        <f ca="1">IFERROR(__xludf.DUMMYFUNCTION("GOOGLETRANSLATE(B1443,""es"",""en"")"),"@clauudesool The same ones😂😂😂😂 from here I send a greeting to my friend zisar for copying his sneakers uwu")</f>
        <v>@clauudesool The same ones😂😂😂😂 from here I send a greeting to my friend zisar for copying his sneakers uwu</v>
      </c>
      <c r="C1443" s="2" t="s">
        <v>3395</v>
      </c>
      <c r="D1443" s="1" t="s">
        <v>3396</v>
      </c>
    </row>
    <row r="1444" spans="1:4" x14ac:dyDescent="0.15">
      <c r="A1444" s="1" t="s">
        <v>3397</v>
      </c>
      <c r="B1444" s="3" t="str">
        <f ca="1">IFERROR(__xludf.DUMMYFUNCTION("GOOGLETRANSLATE(B1444,""es"",""en"")"),"RT @lwtnsong: Liam Payne is sitting here, let's talk... 
How do you manage to be a cute baby and at the same time a man who leaves everyone's legs wearing sneakers??
putz, what a cute homem shit https://t.co/Df8NtYKCeS")</f>
        <v>RT @lwtnsong: Liam Payne is sitting here, let's talk... 
How do you manage to be a cute baby and at the same time a man who leaves everyone's legs wearing sneakers??
putz, what a cute homem shit https://t.co/Df8NtYKCeS</v>
      </c>
      <c r="C1444" s="2" t="s">
        <v>3398</v>
      </c>
      <c r="D1444" s="1" t="s">
        <v>3399</v>
      </c>
    </row>
    <row r="1445" spans="1:4" x14ac:dyDescent="0.15">
      <c r="A1445" s="1" t="s">
        <v>3400</v>
      </c>
      <c r="B1445" s="3" t="str">
        <f ca="1">IFERROR(__xludf.DUMMYFUNCTION("GOOGLETRANSLATE(B1445,""es"",""en"")"),"@manifiesto_peru It is correct to make that observation, it goes against Spanish, I am abundant in these things that are not necessary in the context of the speech, but he did not say anything about the Bambas, usurious AFP, mining taxes, etc. A discourse"&amp;" that strengthens neoliberalism.")</f>
        <v>@manifiesto_peru It is correct to make that observation, it goes against Spanish, I am abundant in these things that are not necessary in the context of the speech, but he did not say anything about the Bambas, usurious AFP, mining taxes, etc. A discourse that strengthens neoliberalism.</v>
      </c>
      <c r="C1445" s="2" t="s">
        <v>3401</v>
      </c>
      <c r="D1445" s="1" t="s">
        <v>3402</v>
      </c>
    </row>
    <row r="1446" spans="1:4" x14ac:dyDescent="0.15">
      <c r="A1446" s="1" t="s">
        <v>3403</v>
      </c>
      <c r="B1446" s="3" t="str">
        <f ca="1">IFERROR(__xludf.DUMMYFUNCTION("GOOGLETRANSLATE(B1446,""es"",""en"")"),"RT @pedrofrancke: Las Bambas: who should assume the s/ 2000 million cost of the highway?, by César Flores https://t.co/mJeiSbVmGP")</f>
        <v>RT @pedrofrancke: Las Bambas: who should assume the s/ 2000 million cost of the highway?, by César Flores https://t.co/mJeiSbVmGP</v>
      </c>
      <c r="C1446" s="2" t="s">
        <v>3404</v>
      </c>
      <c r="D1446" s="1" t="s">
        <v>3405</v>
      </c>
    </row>
    <row r="1447" spans="1:4" x14ac:dyDescent="0.15">
      <c r="A1447" s="1" t="s">
        <v>3406</v>
      </c>
      <c r="B1447" s="3" t="str">
        <f ca="1">IFERROR(__xludf.DUMMYFUNCTION("GOOGLETRANSLATE(B1447,""es"",""en"")"),"@DiegoEzcurraV @Mauricio92Raul LAS BAMBAS NOT FORGOTTEN")</f>
        <v>@DiegoEzcurraV @Mauricio92Raul LAS BAMBAS NOT FORGOTTEN</v>
      </c>
      <c r="C1447" s="2" t="s">
        <v>3407</v>
      </c>
      <c r="D1447" s="1" t="s">
        <v>3408</v>
      </c>
    </row>
    <row r="1448" spans="1:4" x14ac:dyDescent="0.15">
      <c r="A1448" s="1" t="s">
        <v>2359</v>
      </c>
      <c r="B1448" s="3" t="str">
        <f ca="1">IFERROR(__xludf.DUMMYFUNCTION("GOOGLETRANSLATE(B1448,""es"",""en"")"),"@peru21noticias The president is necessary, so that the conflict in Las Bambas is resolved once and for all and does not escalate")</f>
        <v>@peru21noticias The president is necessary, so that the conflict in Las Bambas is resolved once and for all and does not escalate</v>
      </c>
      <c r="C1448" s="2" t="s">
        <v>3409</v>
      </c>
      <c r="D1448" s="1" t="s">
        <v>3410</v>
      </c>
    </row>
    <row r="1449" spans="1:4" x14ac:dyDescent="0.15">
      <c r="A1449" s="1" t="s">
        <v>241</v>
      </c>
      <c r="B1449" s="3" t="str">
        <f ca="1">IFERROR(__xludf.DUMMYFUNCTION("GOOGLETRANSLATE(B1449,""es"",""en"")"),"Las Bambas: Ombudsman's Office recommends actions for dialogue with communities https://t.co/rPTCBxgqaN https://t.co/8Hat6UsaNS")</f>
        <v>Las Bambas: Ombudsman's Office recommends actions for dialogue with communities https://t.co/rPTCBxgqaN https://t.co/8Hat6UsaNS</v>
      </c>
      <c r="C1449" s="2" t="s">
        <v>3411</v>
      </c>
      <c r="D1449" s="1" t="s">
        <v>3410</v>
      </c>
    </row>
    <row r="1450" spans="1:4" x14ac:dyDescent="0.15">
      <c r="A1450" s="1" t="s">
        <v>3412</v>
      </c>
      <c r="B1450" s="3" t="str">
        <f ca="1">IFERROR(__xludf.DUMMYFUNCTION("GOOGLETRANSLATE(B1450,""es"",""en"")"),"@Maffhuwu How BEAUTIFUL the sneakers")</f>
        <v>@Maffhuwu How BEAUTIFUL the sneakers</v>
      </c>
      <c r="C1450" s="2" t="s">
        <v>3413</v>
      </c>
      <c r="D1450" s="1" t="s">
        <v>3414</v>
      </c>
    </row>
    <row r="1451" spans="1:4" x14ac:dyDescent="0.15">
      <c r="A1451" s="1" t="s">
        <v>457</v>
      </c>
      <c r="B1451" s="3" t="str">
        <f ca="1">IFERROR(__xludf.DUMMYFUNCTION("GOOGLETRANSLATE(B1451,""es"",""en"")"),"Las Bambas is a priority for the country, says Premier Salvador Del Solar https://t.co/5dm1yy7u3X https://t.co/vrOPfzgh6l")</f>
        <v>Las Bambas is a priority for the country, says Premier Salvador Del Solar https://t.co/5dm1yy7u3X https://t.co/vrOPfzgh6l</v>
      </c>
      <c r="C1451" s="2" t="s">
        <v>3415</v>
      </c>
      <c r="D1451" s="1" t="s">
        <v>3416</v>
      </c>
    </row>
    <row r="1452" spans="1:4" x14ac:dyDescent="0.15">
      <c r="A1452" s="1" t="s">
        <v>3417</v>
      </c>
      <c r="B1452" s="3" t="str">
        <f ca="1">IFERROR(__xludf.DUMMYFUNCTION("GOOGLETRANSLATE(B1452,""es"",""en"")"),"RT @Agencia_Andina: Las Bambas is a priority for the country, says Premier Salvador Del Solar https://t.co/5dm1yy7u3X https://t.co/vrOPfzgh6l")</f>
        <v>RT @Agencia_Andina: Las Bambas is a priority for the country, says Premier Salvador Del Solar https://t.co/5dm1yy7u3X https://t.co/vrOPfzgh6l</v>
      </c>
      <c r="C1452" s="2" t="s">
        <v>3418</v>
      </c>
      <c r="D1452" s="1" t="s">
        <v>3416</v>
      </c>
    </row>
    <row r="1453" spans="1:4" x14ac:dyDescent="0.15">
      <c r="A1453" s="1" t="s">
        <v>3419</v>
      </c>
      <c r="B1453" s="3" t="str">
        <f ca="1">IFERROR(__xludf.DUMMYFUNCTION("GOOGLETRANSLATE(B1453,""es"",""en"")"),"Las Bambas: who should assume the S/ 2,000 million cost of the highway?, by César Flores https://t.co/TUlaUDqmaf")</f>
        <v>Las Bambas: who should assume the S/ 2,000 million cost of the highway?, by César Flores https://t.co/TUlaUDqmaf</v>
      </c>
      <c r="C1453" s="2" t="s">
        <v>3420</v>
      </c>
      <c r="D1453" s="1" t="s">
        <v>3416</v>
      </c>
    </row>
    <row r="1454" spans="1:4" x14ac:dyDescent="0.15">
      <c r="A1454" s="1" t="s">
        <v>3370</v>
      </c>
      <c r="B1454" s="3" t="str">
        <f ca="1">IFERROR(__xludf.DUMMYFUNCTION("GOOGLETRANSLATE(B1454,""es"",""en"")"),"RT @vcabalg: True message:
In Peru they give you permission to invest, they expect you to make the investment of billions of dollars, you deliver benefits agreed upon by the community, and when you start operating they blackmail and block you.
Don't inves"&amp;"t there, they are cheaters.
https://t.co/StPgMvUyFY")</f>
        <v>RT @vcabalg: True message:
In Peru they give you permission to invest, they expect you to make the investment of billions of dollars, you deliver benefits agreed upon by the community, and when you start operating they blackmail and block you.
Don't invest there, they are cheaters.
https://t.co/StPgMvUyFY</v>
      </c>
      <c r="C1454" s="2" t="s">
        <v>3421</v>
      </c>
      <c r="D1454" s="1" t="s">
        <v>3422</v>
      </c>
    </row>
    <row r="1455" spans="1:4" x14ac:dyDescent="0.15">
      <c r="A1455" s="1" t="s">
        <v>101</v>
      </c>
      <c r="B1455" s="3" t="str">
        <f ca="1">IFERROR(__xludf.DUMMYFUNCTION("GOOGLETRANSLATE(B1455,""es"",""en"")"),"Las Bambas: who should assume the S/ 2,000 million cost of the highway?, by César Flores The legal sanitation and construction of the highway that Las Bambas uses daily would cost the Peruvian State around S/ 2.00... https://t.co/bf0eVue8zJ #PerúNoticias "&amp;"https://t.co/x3ZEK2W8bt")</f>
        <v>Las Bambas: who should assume the S/ 2,000 million cost of the highway?, by César Flores The legal sanitation and construction of the highway that Las Bambas uses daily would cost the Peruvian State around S/ 2.00... https://t.co/bf0eVue8zJ #PerúNoticias https://t.co/x3ZEK2W8bt</v>
      </c>
      <c r="C1455" s="2" t="s">
        <v>3423</v>
      </c>
      <c r="D1455" s="1" t="s">
        <v>3424</v>
      </c>
    </row>
    <row r="1456" spans="1:4" x14ac:dyDescent="0.15">
      <c r="A1456" s="1" t="s">
        <v>2879</v>
      </c>
      <c r="B1456" s="3" t="str">
        <f ca="1">IFERROR(__xludf.DUMMYFUNCTION("GOOGLETRANSLATE(B1456,""es"",""en"")"),"Las Bambas is a priority for the country, says Premier Salvador Del Solar https://t.co/6ACo1VEPza https://t.co/tp7wI0btIj")</f>
        <v>Las Bambas is a priority for the country, says Premier Salvador Del Solar https://t.co/6ACo1VEPza https://t.co/tp7wI0btIj</v>
      </c>
      <c r="C1456" s="2" t="s">
        <v>3425</v>
      </c>
      <c r="D1456" s="1" t="s">
        <v>3426</v>
      </c>
    </row>
    <row r="1457" spans="1:4" x14ac:dyDescent="0.15">
      <c r="A1457" s="1" t="s">
        <v>244</v>
      </c>
      <c r="B1457" s="3" t="str">
        <f ca="1">IFERROR(__xludf.DUMMYFUNCTION("GOOGLETRANSLATE(B1457,""es"",""en"")"),"RT @elcomercio_peru: Las Bambas stopped exporting 15 thousand tons of copper due to social conflict https://t.co/DWVWbJMxbr")</f>
        <v>RT @elcomercio_peru: Las Bambas stopped exporting 15 thousand tons of copper due to social conflict https://t.co/DWVWbJMxbr</v>
      </c>
      <c r="C1457" s="2" t="s">
        <v>3427</v>
      </c>
      <c r="D1457" s="1" t="s">
        <v>3428</v>
      </c>
    </row>
    <row r="1458" spans="1:4" x14ac:dyDescent="0.15">
      <c r="A1458" s="1" t="s">
        <v>3429</v>
      </c>
      <c r="B1458" s="3" t="str">
        <f ca="1">IFERROR(__xludf.DUMMYFUNCTION("GOOGLETRANSLATE(B1458,""es"",""en"")"),"You will see these lined with the sneakers' legs💃")</f>
        <v>You will see these lined with the sneakers' legs💃</v>
      </c>
      <c r="C1458" s="2" t="s">
        <v>3430</v>
      </c>
      <c r="D1458" s="1" t="s">
        <v>3431</v>
      </c>
    </row>
    <row r="1459" spans="1:4" x14ac:dyDescent="0.15">
      <c r="A1459" s="1" t="s">
        <v>576</v>
      </c>
      <c r="B1459" s="3" t="str">
        <f ca="1">IFERROR(__xludf.DUMMYFUNCTION("GOOGLETRANSLATE(B1459,""es"",""en"")"),"RT @elcomercio_peru: Las Bambas stopped exporting 15 thousand tons of copper due to social conflict https://t.co/DWVWbJMxbr")</f>
        <v>RT @elcomercio_peru: Las Bambas stopped exporting 15 thousand tons of copper due to social conflict https://t.co/DWVWbJMxbr</v>
      </c>
      <c r="C1459" s="2" t="s">
        <v>3432</v>
      </c>
      <c r="D1459" s="1" t="s">
        <v>3433</v>
      </c>
    </row>
    <row r="1460" spans="1:4" x14ac:dyDescent="0.15">
      <c r="A1460" s="1" t="s">
        <v>3434</v>
      </c>
      <c r="B1460" s="3" t="str">
        <f ca="1">IFERROR(__xludf.DUMMYFUNCTION("GOOGLETRANSLATE(B1460,""es"",""en"")"),"RT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460" s="2" t="s">
        <v>3435</v>
      </c>
      <c r="D1460" s="1" t="s">
        <v>3436</v>
      </c>
    </row>
    <row r="1461" spans="1:4" x14ac:dyDescent="0.15">
      <c r="A1461" s="1" t="s">
        <v>3437</v>
      </c>
      <c r="B1461" s="3" t="str">
        <f ca="1">IFERROR(__xludf.DUMMYFUNCTION("GOOGLETRANSLATE(B1461,""es"",""en"")"),"jae: meia noite no mi quarto vou te deixar com as pernas bambas
tae: ok 
#JAEHYUN #TAEYONG #NCT https://t.co/Hq71o1O9Tc")</f>
        <v>jae: meia noite no mi quarto vou te deixar com as pernas bambas
tae: ok 
#JAEHYUN #TAEYONG #NCT https://t.co/Hq71o1O9Tc</v>
      </c>
      <c r="C1461" s="2" t="s">
        <v>3438</v>
      </c>
      <c r="D1461" s="1" t="s">
        <v>3439</v>
      </c>
    </row>
    <row r="1462" spans="1:4" x14ac:dyDescent="0.15">
      <c r="A1462" s="1" t="s">
        <v>3440</v>
      </c>
      <c r="B1462" s="3" t="str">
        <f ca="1">IFERROR(__xludf.DUMMYFUNCTION("GOOGLETRANSLATE(B1462,""es"",""en"")"),"Las BAMBAS, would announce in minutes, the closure of operations, with which the Chilean government increases its position in copper exports, with all the irregularities of the Chinese from MMG, we must support the... https://t. co/cO2mHN8PyI")</f>
        <v>Las BAMBAS, would announce in minutes, the closure of operations, with which the Chilean government increases its position in copper exports, with all the irregularities of the Chinese from MMG, we must support the... https://t. co/cO2mHN8PyI</v>
      </c>
      <c r="C1462" s="2" t="s">
        <v>3441</v>
      </c>
      <c r="D1462" s="1" t="s">
        <v>3442</v>
      </c>
    </row>
    <row r="1463" spans="1:4" x14ac:dyDescent="0.15">
      <c r="A1463" s="1" t="s">
        <v>3443</v>
      </c>
      <c r="B1463" s="3" t="str">
        <f ca="1">IFERROR(__xludf.DUMMYFUNCTION("GOOGLETRANSLATE(B1463,""es"",""en"")"),"Felix, flirt, have you seen his sneakers? #FirstDates870")</f>
        <v>Felix, flirt, have you seen his sneakers? #FirstDates870</v>
      </c>
      <c r="C1463" s="2" t="s">
        <v>3444</v>
      </c>
      <c r="D1463" s="1" t="s">
        <v>3445</v>
      </c>
    </row>
    <row r="1464" spans="1:4" x14ac:dyDescent="0.15">
      <c r="A1464" s="1" t="s">
        <v>3446</v>
      </c>
      <c r="B1464" s="3" t="str">
        <f ca="1">IFERROR(__xludf.DUMMYFUNCTION("GOOGLETRANSLATE(B1464,""es"",""en"")"),"RT @abelgilvonio: Who should assume the economic cost of the highway in Las Bambas? https://t.co/yuH4iOAB2j")</f>
        <v>RT @abelgilvonio: Who should assume the economic cost of the highway in Las Bambas? https://t.co/yuH4iOAB2j</v>
      </c>
      <c r="C1464" s="2" t="s">
        <v>3447</v>
      </c>
      <c r="D1464" s="1" t="s">
        <v>3448</v>
      </c>
    </row>
    <row r="1465" spans="1:4" x14ac:dyDescent="0.15">
      <c r="A1465" s="1" t="s">
        <v>3449</v>
      </c>
      <c r="B1465" s="3" t="str">
        <f ca="1">IFERROR(__xludf.DUMMYFUNCTION("GOOGLETRANSLATE(B1465,""es"",""en"")"),"@E_FLEISCHMAN @MilagrosLeivaG Congratulations to Milagros Leiva, I'm just telling you that I see her every day, do impartial journalism, interviewing both parties, as in the case of Bambas
successes always")</f>
        <v>@E_FLEISCHMAN @MilagrosLeivaG Congratulations to Milagros Leiva, I'm just telling you that I see her every day, do impartial journalism, interviewing both parties, as in the case of Bambas
successes always</v>
      </c>
      <c r="C1465" s="2" t="s">
        <v>3450</v>
      </c>
      <c r="D1465" s="1" t="s">
        <v>3448</v>
      </c>
    </row>
    <row r="1466" spans="1:4" x14ac:dyDescent="0.15">
      <c r="A1466" s="1" t="s">
        <v>3451</v>
      </c>
      <c r="B1466" s="3" t="str">
        <f ca="1">IFERROR(__xludf.DUMMYFUNCTION("GOOGLETRANSLATE(B1466,""es"",""en"")"),"so that I entered the house of my mother, it was all dark, so I had an open janelinha, and I saw a red-haired girl running, my legs were wearing sneakers, and I wanted to scream and scream more than I did??? same thing, I PRETEND THAT I NAO SAW NOTHING AN"&amp;"D PEGUEI OQ TINHA PRA PAGAR")</f>
        <v>so that I entered the house of my mother, it was all dark, so I had an open janelinha, and I saw a red-haired girl running, my legs were wearing sneakers, and I wanted to scream and scream more than I did??? same thing, I PRETEND THAT I NAO SAW NOTHING AND PEGUEI OQ TINHA PRA PAGAR</v>
      </c>
      <c r="C1466" s="2" t="s">
        <v>3452</v>
      </c>
      <c r="D1466" s="1" t="s">
        <v>3453</v>
      </c>
    </row>
    <row r="1467" spans="1:4" x14ac:dyDescent="0.15">
      <c r="A1467" s="1" t="s">
        <v>508</v>
      </c>
      <c r="B1467" s="3" t="str">
        <f ca="1">IFERROR(__xludf.DUMMYFUNCTION("GOOGLETRANSLATE(B1467,""es"",""en"")"),"RT @abelgilvonio: Who should assume the economic cost of the highway in Las Bambas? https://t.co/yuH4iOAB2j")</f>
        <v>RT @abelgilvonio: Who should assume the economic cost of the highway in Las Bambas? https://t.co/yuH4iOAB2j</v>
      </c>
      <c r="C1467" s="2" t="s">
        <v>3454</v>
      </c>
      <c r="D1467" s="1" t="s">
        <v>3453</v>
      </c>
    </row>
    <row r="1468" spans="1:4" x14ac:dyDescent="0.15">
      <c r="A1468" s="1" t="s">
        <v>3455</v>
      </c>
      <c r="B1468" s="3" t="str">
        <f ca="1">IFERROR(__xludf.DUMMYFUNCTION("GOOGLETRANSLATE(B1468,""es"",""en"")"),"The inaction of the Government in the social conflicts that our country is currently facing (Las Bambas and Tía María) would be the cause of the decline in consumer confidence during the month of March.
Source: Diario Gestión
 #SocialMarketing
@abelsanti"&amp;"banez")</f>
        <v>The inaction of the Government in the social conflicts that our country is currently facing (Las Bambas and Tía María) would be the cause of the decline in consumer confidence during the month of March.
Source: Diario Gestión
 #SocialMarketing
@abelsantibanez</v>
      </c>
      <c r="C1468" s="2" t="s">
        <v>3456</v>
      </c>
      <c r="D1468" s="1" t="s">
        <v>3453</v>
      </c>
    </row>
    <row r="1469" spans="1:4" x14ac:dyDescent="0.15">
      <c r="A1469" s="1" t="s">
        <v>3457</v>
      </c>
      <c r="B1469" s="3" t="str">
        <f ca="1">IFERROR(__xludf.DUMMYFUNCTION("GOOGLETRANSLATE(B1469,""es"",""en"")"),"RT @Gestionpe: Ombudsman calls for putting solvent professionals at the disposal of the Fuerabamba community ► https://t.co/vxTwwoGk6W https://t.co/pPQiB5EOUV")</f>
        <v>RT @Gestionpe: Ombudsman calls for putting solvent professionals at the disposal of the Fuerabamba community ► https://t.co/vxTwwoGk6W https://t.co/pPQiB5EOUV</v>
      </c>
      <c r="C1469" s="2" t="s">
        <v>3458</v>
      </c>
      <c r="D1469" s="1" t="s">
        <v>3459</v>
      </c>
    </row>
    <row r="1470" spans="1:4" x14ac:dyDescent="0.15">
      <c r="A1470" s="1" t="s">
        <v>795</v>
      </c>
      <c r="B1470" s="3" t="str">
        <f ca="1">IFERROR(__xludf.DUMMYFUNCTION("GOOGLETRANSLATE(B1470,""es"",""en"")"),"RT @marthamoyano: The premier didn't say anything about the Bambas and nothing about Fiori??")</f>
        <v>RT @marthamoyano: The premier didn't say anything about the Bambas and nothing about Fiori??</v>
      </c>
      <c r="C1470" s="2" t="s">
        <v>3460</v>
      </c>
      <c r="D1470" s="1" t="s">
        <v>3461</v>
      </c>
    </row>
    <row r="1471" spans="1:4" x14ac:dyDescent="0.15">
      <c r="A1471" s="1" t="s">
        <v>508</v>
      </c>
      <c r="B1471" s="3" t="str">
        <f ca="1">IFERROR(__xludf.DUMMYFUNCTION("GOOGLETRANSLATE(B1471,""es"",""en"")"),"RT @WaykaPeru: Las Bambas: who should assume the S/ 2,000 million cost of the highway? ►https://t.co/RP0AaCuQpv
A column by @cfloresunzaga https://t.co/QdqsAXYNXx")</f>
        <v>RT @WaykaPeru: Las Bambas: who should assume the S/ 2,000 million cost of the highway? ►https://t.co/RP0AaCuQpv
A column by @cfloresunzaga https://t.co/QdqsAXYNXx</v>
      </c>
      <c r="C1471" s="2" t="s">
        <v>3462</v>
      </c>
      <c r="D1471" s="1" t="s">
        <v>3463</v>
      </c>
    </row>
    <row r="1472" spans="1:4" x14ac:dyDescent="0.15">
      <c r="A1472" s="1" t="s">
        <v>3464</v>
      </c>
      <c r="B1472" s="3" t="str">
        <f ca="1">IFERROR(__xludf.DUMMYFUNCTION("GOOGLETRANSLATE(B1472,""es"",""en"")"),"THESE ERRORS WERE DUE TO NEGLIGENCE, IGNORANCE OR WITH ALL INTENTION. WE WILL HAVE THE SAME PROBLEM IN CHINCHERO WITH THE MINISTER THEY WANTED TO CLONE AND WHAT IS THE NUT, DID HE FAVOR THEM? WHO IS GOING TO PAY? PPKAUSAS' ERRORS ARE NOT CASUAL, LET THEM "&amp;"PAY
https://t.co/OStDCcn1wh")</f>
        <v>THESE ERRORS WERE DUE TO NEGLIGENCE, IGNORANCE OR WITH ALL INTENTION. WE WILL HAVE THE SAME PROBLEM IN CHINCHERO WITH THE MINISTER THEY WANTED TO CLONE AND WHAT IS THE NUT, DID HE FAVOR THEM? WHO IS GOING TO PAY? PPKAUSAS' ERRORS ARE NOT CASUAL, LET THEM PAY
https://t.co/OStDCcn1wh</v>
      </c>
      <c r="C1472" s="2" t="s">
        <v>3465</v>
      </c>
      <c r="D1472" s="1" t="s">
        <v>3466</v>
      </c>
    </row>
    <row r="1473" spans="1:4" x14ac:dyDescent="0.15">
      <c r="A1473" s="1" t="s">
        <v>661</v>
      </c>
      <c r="B1473" s="3" t="str">
        <f ca="1">IFERROR(__xludf.DUMMYFUNCTION("GOOGLETRANSLATE(B1473,""es"",""en"")"),".@pcmperu @saldelsol “We are confident that there is no opposition to the project around the #LasBambas project”
https://t.co/Vq6o5HGhZa")</f>
        <v>.@pcmperu @saldelsol “We are confident that there is no opposition to the project around the #LasBambas project”
https://t.co/Vq6o5HGhZa</v>
      </c>
      <c r="C1473" s="2" t="s">
        <v>3467</v>
      </c>
      <c r="D1473" s="1" t="s">
        <v>3468</v>
      </c>
    </row>
    <row r="1474" spans="1:4" x14ac:dyDescent="0.15">
      <c r="A1474" s="1" t="s">
        <v>465</v>
      </c>
      <c r="B1474" s="3" t="str">
        <f ca="1">IFERROR(__xludf.DUMMYFUNCTION("GOOGLETRANSLATE(B1474,""es"",""en"")"),"Las Bambas stopped exporting 15 thousand tons of copper due to social conflict ►https://t.co/99rUjcjl96")</f>
        <v>Las Bambas stopped exporting 15 thousand tons of copper due to social conflict ►https://t.co/99rUjcjl96</v>
      </c>
      <c r="C1474" s="2" t="s">
        <v>3469</v>
      </c>
      <c r="D1474" s="1" t="s">
        <v>3470</v>
      </c>
    </row>
    <row r="1475" spans="1:4" x14ac:dyDescent="0.15">
      <c r="A1475" s="1" t="s">
        <v>3471</v>
      </c>
      <c r="B1475" s="3" t="str">
        <f ca="1">IFERROR(__xludf.DUMMYFUNCTION("GOOGLETRANSLATE(B1475,""es"",""en"")"),"#Conflict #LasBambas What happens in Las Bambas, actress Monica Sánchez explains to us in this video https://t.co/GLbOa9CZBd")</f>
        <v>#Conflict #LasBambas What happens in Las Bambas, actress Monica Sánchez explains to us in this video https://t.co/GLbOa9CZBd</v>
      </c>
      <c r="C1475" s="2" t="s">
        <v>3472</v>
      </c>
      <c r="D1475" s="1" t="s">
        <v>3473</v>
      </c>
    </row>
    <row r="1476" spans="1:4" x14ac:dyDescent="0.15">
      <c r="A1476" s="1" t="s">
        <v>3464</v>
      </c>
      <c r="B1476" s="3" t="str">
        <f ca="1">IFERROR(__xludf.DUMMYFUNCTION("GOOGLETRANSLATE(B1476,""es"",""en"")"),"@VCTORANDRESGB THESE ERRORS ARE NOT CASUAL, THEY ARE A PRODUCT OF THE ""BRILLIANT MINDS"" TO CRIME AS THE PPKausas HAVE PROVEN TO BE, IT WILL BE THE SAME WITH CHINCHERO, THEY HAVE AN OBLIGATION TO INVESTIGATE THIS 
They criticize Martín Vizcarra for Enagá"&amp;"s and Las Bambas https://t.co/O2e5t8qBLf")</f>
        <v>@VCTORANDRESGB THESE ERRORS ARE NOT CASUAL, THEY ARE A PRODUCT OF THE "BRILLIANT MINDS" TO CRIME AS THE PPKausas HAVE PROVEN TO BE, IT WILL BE THE SAME WITH CHINCHERO, THEY HAVE AN OBLIGATION TO INVESTIGATE THIS 
They criticize Martín Vizcarra for Enagás and Las Bambas https://t.co/O2e5t8qBLf</v>
      </c>
      <c r="C1476" s="2" t="s">
        <v>3474</v>
      </c>
      <c r="D1476" s="1" t="s">
        <v>3473</v>
      </c>
    </row>
    <row r="1477" spans="1:4" x14ac:dyDescent="0.15">
      <c r="A1477" s="1" t="s">
        <v>3475</v>
      </c>
      <c r="B1477" s="3" t="str">
        <f ca="1">IFERROR(__xludf.DUMMYFUNCTION("GOOGLETRANSLATE(B1477,""es"",""en"")"),"RT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477" s="2" t="s">
        <v>3476</v>
      </c>
      <c r="D1477" s="1" t="s">
        <v>3473</v>
      </c>
    </row>
    <row r="1478" spans="1:4" x14ac:dyDescent="0.15">
      <c r="A1478" s="1" t="s">
        <v>3477</v>
      </c>
      <c r="B1478" s="3" t="str">
        <f ca="1">IFERROR(__xludf.DUMMYFUNCTION("GOOGLETRANSLATE(B1478,""es"",""en"")"),"TEM SHEET MUSICAL PROGRAM FRANCIS ART SHOW ""É NESSE CLIMA"".
UNPUBLISHED!
TV FAS at 10pm.
ASSIST ALSO HAIR WORLD LINK https://t.co/RFPMnRaHNd
ATRAÇÕES: VALÉRIA REIS(GOSPEL), GRUPO TRINCA DE BAMBAS, SELMA RIOS,... https://t.co/iXZFtGqv4k")</f>
        <v>TEM SHEET MUSICAL PROGRAM FRANCIS ART SHOW "É NESSE CLIMA".
UNPUBLISHED!
TV FAS at 10pm.
ASSIST ALSO HAIR WORLD LINK https://t.co/RFPMnRaHNd
ATRAÇÕES: VALÉRIA REIS(GOSPEL), GRUPO TRINCA DE BAMBAS, SELMA RIOS,... https://t.co/iXZFtGqv4k</v>
      </c>
      <c r="C1478" s="2" t="s">
        <v>3478</v>
      </c>
      <c r="D1478" s="1" t="s">
        <v>3473</v>
      </c>
    </row>
    <row r="1479" spans="1:4" x14ac:dyDescent="0.15">
      <c r="A1479" s="1" t="s">
        <v>3479</v>
      </c>
      <c r="B1479" s="3" t="str">
        <f ca="1">IFERROR(__xludf.DUMMYFUNCTION("GOOGLETRANSLATE(B1479,""es"",""en"")"),"RT @amanda20amanda0: I love you, it's clear to see, when I see my bright eyes, my throat is tight, my legs are tight, bad you know the power that I have over me ♥️")</f>
        <v>RT @amanda20amanda0: I love you, it's clear to see, when I see my bright eyes, my throat is tight, my legs are tight, bad you know the power that I have over me ♥️</v>
      </c>
      <c r="C1479" s="2" t="s">
        <v>3480</v>
      </c>
      <c r="D1479" s="1" t="s">
        <v>3481</v>
      </c>
    </row>
    <row r="1480" spans="1:4" x14ac:dyDescent="0.15">
      <c r="A1480" s="1" t="s">
        <v>3482</v>
      </c>
      <c r="B1480" s="3" t="str">
        <f ca="1">IFERROR(__xludf.DUMMYFUNCTION("GOOGLETRANSLATE(B1480,""es"",""en"")"),"RT @jdealthaus: Las Bambas: A definitive solution is urgently needed | Lampadia https://t.co/MCGyINP2CM")</f>
        <v>RT @jdealthaus: Las Bambas: A definitive solution is urgently needed | Lampadia https://t.co/MCGyINP2CM</v>
      </c>
      <c r="C1480" s="2" t="s">
        <v>3483</v>
      </c>
      <c r="D1480" s="1" t="s">
        <v>3484</v>
      </c>
    </row>
    <row r="1481" spans="1:4" x14ac:dyDescent="0.15">
      <c r="A1481" s="1" t="s">
        <v>3485</v>
      </c>
      <c r="B1481" s="3" t="str">
        <f ca="1">IFERROR(__xludf.DUMMYFUNCTION("GOOGLETRANSLATE(B1481,""es"",""en"")"),"@congresoperu @exitosape @diariocorreo Mauricio Mulder, does not have the authority to talk about the Bambas, the conflicts and solutions. The reason is very simple: in the AG government, the Baguaso was a regrettable tragedy")</f>
        <v>@congresoperu @exitosape @diariocorreo Mauricio Mulder, does not have the authority to talk about the Bambas, the conflicts and solutions. The reason is very simple: in the AG government, the Baguaso was a regrettable tragedy</v>
      </c>
      <c r="C1481" s="2" t="s">
        <v>3486</v>
      </c>
      <c r="D1481" s="1" t="s">
        <v>3487</v>
      </c>
    </row>
    <row r="1482" spans="1:4" x14ac:dyDescent="0.15">
      <c r="A1482" s="1" t="s">
        <v>3488</v>
      </c>
      <c r="B1482" s="3" t="str">
        <f ca="1">IFERROR(__xludf.DUMMYFUNCTION("GOOGLETRANSLATE(B1482,""es"",""en"")"),"Las Bambas Case: @Defensoria_Peru recommends dialogue with the Fuerabamba community. Likewise, they assured that they will meet tomorrow under the facilitation of the Episcopal Conference ►https://t.co/g24LedVNbJ #TVPerúInforma https://t.co/FsqjNvW4c6")</f>
        <v>Las Bambas Case: @Defensoria_Peru recommends dialogue with the Fuerabamba community. Likewise, they assured that they will meet tomorrow under the facilitation of the Episcopal Conference ►https://t.co/g24LedVNbJ #TVPerúInforma https://t.co/FsqjNvW4c6</v>
      </c>
      <c r="C1482" s="2" t="s">
        <v>3489</v>
      </c>
      <c r="D1482" s="1" t="s">
        <v>3490</v>
      </c>
    </row>
    <row r="1483" spans="1:4" x14ac:dyDescent="0.15">
      <c r="A1483" s="1" t="s">
        <v>669</v>
      </c>
      <c r="B1483" s="3" t="str">
        <f ca="1">IFERROR(__xludf.DUMMYFUNCTION("GOOGLETRANSLATE(B1483,""es"",""en"")"),"The event will be facilitated by the Peruvian Episcopal Conference https://t.co/rL2Z1BQY2x")</f>
        <v>The event will be facilitated by the Peruvian Episcopal Conference https://t.co/rL2Z1BQY2x</v>
      </c>
      <c r="C1483" s="2" t="s">
        <v>3491</v>
      </c>
      <c r="D1483" s="1" t="s">
        <v>3490</v>
      </c>
    </row>
    <row r="1484" spans="1:4" x14ac:dyDescent="0.15">
      <c r="A1484" s="1" t="s">
        <v>3492</v>
      </c>
      <c r="B1484" s="3" t="str">
        <f ca="1">IFERROR(__xludf.DUMMYFUNCTION("GOOGLETRANSLATE(B1484,""es"",""en"")"),"RT @Merlina_Peru: -Zero reconstruction
-Increased Anemia
-Increase femicides
-million-dollar consultancies
-Gender Ideology
-Abortions
-Las Bambas Conflict
-Toledo escaped
-Villarán free
-PPK acquitted
-One million a day in advertising
But for the inept w"&amp;"e are all to blame
#VizcarraEnPicada")</f>
        <v>RT @Merlina_Peru: -Zero reconstruction
-Increased Anemia
-Increase femicides
-million-dollar consultancies
-Gender Ideology
-Abortions
-Las Bambas Conflict
-Toledo escaped
-Villarán free
-PPK acquitted
-One million a day in advertising
But for the inept we are all to blame
#VizcarraEnPicada</v>
      </c>
      <c r="C1484" s="2" t="s">
        <v>3493</v>
      </c>
      <c r="D1484" s="1" t="s">
        <v>3494</v>
      </c>
    </row>
    <row r="1485" spans="1:4" x14ac:dyDescent="0.15">
      <c r="A1485" s="1" t="s">
        <v>300</v>
      </c>
      <c r="B1485" s="3" t="str">
        <f ca="1">IFERROR(__xludf.DUMMYFUNCTION("GOOGLETRANSLATE(B1485,""es"",""en"")"),"Fuerabamba to Vizcarra: We ask for ""your presence to provide an immediate solution for Las Bambas"" ►https://t.co/svEhlrNhQM https://t.co/Da3j2DBa6L")</f>
        <v>Fuerabamba to Vizcarra: We ask for "your presence to provide an immediate solution for Las Bambas" ►https://t.co/svEhlrNhQM https://t.co/Da3j2DBa6L</v>
      </c>
      <c r="C1485" s="2" t="s">
        <v>3495</v>
      </c>
      <c r="D1485" s="1" t="s">
        <v>3496</v>
      </c>
    </row>
    <row r="1486" spans="1:4" x14ac:dyDescent="0.15">
      <c r="A1486" s="1" t="s">
        <v>3497</v>
      </c>
      <c r="B1486" s="3" t="str">
        <f ca="1">IFERROR(__xludf.DUMMYFUNCTION("GOOGLETRANSLATE(B1486,""es"",""en"")"),"RT @Politica_LR: Fuerabamba to Vizcarra: We ask for ""your presence to provide an immediate solution for Las Bambas"" ►https://t.co/svEhlrNhQM https://t.co/Da3j2DBa6L")</f>
        <v>RT @Politica_LR: Fuerabamba to Vizcarra: We ask for "your presence to provide an immediate solution for Las Bambas" ►https://t.co/svEhlrNhQM https://t.co/Da3j2DBa6L</v>
      </c>
      <c r="C1486" s="2" t="s">
        <v>3498</v>
      </c>
      <c r="D1486" s="1" t="s">
        <v>3499</v>
      </c>
    </row>
    <row r="1487" spans="1:4" x14ac:dyDescent="0.15">
      <c r="A1487" s="1" t="s">
        <v>3500</v>
      </c>
      <c r="B1487" s="3" t="str">
        <f ca="1">IFERROR(__xludf.DUMMYFUNCTION("GOOGLETRANSLATE(B1487,""es"",""en"")"),"Literally with sneakers on your legs after the treino de leaf, pqp")</f>
        <v>Literally with sneakers on your legs after the treino de leaf, pqp</v>
      </c>
      <c r="C1487" s="2" t="s">
        <v>3501</v>
      </c>
      <c r="D1487" s="1" t="s">
        <v>3499</v>
      </c>
    </row>
    <row r="1488" spans="1:4" x14ac:dyDescent="0.15">
      <c r="A1488" s="1" t="s">
        <v>3502</v>
      </c>
      <c r="B1488" s="3" t="str">
        <f ca="1">IFERROR(__xludf.DUMMYFUNCTION("GOOGLETRANSLATE(B1488,""es"",""en"")"),"RT @jfarchy: ICYMI: important news for the copper market, as the Las Bambas mine begins suspending its operations (previously shipments were blocked, but mining was ongoing). 
It's one of the world's biggest #copper mines
Full story @TheTerminal from @L"&amp;"auraMillanL https://t.co/C2m0PdodDu")</f>
        <v>RT @jfarchy: ICYMI: important news for the copper market, as the Las Bambas mine begins suspending its operations (previously shipments were blocked, but mining was ongoing). 
It's one of the world's biggest #copper mines
Full story @TheTerminal from @LauraMillanL https://t.co/C2m0PdodDu</v>
      </c>
      <c r="C1488" s="2" t="s">
        <v>3503</v>
      </c>
      <c r="D1488" s="1" t="s">
        <v>3504</v>
      </c>
    </row>
    <row r="1489" spans="1:4" x14ac:dyDescent="0.15">
      <c r="A1489" s="1" t="s">
        <v>802</v>
      </c>
      <c r="B1489" s="3" t="str">
        <f ca="1">IFERROR(__xludf.DUMMYFUNCTION("GOOGLETRANSLATE(B1489,""es"",""en"")"),"RT @jdealthaus: Las Bambas: A definitive solution is urgently needed | Lampadia https://t.co/MCGyINP2CM")</f>
        <v>RT @jdealthaus: Las Bambas: A definitive solution is urgently needed | Lampadia https://t.co/MCGyINP2CM</v>
      </c>
      <c r="C1489" s="2" t="s">
        <v>3505</v>
      </c>
      <c r="D1489" s="1" t="s">
        <v>3506</v>
      </c>
    </row>
    <row r="1490" spans="1:4" x14ac:dyDescent="0.15">
      <c r="A1490" s="1" t="s">
        <v>3507</v>
      </c>
      <c r="B1490" s="3" t="str">
        <f ca="1">IFERROR(__xludf.DUMMYFUNCTION("GOOGLETRANSLATE(B1490,""es"",""en"")"),"RT @JulianaOxenford: Today on #90Central, after sanctioning congressman @yonhy_lescano for 120 days, the lawyer of the journalist who reported him for sexual harassment speaks. Also everything about Las Bambas and the technical report of what happened wit"&amp;"h the burned bus. See you 6.55pm @Latina_pe")</f>
        <v>RT @JulianaOxenford: Today on #90Central, after sanctioning congressman @yonhy_lescano for 120 days, the lawyer of the journalist who reported him for sexual harassment speaks. Also everything about Las Bambas and the technical report of what happened with the burned bus. See you 6.55pm @Latina_pe</v>
      </c>
      <c r="C1490" s="2" t="s">
        <v>3508</v>
      </c>
      <c r="D1490" s="1" t="s">
        <v>3509</v>
      </c>
    </row>
    <row r="1491" spans="1:4" x14ac:dyDescent="0.15">
      <c r="A1491" s="1" t="s">
        <v>3510</v>
      </c>
      <c r="B1491" s="3" t="str">
        <f ca="1">IFERROR(__xludf.DUMMYFUNCTION("GOOGLETRANSLATE(B1491,""es"",""en"")"),"The Las Bambas mining conflict summarized in 5 minutes
#The Bambas
#Fuerabamba
https://t.co/1vtnnJqx9N")</f>
        <v>The Las Bambas mining conflict summarized in 5 minutes
#The Bambas
#Fuerabamba
https://t.co/1vtnnJqx9N</v>
      </c>
      <c r="C1491" s="2" t="s">
        <v>3511</v>
      </c>
      <c r="D1491" s="1" t="s">
        <v>3509</v>
      </c>
    </row>
    <row r="1492" spans="1:4" x14ac:dyDescent="0.15">
      <c r="A1492" s="1" t="s">
        <v>3512</v>
      </c>
      <c r="B1492" s="3" t="str">
        <f ca="1">IFERROR(__xludf.DUMMYFUNCTION("GOOGLETRANSLATE(B1492,""es"",""en"")"),"RT @rsousaperu: State advertising increased by 91%, management inability in Las Bambas, rain of consultancies, anemia that attacks 43.5% of children...Are we preventing the southern cold?...etc. Mr. Vizcarra, when does recess end? #VizcarraEnPicada")</f>
        <v>RT @rsousaperu: State advertising increased by 91%, management inability in Las Bambas, rain of consultancies, anemia that attacks 43.5% of children...Are we preventing the southern cold?...etc. Mr. Vizcarra, when does recess end? #VizcarraEnPicada</v>
      </c>
      <c r="C1492" s="2" t="s">
        <v>3513</v>
      </c>
      <c r="D1492" s="1" t="s">
        <v>3514</v>
      </c>
    </row>
    <row r="1493" spans="1:4" x14ac:dyDescent="0.15">
      <c r="A1493" s="1" t="s">
        <v>3515</v>
      </c>
      <c r="B1493" s="3" t="str">
        <f ca="1">IFERROR(__xludf.DUMMYFUNCTION("GOOGLETRANSLATE(B1493,""es"",""en"")"),"RT @Politica_LR: Fuerabamba to Vizcarra: We ask for ""your presence to provide an immediate solution for Las Bambas"" ►https://t.co/svEhlrNhQM https://t.co/Da3j2DBa6L")</f>
        <v>RT @Politica_LR: Fuerabamba to Vizcarra: We ask for "your presence to provide an immediate solution for Las Bambas" ►https://t.co/svEhlrNhQM https://t.co/Da3j2DBa6L</v>
      </c>
      <c r="C1493" s="2" t="s">
        <v>3516</v>
      </c>
      <c r="D1493" s="1" t="s">
        <v>3517</v>
      </c>
    </row>
    <row r="1494" spans="1:4" x14ac:dyDescent="0.15">
      <c r="A1494" s="1" t="s">
        <v>3518</v>
      </c>
      <c r="B1494" s="3" t="str">
        <f ca="1">IFERROR(__xludf.DUMMYFUNCTION("GOOGLETRANSLATE(B1494,""es"",""en"")"),"IT'S IMPRESSIVE HOW SLIM AND HARD-FACE PANTALEON IS.
HE DOESN'T TALK ABOUT THE SNEAKERS NOR IS HE IMMUTED BY THE SPANISH MAGAZINE'S COMPLAINT ABOUT VISCARRA.
ALL A TRUHAN TOOOODO CAVIAR.....")</f>
        <v>IT'S IMPRESSIVE HOW SLIM AND HARD-FACE PANTALEON IS.
HE DOESN'T TALK ABOUT THE SNEAKERS NOR IS HE IMMUTED BY THE SPANISH MAGAZINE'S COMPLAINT ABOUT VISCARRA.
ALL A TRUHAN TOOOODO CAVIAR.....</v>
      </c>
      <c r="C1494" s="2" t="s">
        <v>3519</v>
      </c>
      <c r="D1494" s="1" t="s">
        <v>3520</v>
      </c>
    </row>
    <row r="1495" spans="1:4" x14ac:dyDescent="0.15">
      <c r="A1495" s="1" t="s">
        <v>2293</v>
      </c>
      <c r="B1495" s="3" t="str">
        <f ca="1">IFERROR(__xludf.DUMMYFUNCTION("GOOGLETRANSLATE(B1495,""es"",""en"")"),"BCR: Las Bambas stopped exporting 15 thousand tons of copper due to social conflict https://t.co/N4CnNPjNx7 via @proactivoperu")</f>
        <v>BCR: Las Bambas stopped exporting 15 thousand tons of copper due to social conflict https://t.co/N4CnNPjNx7 via @proactivoperu</v>
      </c>
      <c r="C1495" s="2" t="s">
        <v>3521</v>
      </c>
      <c r="D1495" s="1" t="s">
        <v>3520</v>
      </c>
    </row>
    <row r="1496" spans="1:4" x14ac:dyDescent="0.15">
      <c r="A1496" s="1" t="s">
        <v>3522</v>
      </c>
      <c r="B1496" s="3" t="str">
        <f ca="1">IFERROR(__xludf.DUMMYFUNCTION("GOOGLETRANSLATE(B1496,""es"",""en"")"),"@kccxmends I tied the legs with ficarem sneakers")</f>
        <v>@kccxmends I tied the legs with ficarem sneakers</v>
      </c>
      <c r="C1496" s="2" t="s">
        <v>3523</v>
      </c>
      <c r="D1496" s="1" t="s">
        <v>3524</v>
      </c>
    </row>
    <row r="1497" spans="1:4" x14ac:dyDescent="0.15">
      <c r="A1497" s="1" t="s">
        <v>3525</v>
      </c>
      <c r="B1497" s="3" t="str">
        <f ca="1">IFERROR(__xludf.DUMMYFUNCTION("GOOGLETRANSLATE(B1497,""es"",""en"")"),"@Bohemian_Fella @LadyTyphlosion you're really right about the sneakers because some tennis shoes would be more suited to some adidas")</f>
        <v>@Bohemian_Fella @LadyTyphlosion you're really right about the sneakers because some tennis shoes would be more suited to some adidas</v>
      </c>
      <c r="C1497" s="2" t="s">
        <v>3526</v>
      </c>
      <c r="D1497" s="1" t="s">
        <v>3524</v>
      </c>
    </row>
    <row r="1498" spans="1:4" x14ac:dyDescent="0.15">
      <c r="A1498" s="1" t="s">
        <v>3527</v>
      </c>
      <c r="B1498" s="3" t="str">
        <f ca="1">IFERROR(__xludf.DUMMYFUNCTION("GOOGLETRANSLATE(B1498,""es"",""en"")"),"Sneakers 
Slippers
Flip flops https://t.co/f8jCHrar1U")</f>
        <v>Sneakers 
Slippers
Flip flops https://t.co/f8jCHrar1U</v>
      </c>
      <c r="C1498" s="2" t="s">
        <v>3528</v>
      </c>
      <c r="D1498" s="1" t="s">
        <v>3529</v>
      </c>
    </row>
    <row r="1499" spans="1:4" x14ac:dyDescent="0.15">
      <c r="A1499" s="1" t="s">
        <v>3530</v>
      </c>
      <c r="B1499" s="3" t="str">
        <f ca="1">IFERROR(__xludf.DUMMYFUNCTION("GOOGLETRANSLATE(B1499,""es"",""en"")"),"RT @CooperAccionPER: #LasBambas Who should assume the economic cost of the highway in Las Bambas? Read the column of our researcher César Flores Unzaga here: https://t.co/cjQiCJog6g https://t.co/7dvIlUDs1t")</f>
        <v>RT @CooperAccionPER: #LasBambas Who should assume the economic cost of the highway in Las Bambas? Read the column of our researcher César Flores Unzaga here: https://t.co/cjQiCJog6g https://t.co/7dvIlUDs1t</v>
      </c>
      <c r="C1499" s="2" t="s">
        <v>3531</v>
      </c>
      <c r="D1499" s="1" t="s">
        <v>3532</v>
      </c>
    </row>
    <row r="1500" spans="1:4" x14ac:dyDescent="0.15">
      <c r="A1500" s="1" t="s">
        <v>3533</v>
      </c>
      <c r="B1500" s="3" t="str">
        <f ca="1">IFERROR(__xludf.DUMMYFUNCTION("GOOGLETRANSLATE(B1500,""es"",""en"")"),"Vou me entupir de remédio, chá e tudo que der because amanhã eu vou no bambas memo morrendo 😅")</f>
        <v>Vou me entupir de remédio, chá e tudo que der because amanhã eu vou no bambas memo morrendo 😅</v>
      </c>
      <c r="C1500" s="2" t="s">
        <v>3534</v>
      </c>
      <c r="D1500" s="1" t="s">
        <v>3535</v>
      </c>
    </row>
    <row r="1501" spans="1:4" x14ac:dyDescent="0.15">
      <c r="A1501" s="1" t="s">
        <v>3536</v>
      </c>
      <c r="B1501" s="3" t="str">
        <f ca="1">IFERROR(__xludf.DUMMYFUNCTION("GOOGLETRANSLATE(B1501,""es"",""en"")"),"RT @DeniseNunes321: So I wanted to tan a dance that I hope to be very crazy about knowing how to wear sneakers the next day.😩😏")</f>
        <v>RT @DeniseNunes321: So I wanted to tan a dance that I hope to be very crazy about knowing how to wear sneakers the next day.😩😏</v>
      </c>
      <c r="C1501" s="2" t="s">
        <v>3537</v>
      </c>
      <c r="D1501" s="1" t="s">
        <v>3535</v>
      </c>
    </row>
    <row r="1502" spans="1:4" x14ac:dyDescent="0.15">
      <c r="A1502" s="1" t="s">
        <v>3538</v>
      </c>
      <c r="B1502" s="3" t="str">
        <f ca="1">IFERROR(__xludf.DUMMYFUNCTION("GOOGLETRANSLATE(B1502,""es"",""en"")"),"@pedrofrancke All governments sold themselves with Bambas that does NOT pay Canon and now wants free transportation and the mineral pipeline was another scam, the story is the same, the Investments that are NOT useful for Peru")</f>
        <v>@pedrofrancke All governments sold themselves with Bambas that does NOT pay Canon and now wants free transportation and the mineral pipeline was another scam, the story is the same, the Investments that are NOT useful for Peru</v>
      </c>
      <c r="C1502" s="2" t="s">
        <v>3539</v>
      </c>
      <c r="D1502" s="1" t="s">
        <v>3535</v>
      </c>
    </row>
    <row r="1503" spans="1:4" x14ac:dyDescent="0.15">
      <c r="A1503" s="1" t="s">
        <v>3540</v>
      </c>
      <c r="B1503" s="3" t="str">
        <f ca="1">IFERROR(__xludf.DUMMYFUNCTION("GOOGLETRANSLATE(B1503,""es"",""en"")"),"Mining contributes an average of 14% to our country's GDP, however, it currently has some difficulties. An example of this is the social conflict in Las Bambas. Will this greatly affect the GDP? @abelsantibanez 2/3 
https://t.co/tJdAX4n6Q3")</f>
        <v>Mining contributes an average of 14% to our country's GDP, however, it currently has some difficulties. An example of this is the social conflict in Las Bambas. Will this greatly affect the GDP? @abelsantibanez 2/3 
https://t.co/tJdAX4n6Q3</v>
      </c>
      <c r="C1503" s="2" t="s">
        <v>3541</v>
      </c>
      <c r="D1503" s="1" t="s">
        <v>3542</v>
      </c>
    </row>
    <row r="1504" spans="1:4" x14ac:dyDescent="0.15">
      <c r="A1504" s="1" t="s">
        <v>1459</v>
      </c>
      <c r="B1504" s="3" t="str">
        <f ca="1">IFERROR(__xludf.DUMMYFUNCTION("GOOGLETRANSLATE(B1504,""es"",""en"")"),"RT @RPPNoticias: https://t.co/nb9J1CS1KE
In the audio to which RPP Noticias had access, Chávez Sotelo tells community members from Fuerabamba to blame the police for having burned their own tents in a confrontation that occurred in January.")</f>
        <v>RT @RPPNoticias: https://t.co/nb9J1CS1KE
In the audio to which RPP Noticias had access, Chávez Sotelo tells community members from Fuerabamba to blame the police for having burned their own tents in a confrontation that occurred in January.</v>
      </c>
      <c r="C1504" s="2" t="s">
        <v>3543</v>
      </c>
      <c r="D1504" s="1" t="s">
        <v>3544</v>
      </c>
    </row>
    <row r="1505" spans="1:4" x14ac:dyDescent="0.15">
      <c r="A1505" s="1" t="s">
        <v>2756</v>
      </c>
      <c r="B1505" s="3" t="str">
        <f ca="1">IFERROR(__xludf.DUMMYFUNCTION("GOOGLETRANSLATE(B1505,""es"",""en"")"),"RT @choocherin: Del Solar spoke of “Peruvian men and women”, “everyone”.
He forgot about “COMUNEROS AND COMUNERAS” (las Bambas)")</f>
        <v>RT @choocherin: Del Solar spoke of “Peruvian men and women”, “everyone”.
He forgot about “COMUNEROS AND COMUNERAS” (las Bambas)</v>
      </c>
      <c r="C1505" s="2" t="s">
        <v>3545</v>
      </c>
      <c r="D1505" s="1" t="s">
        <v>3544</v>
      </c>
    </row>
    <row r="1506" spans="1:4" x14ac:dyDescent="0.15">
      <c r="A1506" s="1" t="s">
        <v>3546</v>
      </c>
      <c r="B1506" s="3" t="str">
        <f ca="1">IFERROR(__xludf.DUMMYFUNCTION("GOOGLETRANSLATE(B1506,""es"",""en"")"),"RT @Defensoria_Peru: Learn about the chronology of the #LasBambas case: community of Fuerabamba and others in the mining corridor, MMG company and the State. Download infographic here 👉https://t.co/G5gAbi2ZVp 
Tomorrow we will participate in a meeting, i"&amp;"n our supervisory role and as guarantor of rights. #PeopleFirst https://t.co/EDnA6unJti")</f>
        <v>RT @Defensoria_Peru: Learn about the chronology of the #LasBambas case: community of Fuerabamba and others in the mining corridor, MMG company and the State. Download infographic here 👉https://t.co/G5gAbi2ZVp 
Tomorrow we will participate in a meeting, in our supervisory role and as guarantor of rights. #PeopleFirst https://t.co/EDnA6unJti</v>
      </c>
      <c r="C1506" s="2" t="s">
        <v>3547</v>
      </c>
      <c r="D1506" s="1" t="s">
        <v>3544</v>
      </c>
    </row>
    <row r="1507" spans="1:4" x14ac:dyDescent="0.15">
      <c r="A1507" s="1" t="s">
        <v>2756</v>
      </c>
      <c r="B1507" s="3" t="str">
        <f ca="1">IFERROR(__xludf.DUMMYFUNCTION("GOOGLETRANSLATE(B1507,""es"",""en"")"),"RT @apranorte: @choocherin Las Bambas is not his topic because he suffers from migraine")</f>
        <v>RT @apranorte: @choocherin Las Bambas is not his topic because he suffers from migraine</v>
      </c>
      <c r="C1507" s="2" t="s">
        <v>3548</v>
      </c>
      <c r="D1507" s="1" t="s">
        <v>3544</v>
      </c>
    </row>
    <row r="1508" spans="1:4" x14ac:dyDescent="0.15">
      <c r="A1508" s="1" t="s">
        <v>3549</v>
      </c>
      <c r="B1508" s="3" t="str">
        <f ca="1">IFERROR(__xludf.DUMMYFUNCTION("GOOGLETRANSLATE(B1508,""es"",""en"")"),"RT @RPPNoticias: https://t.co/nb9J1CS1KE
In the audio to which RPP Noticias had access, Chávez Sotelo tells community members from Fuerabamba to blame the police for having burned their own tents in a confrontation that occurred in January.")</f>
        <v>RT @RPPNoticias: https://t.co/nb9J1CS1KE
In the audio to which RPP Noticias had access, Chávez Sotelo tells community members from Fuerabamba to blame the police for having burned their own tents in a confrontation that occurred in January.</v>
      </c>
      <c r="C1508" s="2" t="s">
        <v>3550</v>
      </c>
      <c r="D1508" s="1" t="s">
        <v>3544</v>
      </c>
    </row>
    <row r="1509" spans="1:4" x14ac:dyDescent="0.15">
      <c r="A1509" s="1" t="s">
        <v>3540</v>
      </c>
      <c r="B1509" s="3" t="str">
        <f ca="1">IFERROR(__xludf.DUMMYFUNCTION("GOOGLETRANSLATE(B1509,""es"",""en"")"),"Mining contributes an average of 14% to our country's GDP, however, it currently has some difficulties. An example of this is the social conflict in Las Bambas. Will this greatly affect the GDP? #SocialMarketing @abelsantibanez 2/3
https://t.co/74I3PAe5FM")</f>
        <v>Mining contributes an average of 14% to our country's GDP, however, it currently has some difficulties. An example of this is the social conflict in Las Bambas. Will this greatly affect the GDP? #SocialMarketing @abelsantibanez 2/3
https://t.co/74I3PAe5FM</v>
      </c>
      <c r="C1509" s="2" t="s">
        <v>3551</v>
      </c>
      <c r="D1509" s="1" t="s">
        <v>3552</v>
      </c>
    </row>
    <row r="1510" spans="1:4" x14ac:dyDescent="0.15">
      <c r="A1510" s="1" t="s">
        <v>3515</v>
      </c>
      <c r="B1510" s="3" t="str">
        <f ca="1">IFERROR(__xludf.DUMMYFUNCTION("GOOGLETRANSLATE(B1510,""es"",""en"")"),"LAS BAMBAS AN EMOTIONAL! Act of the communities in protest &amp;amp; The National Police and the Army, #forUnPeru Autonomous of its Natural Resources. https://t.co/mqoT54eYmu")</f>
        <v>LAS BAMBAS AN EMOTIONAL! Act of the communities in protest &amp;amp; The National Police and the Army, #forUnPeru Autonomous of its Natural Resources. https://t.co/mqoT54eYmu</v>
      </c>
      <c r="C1510" s="2" t="s">
        <v>3553</v>
      </c>
      <c r="D1510" s="1" t="s">
        <v>3554</v>
      </c>
    </row>
    <row r="1511" spans="1:4" x14ac:dyDescent="0.15">
      <c r="A1511" s="1" t="s">
        <v>3555</v>
      </c>
      <c r="B1511" s="3" t="str">
        <f ca="1">IFERROR(__xludf.DUMMYFUNCTION("GOOGLETRANSLATE(B1511,""es"",""en"")"),"RT @Publimetrope: Las Bambas: tomorrow the dialogue will continue to resolve the conflict between community members and the mining company | VIDEO https://t.co/KgIfiQI83h")</f>
        <v>RT @Publimetrope: Las Bambas: tomorrow the dialogue will continue to resolve the conflict between community members and the mining company | VIDEO https://t.co/KgIfiQI83h</v>
      </c>
      <c r="C1511" s="2" t="s">
        <v>3556</v>
      </c>
      <c r="D1511" s="1" t="s">
        <v>3557</v>
      </c>
    </row>
    <row r="1512" spans="1:4" x14ac:dyDescent="0.15">
      <c r="A1512" s="1" t="s">
        <v>3558</v>
      </c>
      <c r="B1512" s="3" t="str">
        <f ca="1">IFERROR(__xludf.DUMMYFUNCTION("GOOGLETRANSLATE(B1512,""es"",""en"")"),"RT @Politica_LR: Las Bambas: They reveal audio of Frank Chávez Sotelo giving orders to community members ►https://t.co/pB2gSrF5By https://t.co/E79BXphSqO")</f>
        <v>RT @Politica_LR: Las Bambas: They reveal audio of Frank Chávez Sotelo giving orders to community members ►https://t.co/pB2gSrF5By https://t.co/E79BXphSqO</v>
      </c>
      <c r="C1512" s="2" t="s">
        <v>3559</v>
      </c>
      <c r="D1512" s="1" t="s">
        <v>3560</v>
      </c>
    </row>
    <row r="1513" spans="1:4" x14ac:dyDescent="0.15">
      <c r="A1513" s="1" t="s">
        <v>3561</v>
      </c>
      <c r="B1513" s="3" t="str">
        <f ca="1">IFERROR(__xludf.DUMMYFUNCTION("GOOGLETRANSLATE(B1513,""es"",""en"")"),"MELANIA CASTRO, president of the National Organization of Andean and Amazonian Indigenous Women of Peru (ONAMIAP)
Bambas: STATE IS NOT PRESENT, IT MUST RESOLVE, NOT IMPOSE, NOT DISPOSAL, RESPECT HUMAN RIGHTS. 
MORE THAN DIALOGUE, THE PEASANTS WANT CONCRET"&amp;"E SOLUTIONS.")</f>
        <v>MELANIA CASTRO, president of the National Organization of Andean and Amazonian Indigenous Women of Peru (ONAMIAP)
Bambas: STATE IS NOT PRESENT, IT MUST RESOLVE, NOT IMPOSE, NOT DISPOSAL, RESPECT HUMAN RIGHTS. 
MORE THAN DIALOGUE, THE PEASANTS WANT CONCRETE SOLUTIONS.</v>
      </c>
      <c r="C1513" s="2" t="s">
        <v>3562</v>
      </c>
      <c r="D1513" s="1" t="s">
        <v>3563</v>
      </c>
    </row>
    <row r="1514" spans="1:4" x14ac:dyDescent="0.15">
      <c r="A1514" s="1" t="s">
        <v>3564</v>
      </c>
      <c r="B1514" s="3" t="str">
        <f ca="1">IFERROR(__xludf.DUMMYFUNCTION("GOOGLETRANSLATE(B1514,""es"",""en"")"),"RT @Politica_LR: Las Bambas: They reveal audio of Frank Chávez Sotelo giving orders to community members ►https://t.co/pB2gSrF5By https://t.co/E79BXphSqO")</f>
        <v>RT @Politica_LR: Las Bambas: They reveal audio of Frank Chávez Sotelo giving orders to community members ►https://t.co/pB2gSrF5By https://t.co/E79BXphSqO</v>
      </c>
      <c r="C1514" s="2" t="s">
        <v>3565</v>
      </c>
      <c r="D1514" s="1" t="s">
        <v>3566</v>
      </c>
    </row>
    <row r="1515" spans="1:4" x14ac:dyDescent="0.15">
      <c r="A1515" s="1" t="s">
        <v>3567</v>
      </c>
      <c r="B1515" s="3" t="str">
        <f ca="1">IFERROR(__xludf.DUMMYFUNCTION("GOOGLETRANSLATE(B1515,""es"",""en"")"),"RT @Politica_LR: Las Bambas: They reveal audio of Frank Chávez Sotelo giving orders to community members ►https://t.co/pB2gSrF5By https://t.co/E79BXphSqO")</f>
        <v>RT @Politica_LR: Las Bambas: They reveal audio of Frank Chávez Sotelo giving orders to community members ►https://t.co/pB2gSrF5By https://t.co/E79BXphSqO</v>
      </c>
      <c r="C1515" s="2" t="s">
        <v>3568</v>
      </c>
      <c r="D1515" s="1" t="s">
        <v>3569</v>
      </c>
    </row>
    <row r="1516" spans="1:4" x14ac:dyDescent="0.15">
      <c r="A1516" s="1" t="s">
        <v>3570</v>
      </c>
      <c r="B1516" s="3" t="str">
        <f ca="1">IFERROR(__xludf.DUMMYFUNCTION("GOOGLETRANSLATE(B1516,""es"",""en"")"),"The Bambas and the bass drums https://t.co/fgE7PaMQTJ")</f>
        <v>The Bambas and the bass drums https://t.co/fgE7PaMQTJ</v>
      </c>
      <c r="C1516" s="2" t="s">
        <v>3571</v>
      </c>
      <c r="D1516" s="1" t="s">
        <v>3572</v>
      </c>
    </row>
    <row r="1517" spans="1:4" x14ac:dyDescent="0.15">
      <c r="A1517" s="1" t="s">
        <v>3573</v>
      </c>
      <c r="B1517" s="3" t="str">
        <f ca="1">IFERROR(__xludf.DUMMYFUNCTION("GOOGLETRANSLATE(B1517,""es"",""en"")"),"RT @RPPNoticias: https://t.co/nb9J1CS1KE
In the audio to which RPP Noticias had access, Chávez Sotelo tells community members from Fuerabamba to blame the police for having burned their own tents in a confrontation that occurred in January.")</f>
        <v>RT @RPPNoticias: https://t.co/nb9J1CS1KE
In the audio to which RPP Noticias had access, Chávez Sotelo tells community members from Fuerabamba to blame the police for having burned their own tents in a confrontation that occurred in January.</v>
      </c>
      <c r="C1517" s="2" t="s">
        <v>3574</v>
      </c>
      <c r="D1517" s="1" t="s">
        <v>3572</v>
      </c>
    </row>
    <row r="1518" spans="1:4" x14ac:dyDescent="0.15">
      <c r="A1518" s="1" t="s">
        <v>3575</v>
      </c>
      <c r="B1518" s="3" t="str">
        <f ca="1">IFERROR(__xludf.DUMMYFUNCTION("GOOGLETRANSLATE(B1518,""es"",""en"")"),"RT @Defensoria_Peru: Learn about the chronology of the #LasBambas case: community of Fuerabamba and others in the mining corridor, MMG company and the State. Download infographic here 👉https://t.co/G5gAbi2ZVp 
Tomorrow we will participate in a meeting, i"&amp;"n our supervisory role and as guarantor of rights. #PeopleFirst https://t.co/EDnA6unJti")</f>
        <v>RT @Defensoria_Peru: Learn about the chronology of the #LasBambas case: community of Fuerabamba and others in the mining corridor, MMG company and the State. Download infographic here 👉https://t.co/G5gAbi2ZVp 
Tomorrow we will participate in a meeting, in our supervisory role and as guarantor of rights. #PeopleFirst https://t.co/EDnA6unJti</v>
      </c>
      <c r="C1518" s="2" t="s">
        <v>3576</v>
      </c>
      <c r="D1518" s="1" t="s">
        <v>3577</v>
      </c>
    </row>
    <row r="1519" spans="1:4" x14ac:dyDescent="0.15">
      <c r="A1519" s="1" t="s">
        <v>3561</v>
      </c>
      <c r="B1519" s="3" t="str">
        <f ca="1">IFERROR(__xludf.DUMMYFUNCTION("GOOGLETRANSLATE(B1519,""es"",""en"")"),"MELANIA CASTRO, president of Andean and Amazonian Indigenous Women Peru
Mining companies buy land (Bambas), dividing communities. CHANGING YOUR LIFE AND THOSE COMMUNERS WHERE WILL THEY GO? They are not going to go to the cities, where you plant iron and c"&amp;"ement. THERE LIES THE DEFENSE OF LIFE.")</f>
        <v>MELANIA CASTRO, president of Andean and Amazonian Indigenous Women Peru
Mining companies buy land (Bambas), dividing communities. CHANGING YOUR LIFE AND THOSE COMMUNERS WHERE WILL THEY GO? They are not going to go to the cities, where you plant iron and cement. THERE LIES THE DEFENSE OF LIFE.</v>
      </c>
      <c r="C1519" s="2" t="s">
        <v>3578</v>
      </c>
      <c r="D1519" s="1" t="s">
        <v>3577</v>
      </c>
    </row>
    <row r="1520" spans="1:4" x14ac:dyDescent="0.15">
      <c r="A1520" s="1" t="s">
        <v>3575</v>
      </c>
      <c r="B1520" s="3" t="str">
        <f ca="1">IFERROR(__xludf.DUMMYFUNCTION("GOOGLETRANSLATE(B1520,""es"",""en"")"),"RT @RPPNoticias: https://t.co/nb9J1CS1KE
In the audio to which RPP Noticias had access, Chávez Sotelo tells community members from Fuerabamba to blame the police for having burned their own tents in a confrontation that occurred in January.")</f>
        <v>RT @RPPNoticias: https://t.co/nb9J1CS1KE
In the audio to which RPP Noticias had access, Chávez Sotelo tells community members from Fuerabamba to blame the police for having burned their own tents in a confrontation that occurred in January.</v>
      </c>
      <c r="C1520" s="2" t="s">
        <v>3579</v>
      </c>
      <c r="D1520" s="1" t="s">
        <v>3577</v>
      </c>
    </row>
    <row r="1521" spans="1:4" x14ac:dyDescent="0.15">
      <c r="A1521" s="1" t="s">
        <v>3580</v>
      </c>
      <c r="B1521" s="3" t="str">
        <f ca="1">IFERROR(__xludf.DUMMYFUNCTION("GOOGLETRANSLATE(B1521,""es"",""en"")"),"RT @Politica_LR: Las Bambas: They reveal audio of Frank Chávez Sotelo giving orders to community members ►https://t.co/pB2gSrF5By https://t.co/E79BXphSqO")</f>
        <v>RT @Politica_LR: Las Bambas: They reveal audio of Frank Chávez Sotelo giving orders to community members ►https://t.co/pB2gSrF5By https://t.co/E79BXphSqO</v>
      </c>
      <c r="C1521" s="2" t="s">
        <v>3581</v>
      </c>
      <c r="D1521" s="1" t="s">
        <v>3582</v>
      </c>
    </row>
    <row r="1522" spans="1:4" x14ac:dyDescent="0.15">
      <c r="A1522" s="1" t="s">
        <v>3583</v>
      </c>
      <c r="B1522" s="3" t="str">
        <f ca="1">IFERROR(__xludf.DUMMYFUNCTION("GOOGLETRANSLATE(B1522,""es"",""en"")"),"It's been 24 hours since Premier @saldelsol said that today he would explain the Bambas consultancies, did he do it? nothing .  @pcmperu https://t.co/vAO8C0AG97")</f>
        <v>It's been 24 hours since Premier @saldelsol said that today he would explain the Bambas consultancies, did he do it? nothing .  @pcmperu https://t.co/vAO8C0AG97</v>
      </c>
      <c r="C1522" s="2" t="s">
        <v>3584</v>
      </c>
      <c r="D1522" s="1" t="s">
        <v>3585</v>
      </c>
    </row>
    <row r="1523" spans="1:4" x14ac:dyDescent="0.15">
      <c r="A1523" s="1" t="s">
        <v>3586</v>
      </c>
      <c r="B1523" s="3" t="str">
        <f ca="1">IFERROR(__xludf.DUMMYFUNCTION("GOOGLETRANSLATE(B1523,""es"",""en"")"),"RT @RPPNoticias: https://t.co/nb9J1CS1KE
In the audio to which RPP Noticias had access, Chávez Sotelo tells community members from Fuerabamba to blame the police for having burned their own tents in a confrontation that occurred in January.")</f>
        <v>RT @RPPNoticias: https://t.co/nb9J1CS1KE
In the audio to which RPP Noticias had access, Chávez Sotelo tells community members from Fuerabamba to blame the police for having burned their own tents in a confrontation that occurred in January.</v>
      </c>
      <c r="C1523" s="2" t="s">
        <v>3587</v>
      </c>
      <c r="D1523" s="1" t="s">
        <v>3588</v>
      </c>
    </row>
    <row r="1524" spans="1:4" x14ac:dyDescent="0.15">
      <c r="A1524" s="1" t="s">
        <v>3589</v>
      </c>
      <c r="B1524" s="3" t="str">
        <f ca="1">IFERROR(__xludf.DUMMYFUNCTION("GOOGLETRANSLATE(B1524,""es"",""en"")"),"RT @vcabalg: True message:
In Peru they give you permission to invest, they expect you to make the investment of billions of dollars, you deliver benefits agreed upon by the community, and when you start operating they blackmail and block you.
Don't inves"&amp;"t there, they are cheaters.
https://t.co/StPgMvUyFY")</f>
        <v>RT @vcabalg: True message:
In Peru they give you permission to invest, they expect you to make the investment of billions of dollars, you deliver benefits agreed upon by the community, and when you start operating they blackmail and block you.
Don't invest there, they are cheaters.
https://t.co/StPgMvUyFY</v>
      </c>
      <c r="C1524" s="2" t="s">
        <v>3590</v>
      </c>
      <c r="D1524" s="1" t="s">
        <v>3591</v>
      </c>
    </row>
    <row r="1525" spans="1:4" x14ac:dyDescent="0.15">
      <c r="A1525" s="1" t="s">
        <v>3592</v>
      </c>
      <c r="B1525" s="3" t="str">
        <f ca="1">IFERROR(__xludf.DUMMYFUNCTION("GOOGLETRANSLATE(B1525,""es"",""en"")"),"RT @Caretas: #OPINION | Rafo León: “Las Bambas is of such complexity that it calls for simplistic and viceregal arguments, such as those that have been heard coming from business leaders and renowned journalists.”►https://t.co/uCLRJchqP0 https://t. co/4v2"&amp;"aAhVwzC")</f>
        <v>RT @Caretas: #OPINION | Rafo León: “Las Bambas is of such complexity that it calls for simplistic and viceregal arguments, such as those that have been heard coming from business leaders and renowned journalists.”►https://t.co/uCLRJchqP0 https://t. co/4v2aAhVwzC</v>
      </c>
      <c r="C1525" s="2" t="s">
        <v>3593</v>
      </c>
      <c r="D1525" s="1" t="s">
        <v>3594</v>
      </c>
    </row>
    <row r="1526" spans="1:4" x14ac:dyDescent="0.15">
      <c r="A1526" s="1" t="s">
        <v>564</v>
      </c>
      <c r="B1526" s="3" t="str">
        <f ca="1">IFERROR(__xludf.DUMMYFUNCTION("GOOGLETRANSLATE(B1526,""es"",""en"")"),"RT @RPPNoticias: https://t.co/nb9J1CS1KE
In the audio to which RPP Noticias had access, Chávez Sotelo tells community members from Fuerabamba to blame the police for having burned their own tents in a confrontation that occurred in January.")</f>
        <v>RT @RPPNoticias: https://t.co/nb9J1CS1KE
In the audio to which RPP Noticias had access, Chávez Sotelo tells community members from Fuerabamba to blame the police for having burned their own tents in a confrontation that occurred in January.</v>
      </c>
      <c r="C1526" s="2" t="s">
        <v>3595</v>
      </c>
      <c r="D1526" s="1" t="s">
        <v>3596</v>
      </c>
    </row>
    <row r="1527" spans="1:4" x14ac:dyDescent="0.15">
      <c r="A1527" s="1" t="s">
        <v>3597</v>
      </c>
      <c r="B1527" s="3" t="str">
        <f ca="1">IFERROR(__xludf.DUMMYFUNCTION("GOOGLETRANSLATE(B1527,""es"",""en"")"),"RT @Politica_LR: Las Bambas: They reveal audio of Frank Chávez Sotelo giving orders to community members ►https://t.co/pB2gSrF5By https://t.co/E79BXphSqO")</f>
        <v>RT @Politica_LR: Las Bambas: They reveal audio of Frank Chávez Sotelo giving orders to community members ►https://t.co/pB2gSrF5By https://t.co/E79BXphSqO</v>
      </c>
      <c r="C1527" s="2" t="s">
        <v>3598</v>
      </c>
      <c r="D1527" s="1" t="s">
        <v>3599</v>
      </c>
    </row>
    <row r="1528" spans="1:4" x14ac:dyDescent="0.15">
      <c r="A1528" s="1" t="s">
        <v>2447</v>
      </c>
      <c r="B1528" s="3" t="str">
        <f ca="1">IFERROR(__xludf.DUMMYFUNCTION("GOOGLETRANSLATE(B1528,""es"",""en"")"),"RT @Servindi: #Apurímac: High tension in the conflict against #LasBambas. By Jaime Antezana Rivera (specialist in social conflicts) → https://t.co/IKKQglmsP5 https://t.co/V1yyEPoqRg")</f>
        <v>RT @Servindi: #Apurímac: High tension in the conflict against #LasBambas. By Jaime Antezana Rivera (specialist in social conflicts) → https://t.co/IKKQglmsP5 https://t.co/V1yyEPoqRg</v>
      </c>
      <c r="C1528" s="2" t="s">
        <v>3600</v>
      </c>
      <c r="D1528" s="1" t="s">
        <v>3601</v>
      </c>
    </row>
    <row r="1529" spans="1:4" x14ac:dyDescent="0.15">
      <c r="A1529" s="1" t="s">
        <v>2113</v>
      </c>
      <c r="B1529" s="3" t="str">
        <f ca="1">IFERROR(__xludf.DUMMYFUNCTION("GOOGLETRANSLATE(B1529,""es"",""en"")"),"RT @jimmybussol: The prosecutor, running, went to file a complaint at the sector's police station, from there to a doctor, those sneakers that swarm around Lima, recommending sleep therapy, due to the shock suffered, being called IMMORAL, with 4 days REST"&amp;"! https://t.co/mEt108F6Mv")</f>
        <v>RT @jimmybussol: The prosecutor, running, went to file a complaint at the sector's police station, from there to a doctor, those sneakers that swarm around Lima, recommending sleep therapy, due to the shock suffered, being called IMMORAL, with 4 days REST! https://t.co/mEt108F6Mv</v>
      </c>
      <c r="C1529" s="2" t="s">
        <v>3602</v>
      </c>
      <c r="D1529" s="1" t="s">
        <v>3603</v>
      </c>
    </row>
    <row r="1530" spans="1:4" x14ac:dyDescent="0.15">
      <c r="A1530" s="1" t="s">
        <v>3604</v>
      </c>
      <c r="B1530" s="3" t="str">
        <f ca="1">IFERROR(__xludf.DUMMYFUNCTION("GOOGLETRANSLATE(B1530,""es"",""en"")"),"RT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530" s="2" t="s">
        <v>3605</v>
      </c>
      <c r="D1530" s="1" t="s">
        <v>3606</v>
      </c>
    </row>
    <row r="1531" spans="1:4" x14ac:dyDescent="0.15">
      <c r="A1531" s="1" t="s">
        <v>3607</v>
      </c>
      <c r="B1531" s="3" t="str">
        <f ca="1">IFERROR(__xludf.DUMMYFUNCTION("GOOGLETRANSLATE(B1531,""es"",""en"")"),"Quem botou este video na minha tl deserves a cover and fuça por me deixar com as pernas bambas https://t.co/J0D7khAYaH")</f>
        <v>Quem botou este video na minha tl deserves a cover and fuça por me deixar com as pernas bambas https://t.co/J0D7khAYaH</v>
      </c>
      <c r="C1531" s="2" t="s">
        <v>3608</v>
      </c>
      <c r="D1531" s="1" t="s">
        <v>3609</v>
      </c>
    </row>
    <row r="1532" spans="1:4" x14ac:dyDescent="0.15">
      <c r="A1532" s="1" t="s">
        <v>3610</v>
      </c>
      <c r="B1532" s="3" t="str">
        <f ca="1">IFERROR(__xludf.DUMMYFUNCTION("GOOGLETRANSLATE(B1532,""es"",""en"")"),"I share my presentation in the Hispantv Open Forum talking about: Peru: social conflict that grips Vizcarra. A conflict (Las Bambas), an incapable government and the alarming lack of authority! https://t.co/cXN4Yk26F5 via @YouTube")</f>
        <v>I share my presentation in the Hispantv Open Forum talking about: Peru: social conflict that grips Vizcarra. A conflict (Las Bambas), an incapable government and the alarming lack of authority! https://t.co/cXN4Yk26F5 via @YouTube</v>
      </c>
      <c r="C1532" s="2" t="s">
        <v>3611</v>
      </c>
      <c r="D1532" s="1" t="s">
        <v>3612</v>
      </c>
    </row>
    <row r="1533" spans="1:4" x14ac:dyDescent="0.15">
      <c r="A1533" s="1" t="s">
        <v>3613</v>
      </c>
      <c r="B1533" s="3" t="str">
        <f ca="1">IFERROR(__xludf.DUMMYFUNCTION("GOOGLETRANSLATE(B1533,""es"",""en"")"),"Apurímac: High tension in the conflict against Las Bambas. https://t.co/ZqvFAyh4Sw")</f>
        <v>Apurímac: High tension in the conflict against Las Bambas. https://t.co/ZqvFAyh4Sw</v>
      </c>
      <c r="C1533" s="2" t="s">
        <v>3614</v>
      </c>
      <c r="D1533" s="1" t="s">
        <v>3612</v>
      </c>
    </row>
    <row r="1534" spans="1:4" x14ac:dyDescent="0.15">
      <c r="A1534" s="1" t="s">
        <v>3615</v>
      </c>
      <c r="B1534" s="3" t="str">
        <f ca="1">IFERROR(__xludf.DUMMYFUNCTION("GOOGLETRANSLATE(B1534,""es"",""en"")"),"All about sneakers (Comparison Theories 01) // [Podcast] https://t.co/irFjOeo3yT via @YouTube")</f>
        <v>All about sneakers (Comparison Theories 01) // [Podcast] https://t.co/irFjOeo3yT via @YouTube</v>
      </c>
      <c r="C1534" s="2" t="s">
        <v>3616</v>
      </c>
      <c r="D1534" s="1" t="s">
        <v>3617</v>
      </c>
    </row>
    <row r="1535" spans="1:4" x14ac:dyDescent="0.15">
      <c r="A1535" s="1" t="s">
        <v>3618</v>
      </c>
      <c r="B1535" s="3" t="str">
        <f ca="1">IFERROR(__xludf.DUMMYFUNCTION("GOOGLETRANSLATE(B1535,""es"",""en"")"),"1) Sneakers.
2) House slippers.
3) Finger flip flops. https://t.co/wTdZESP93p")</f>
        <v>1) Sneakers.
2) House slippers.
3) Finger flip flops. https://t.co/wTdZESP93p</v>
      </c>
      <c r="C1535" s="2" t="s">
        <v>3619</v>
      </c>
      <c r="D1535" s="1" t="s">
        <v>3620</v>
      </c>
    </row>
    <row r="1536" spans="1:4" x14ac:dyDescent="0.15">
      <c r="A1536" s="1" t="s">
        <v>3621</v>
      </c>
      <c r="B1536" s="3" t="str">
        <f ca="1">IFERROR(__xludf.DUMMYFUNCTION("GOOGLETRANSLATE(B1536,""es"",""en"")"),"@dupainchg I tied the legs with ficarem sneakers")</f>
        <v>@dupainchg I tied the legs with ficarem sneakers</v>
      </c>
      <c r="C1536" s="2" t="s">
        <v>3622</v>
      </c>
      <c r="D1536" s="1" t="s">
        <v>3623</v>
      </c>
    </row>
    <row r="1537" spans="1:4" x14ac:dyDescent="0.15">
      <c r="A1537" s="1" t="s">
        <v>101</v>
      </c>
      <c r="B1537" s="3" t="str">
        <f ca="1">IFERROR(__xludf.DUMMYFUNCTION("GOOGLETRANSLATE(B1537,""es"",""en"")"),"Las Bambas: Executive, community members and mining company hold talks tomorrow Prime Minister Salvador del Solar will hold a meeting tomorrow, Saturday, April 6, with the president of the Fuerabamba community, Gregorio Rojas, and representatives of the m"&amp;"in... https:// t.co/TlI83UWCNX https://t.co/lFeKZZ8al7")</f>
        <v>Las Bambas: Executive, community members and mining company hold talks tomorrow Prime Minister Salvador del Solar will hold a meeting tomorrow, Saturday, April 6, with the president of the Fuerabamba community, Gregorio Rojas, and representatives of the min... https:// t.co/TlI83UWCNX https://t.co/lFeKZZ8al7</v>
      </c>
      <c r="C1537" s="2" t="s">
        <v>3624</v>
      </c>
      <c r="D1537" s="1" t="s">
        <v>3625</v>
      </c>
    </row>
    <row r="1538" spans="1:4" x14ac:dyDescent="0.15">
      <c r="A1538" s="1" t="s">
        <v>3626</v>
      </c>
      <c r="B1538" s="3" t="str">
        <f ca="1">IFERROR(__xludf.DUMMYFUNCTION("GOOGLETRANSLATE(B1538,""es"",""en"")"),"RT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538" s="2" t="s">
        <v>3627</v>
      </c>
      <c r="D1538" s="1" t="s">
        <v>3628</v>
      </c>
    </row>
    <row r="1539" spans="1:4" x14ac:dyDescent="0.15">
      <c r="A1539" s="1" t="s">
        <v>2444</v>
      </c>
      <c r="B1539" s="3" t="str">
        <f ca="1">IFERROR(__xludf.DUMMYFUNCTION("GOOGLETRANSLATE(B1539,""es"",""en"")"),"RT @Politica_LR: Las Bambas: They reveal audio of Frank Chávez Sotelo giving orders to community members ►https://t.co/pB2gSrF5By https://t.co/E79BXphSqO")</f>
        <v>RT @Politica_LR: Las Bambas: They reveal audio of Frank Chávez Sotelo giving orders to community members ►https://t.co/pB2gSrF5By https://t.co/E79BXphSqO</v>
      </c>
      <c r="C1539" s="2" t="s">
        <v>3629</v>
      </c>
      <c r="D1539" s="1" t="s">
        <v>3630</v>
      </c>
    </row>
    <row r="1540" spans="1:4" x14ac:dyDescent="0.15">
      <c r="A1540" s="1" t="s">
        <v>2835</v>
      </c>
      <c r="B1540" s="3" t="str">
        <f ca="1">IFERROR(__xludf.DUMMYFUNCTION("GOOGLETRANSLATE(B1540,""es"",""en"")"),"RT @meiermq: Isn't this more degrading than Paisana Jacinta?: ""the protesting community members of Las Bambas are not those wonderful Andean people with their traditional folkloric clothes, who call you mamita and give you a little cheese that goes in fr"&amp;"ont of the bin because It smells like a battery"" (pen by R.León)")</f>
        <v>RT @meiermq: Isn't this more degrading than Paisana Jacinta?: "the protesting community members of Las Bambas are not those wonderful Andean people with their traditional folkloric clothes, who call you mamita and give you a little cheese that goes in front of the bin because It smells like a battery" (pen by R.León)</v>
      </c>
      <c r="C1540" s="2" t="s">
        <v>3631</v>
      </c>
      <c r="D1540" s="1" t="s">
        <v>3630</v>
      </c>
    </row>
    <row r="1541" spans="1:4" x14ac:dyDescent="0.15">
      <c r="A1541" s="1" t="s">
        <v>2444</v>
      </c>
      <c r="B1541" s="3" t="str">
        <f ca="1">IFERROR(__xludf.DUMMYFUNCTION("GOOGLETRANSLATE(B1541,""es"",""en"")"),"RT @RPPNoticias: https://t.co/nb9J1CS1KE
In the audio to which RPP Noticias had access, Chávez Sotelo tells community members from Fuerabamba to blame the police for having burned their own tents in a confrontation that occurred in January.")</f>
        <v>RT @RPPNoticias: https://t.co/nb9J1CS1KE
In the audio to which RPP Noticias had access, Chávez Sotelo tells community members from Fuerabamba to blame the police for having burned their own tents in a confrontation that occurred in January.</v>
      </c>
      <c r="C1541" s="2" t="s">
        <v>3632</v>
      </c>
      <c r="D1541" s="1" t="s">
        <v>3633</v>
      </c>
    </row>
    <row r="1542" spans="1:4" x14ac:dyDescent="0.15">
      <c r="A1542" s="1" t="s">
        <v>2879</v>
      </c>
      <c r="B1542" s="3" t="str">
        <f ca="1">IFERROR(__xludf.DUMMYFUNCTION("GOOGLETRANSLATE(B1542,""es"",""en"")"),"Las Bambas: today the Executive, community members and mining company are in dialogue https://t.co/sIgqNPL6cI https://t.co/1avAj1jCV6")</f>
        <v>Las Bambas: today the Executive, community members and mining company are in dialogue https://t.co/sIgqNPL6cI https://t.co/1avAj1jCV6</v>
      </c>
      <c r="C1542" s="2" t="s">
        <v>3634</v>
      </c>
      <c r="D1542" s="1" t="s">
        <v>3635</v>
      </c>
    </row>
    <row r="1543" spans="1:4" x14ac:dyDescent="0.15">
      <c r="A1543" s="1" t="s">
        <v>3636</v>
      </c>
      <c r="B1543" s="3" t="str">
        <f ca="1">IFERROR(__xludf.DUMMYFUNCTION("GOOGLETRANSLATE(B1543,""es"",""en"")"),"RT @christianvuiYT: me: forgive me father for i have sinned
father: yeah it's cool just do 2 hail marys, 1 our father, 2 sicko modes, and 3 mo sneakers.
me: what
daddy: 😎👌🏻")</f>
        <v>RT @christianvuiYT: me: forgive me father for i have sinned
father: yeah it's cool just do 2 hail marys, 1 our father, 2 sicko modes, and 3 mo sneakers.
me: what
daddy: 😎👌🏻</v>
      </c>
      <c r="C1543" s="2" t="s">
        <v>3637</v>
      </c>
      <c r="D1543" s="1" t="s">
        <v>3638</v>
      </c>
    </row>
    <row r="1544" spans="1:4" x14ac:dyDescent="0.15">
      <c r="A1544" s="1" t="s">
        <v>3639</v>
      </c>
      <c r="B1544" s="3" t="str">
        <f ca="1">IFERROR(__xludf.DUMMYFUNCTION("GOOGLETRANSLATE(B1544,""es"",""en"")"),"RT @RPPNoticias: https://t.co/nb9J1CS1KE
In the audio to which RPP Noticias had access, Chávez Sotelo tells community members from Fuerabamba to blame the police for having burned their own tents in a confrontation that occurred in January.")</f>
        <v>RT @RPPNoticias: https://t.co/nb9J1CS1KE
In the audio to which RPP Noticias had access, Chávez Sotelo tells community members from Fuerabamba to blame the police for having burned their own tents in a confrontation that occurred in January.</v>
      </c>
      <c r="C1544" s="2" t="s">
        <v>3640</v>
      </c>
      <c r="D1544" s="1" t="s">
        <v>3641</v>
      </c>
    </row>
    <row r="1545" spans="1:4" x14ac:dyDescent="0.15">
      <c r="A1545" s="1" t="s">
        <v>3642</v>
      </c>
      <c r="B1545" s="3" t="str">
        <f ca="1">IFERROR(__xludf.DUMMYFUNCTION("GOOGLETRANSLATE(B1545,""es"",""en"")"),"Sneakers
Sneakers
Flip flops https://t.co/vX8ZySnSVw")</f>
        <v>Sneakers
Sneakers
Flip flops https://t.co/vX8ZySnSVw</v>
      </c>
      <c r="C1545" s="2" t="s">
        <v>3643</v>
      </c>
      <c r="D1545" s="1" t="s">
        <v>3644</v>
      </c>
    </row>
    <row r="1546" spans="1:4" x14ac:dyDescent="0.15">
      <c r="A1546" s="1" t="s">
        <v>3645</v>
      </c>
      <c r="B1546" s="3" t="str">
        <f ca="1">IFERROR(__xludf.DUMMYFUNCTION("GOOGLETRANSLATE(B1546,""es"",""en"")"),"RT @Agencia_Andina: Las Bambas: today the Executive, community members and mining company are in dialogue https://t.co/Fk0Zxg04cI https://t.co/vv5s1xmO19")</f>
        <v>RT @Agencia_Andina: Las Bambas: today the Executive, community members and mining company are in dialogue https://t.co/Fk0Zxg04cI https://t.co/vv5s1xmO19</v>
      </c>
      <c r="C1546" s="2" t="s">
        <v>3646</v>
      </c>
      <c r="D1546" s="1" t="s">
        <v>3647</v>
      </c>
    </row>
    <row r="1547" spans="1:4" x14ac:dyDescent="0.15">
      <c r="A1547" s="1" t="s">
        <v>3648</v>
      </c>
      <c r="B1547" s="3" t="str">
        <f ca="1">IFERROR(__xludf.DUMMYFUNCTION("GOOGLETRANSLATE(B1547,""es"",""en"")"),"RT @RPPNoticias: https://t.co/nb9J1CS1KE
In the audio to which RPP Noticias had access, Chávez Sotelo tells community members from Fuerabamba to blame the police for having burned their own tents in a confrontation that occurred in January.")</f>
        <v>RT @RPPNoticias: https://t.co/nb9J1CS1KE
In the audio to which RPP Noticias had access, Chávez Sotelo tells community members from Fuerabamba to blame the police for having burned their own tents in a confrontation that occurred in January.</v>
      </c>
      <c r="C1547" s="2" t="s">
        <v>3649</v>
      </c>
      <c r="D1547" s="1" t="s">
        <v>3650</v>
      </c>
    </row>
    <row r="1548" spans="1:4" x14ac:dyDescent="0.15">
      <c r="A1548" s="1" t="s">
        <v>3651</v>
      </c>
      <c r="B1548" s="3" t="str">
        <f ca="1">IFERROR(__xludf.DUMMYFUNCTION("GOOGLETRANSLATE(B1548,""es"",""en"")"),"Sneakers, sneakers and flip flops https://t.co/NC0kRg4WPo")</f>
        <v>Sneakers, sneakers and flip flops https://t.co/NC0kRg4WPo</v>
      </c>
      <c r="C1548" s="2" t="s">
        <v>3652</v>
      </c>
      <c r="D1548" s="1" t="s">
        <v>3653</v>
      </c>
    </row>
    <row r="1549" spans="1:4" x14ac:dyDescent="0.15">
      <c r="A1549" s="1" t="s">
        <v>3654</v>
      </c>
      <c r="B1549" s="3" t="str">
        <f ca="1">IFERROR(__xludf.DUMMYFUNCTION("GOOGLETRANSLATE(B1549,""es"",""en"")"),"@RoriksenG alapargata sneakers flip flops/flip flops")</f>
        <v>@RoriksenG alapargata sneakers flip flops/flip flops</v>
      </c>
      <c r="C1549" s="2" t="s">
        <v>3655</v>
      </c>
      <c r="D1549" s="1" t="s">
        <v>3656</v>
      </c>
    </row>
    <row r="1550" spans="1:4" x14ac:dyDescent="0.15">
      <c r="A1550" s="1" t="s">
        <v>3657</v>
      </c>
      <c r="B1550" s="3" t="str">
        <f ca="1">IFERROR(__xludf.DUMMYFUNCTION("GOOGLETRANSLATE(B1550,""es"",""en"")"),"RT @Agencia_Andina: Las Bambas: today the Executive, community members and mining company are in dialogue https://t.co/Fk0Zxg04cI https://t.co/vv5s1xmO19")</f>
        <v>RT @Agencia_Andina: Las Bambas: today the Executive, community members and mining company are in dialogue https://t.co/Fk0Zxg04cI https://t.co/vv5s1xmO19</v>
      </c>
      <c r="C1550" s="2" t="s">
        <v>3658</v>
      </c>
      <c r="D1550" s="1" t="s">
        <v>3659</v>
      </c>
    </row>
    <row r="1551" spans="1:4" x14ac:dyDescent="0.15">
      <c r="A1551" s="1" t="s">
        <v>3660</v>
      </c>
      <c r="B1551" s="3" t="str">
        <f ca="1">IFERROR(__xludf.DUMMYFUNCTION("GOOGLETRANSLATE(B1551,""es"",""en"")"),"Sneakers, sneakers, flip flops. https://t.co/5cQVaStRiW")</f>
        <v>Sneakers, sneakers, flip flops. https://t.co/5cQVaStRiW</v>
      </c>
      <c r="C1551" s="2" t="s">
        <v>3661</v>
      </c>
      <c r="D1551" s="1" t="s">
        <v>3662</v>
      </c>
    </row>
    <row r="1552" spans="1:4" x14ac:dyDescent="0.15">
      <c r="A1552" s="1" t="s">
        <v>3663</v>
      </c>
      <c r="B1552" s="3" t="str">
        <f ca="1">IFERROR(__xludf.DUMMYFUNCTION("GOOGLETRANSLATE(B1552,""es"",""en"")"),"RT @soyconchaentro: There are people simply calling fucking walking shoes slippers while they call fucking slippers tennis or sneakers?????????????????????? ? https://t.co/WqKeIGuCPl")</f>
        <v>RT @soyconchaentro: There are people simply calling fucking walking shoes slippers while they call fucking slippers tennis or sneakers?????????????????????? ? https://t.co/WqKeIGuCPl</v>
      </c>
      <c r="C1552" s="2" t="s">
        <v>3664</v>
      </c>
      <c r="D1552" s="1" t="s">
        <v>3665</v>
      </c>
    </row>
    <row r="1553" spans="1:4" x14ac:dyDescent="0.15">
      <c r="A1553" s="1" t="s">
        <v>3666</v>
      </c>
      <c r="B1553" s="3" t="str">
        <f ca="1">IFERROR(__xludf.DUMMYFUNCTION("GOOGLETRANSLATE(B1553,""es"",""en"")"),"Sneakers
House slippers 
Flip flops https://t.co/djXlPSRKWm")</f>
        <v>Sneakers
House slippers 
Flip flops https://t.co/djXlPSRKWm</v>
      </c>
      <c r="C1553" s="2" t="s">
        <v>3667</v>
      </c>
      <c r="D1553" s="1" t="s">
        <v>3668</v>
      </c>
    </row>
    <row r="1554" spans="1:4" x14ac:dyDescent="0.15">
      <c r="A1554" s="1" t="s">
        <v>3669</v>
      </c>
      <c r="B1554" s="3" t="str">
        <f ca="1">IFERROR(__xludf.DUMMYFUNCTION("GOOGLETRANSLATE(B1554,""es"",""en"")"),"1) sneakers 
2) slippers 
3) flip flops https://t.co/dLy12hu0yT")</f>
        <v>1) sneakers 
2) slippers 
3) flip flops https://t.co/dLy12hu0yT</v>
      </c>
      <c r="C1554" s="2" t="s">
        <v>3670</v>
      </c>
      <c r="D1554" s="1" t="s">
        <v>3671</v>
      </c>
    </row>
    <row r="1555" spans="1:4" x14ac:dyDescent="0.15">
      <c r="A1555" s="1" t="s">
        <v>3672</v>
      </c>
      <c r="B1555" s="3" t="str">
        <f ca="1">IFERROR(__xludf.DUMMYFUNCTION("GOOGLETRANSLATE(B1555,""es"",""en"")"),"Sneakers, house slippers, flip flops https://t.co/i6Vkw8tZSM")</f>
        <v>Sneakers, house slippers, flip flops https://t.co/i6Vkw8tZSM</v>
      </c>
      <c r="C1555" s="2" t="s">
        <v>3673</v>
      </c>
      <c r="D1555" s="1" t="s">
        <v>3674</v>
      </c>
    </row>
    <row r="1556" spans="1:4" x14ac:dyDescent="0.15">
      <c r="A1556" s="1" t="s">
        <v>3675</v>
      </c>
      <c r="B1556" s="3" t="str">
        <f ca="1">IFERROR(__xludf.DUMMYFUNCTION("GOOGLETRANSLATE(B1556,""es"",""en"")"),"sneakers
House slippers
flip flops https://t.co/HcGQDVCjY9")</f>
        <v>sneakers
House slippers
flip flops https://t.co/HcGQDVCjY9</v>
      </c>
      <c r="C1556" s="2" t="s">
        <v>3676</v>
      </c>
      <c r="D1556" s="1" t="s">
        <v>3677</v>
      </c>
    </row>
    <row r="1557" spans="1:4" x14ac:dyDescent="0.15">
      <c r="A1557" s="1" t="s">
        <v>2628</v>
      </c>
      <c r="B1557" s="3" t="str">
        <f ca="1">IFERROR(__xludf.DUMMYFUNCTION("GOOGLETRANSLATE(B1557,""es"",""en"")"),"sneakers 
sneakers 
flip flops https://t.co/T1ESli9kDt")</f>
        <v>sneakers 
sneakers 
flip flops https://t.co/T1ESli9kDt</v>
      </c>
      <c r="C1557" s="2" t="s">
        <v>3678</v>
      </c>
      <c r="D1557" s="1" t="s">
        <v>3679</v>
      </c>
    </row>
    <row r="1558" spans="1:4" x14ac:dyDescent="0.15">
      <c r="A1558" s="1" t="s">
        <v>3680</v>
      </c>
      <c r="B1558" s="3" t="str">
        <f ca="1">IFERROR(__xludf.DUMMYFUNCTION("GOOGLETRANSLATE(B1558,""es"",""en"")"),"Spaniards being Spaniards fighting over the different ways to call sneakers/tennis/sneakers... Or well known as synonyms")</f>
        <v>Spaniards being Spaniards fighting over the different ways to call sneakers/tennis/sneakers... Or well known as synonyms</v>
      </c>
      <c r="C1558" s="2" t="s">
        <v>3681</v>
      </c>
      <c r="D1558" s="1" t="s">
        <v>3682</v>
      </c>
    </row>
    <row r="1559" spans="1:4" x14ac:dyDescent="0.15">
      <c r="A1559" s="1" t="s">
        <v>3683</v>
      </c>
      <c r="B1559" s="3" t="str">
        <f ca="1">IFERROR(__xludf.DUMMYFUNCTION("GOOGLETRANSLATE(B1559,""es"",""en"")"),"@LadyTyphlosion Sneakers, slippers, flip flops")</f>
        <v>@LadyTyphlosion Sneakers, slippers, flip flops</v>
      </c>
      <c r="C1559" s="2" t="s">
        <v>3684</v>
      </c>
      <c r="D1559" s="1" t="s">
        <v>3685</v>
      </c>
    </row>
    <row r="1560" spans="1:4" x14ac:dyDescent="0.15">
      <c r="A1560" s="1" t="s">
        <v>3686</v>
      </c>
      <c r="B1560" s="3" t="str">
        <f ca="1">IFERROR(__xludf.DUMMYFUNCTION("GOOGLETRANSLATE(B1560,""es"",""en"")"),"@MiriamDakirFCB Nonononono
1- Sneakers
2- Sneakers
3- flip flops")</f>
        <v>@MiriamDakirFCB Nonononono
1- Sneakers
2- Sneakers
3- flip flops</v>
      </c>
      <c r="C1560" s="2" t="s">
        <v>3687</v>
      </c>
      <c r="D1560" s="1" t="s">
        <v>3685</v>
      </c>
    </row>
    <row r="1561" spans="1:4" x14ac:dyDescent="0.15">
      <c r="A1561" s="1" t="s">
        <v>3688</v>
      </c>
      <c r="B1561" s="3" t="str">
        <f ca="1">IFERROR(__xludf.DUMMYFUNCTION("GOOGLETRANSLATE(B1561,""es"",""en"")"),"@LadyTyphlosion 1 sneakers,
2 slippers, 
3 flip flops")</f>
        <v>@LadyTyphlosion 1 sneakers,
2 slippers, 
3 flip flops</v>
      </c>
      <c r="C1561" s="2" t="s">
        <v>3689</v>
      </c>
      <c r="D1561" s="1" t="s">
        <v>3685</v>
      </c>
    </row>
    <row r="1562" spans="1:4" x14ac:dyDescent="0.15">
      <c r="A1562" s="1" t="s">
        <v>710</v>
      </c>
      <c r="B1562" s="3" t="str">
        <f ca="1">IFERROR(__xludf.DUMMYFUNCTION("GOOGLETRANSLATE(B1562,""es"",""en"")"),"Video: What happens in Las Bambas? Mónica Sánchez explains it to you | https://t.co/RdqYJEsY3i")</f>
        <v>Video: What happens in Las Bambas? Mónica Sánchez explains it to you | https://t.co/RdqYJEsY3i</v>
      </c>
      <c r="C1562" s="2" t="s">
        <v>3690</v>
      </c>
      <c r="D1562" s="1" t="s">
        <v>3691</v>
      </c>
    </row>
    <row r="1563" spans="1:4" x14ac:dyDescent="0.15">
      <c r="A1563" s="1" t="s">
        <v>3692</v>
      </c>
      <c r="B1563" s="3" t="str">
        <f ca="1">IFERROR(__xludf.DUMMYFUNCTION("GOOGLETRANSLATE(B1563,""es"",""en"")"),"sneakers, sneakers and flip flops https://t.co/7ZZfBGedEP")</f>
        <v>sneakers, sneakers and flip flops https://t.co/7ZZfBGedEP</v>
      </c>
      <c r="C1563" s="2" t="s">
        <v>3693</v>
      </c>
      <c r="D1563" s="1" t="s">
        <v>3691</v>
      </c>
    </row>
    <row r="1564" spans="1:4" x14ac:dyDescent="0.15">
      <c r="A1564" s="1" t="s">
        <v>3694</v>
      </c>
      <c r="B1564" s="3" t="str">
        <f ca="1">IFERROR(__xludf.DUMMYFUNCTION("GOOGLETRANSLATE(B1564,""es"",""en"")"),"And when do you call them sneakers? it seems like you are talking about LA bamba")</f>
        <v>And when do you call them sneakers? it seems like you are talking about LA bamba</v>
      </c>
      <c r="C1564" s="2" t="s">
        <v>3695</v>
      </c>
      <c r="D1564" s="1" t="s">
        <v>3696</v>
      </c>
    </row>
    <row r="1565" spans="1:4" x14ac:dyDescent="0.15">
      <c r="A1565" s="1" t="s">
        <v>3697</v>
      </c>
      <c r="B1565" s="3" t="str">
        <f ca="1">IFERROR(__xludf.DUMMYFUNCTION("GOOGLETRANSLATE(B1565,""es"",""en"")"),"I have never said the word sneaker in my life, sneakers from my entire fucking life weigh in")</f>
        <v>I have never said the word sneaker in my life, sneakers from my entire fucking life weigh in</v>
      </c>
      <c r="C1565" s="2" t="s">
        <v>3698</v>
      </c>
      <c r="D1565" s="1" t="s">
        <v>3696</v>
      </c>
    </row>
    <row r="1566" spans="1:4" x14ac:dyDescent="0.15">
      <c r="A1566" s="1" t="s">
        <v>3697</v>
      </c>
      <c r="B1566" s="3" t="str">
        <f ca="1">IFERROR(__xludf.DUMMYFUNCTION("GOOGLETRANSLATE(B1566,""es"",""en"")"),"@Noentemo Bambas
Sneakers
Flip flops")</f>
        <v>@Noentemo Bambas
Sneakers
Flip flops</v>
      </c>
      <c r="C1566" s="2" t="s">
        <v>3699</v>
      </c>
      <c r="D1566" s="1" t="s">
        <v>3696</v>
      </c>
    </row>
    <row r="1567" spans="1:4" x14ac:dyDescent="0.15">
      <c r="A1567" s="1" t="s">
        <v>3700</v>
      </c>
      <c r="B1567" s="3" t="str">
        <f ca="1">IFERROR(__xludf.DUMMYFUNCTION("GOOGLETRANSLATE(B1567,""es"",""en"")"),"RT @DeniseNunes321: So I wanted to tan a dance that I hope to be very crazy about knowing how to wear sneakers the next day.😩😏")</f>
        <v>RT @DeniseNunes321: So I wanted to tan a dance that I hope to be very crazy about knowing how to wear sneakers the next day.😩😏</v>
      </c>
      <c r="C1567" s="2" t="s">
        <v>3701</v>
      </c>
      <c r="D1567" s="1" t="s">
        <v>3702</v>
      </c>
    </row>
    <row r="1568" spans="1:4" x14ac:dyDescent="0.15">
      <c r="A1568" s="1" t="s">
        <v>3703</v>
      </c>
      <c r="B1568" s="3" t="str">
        <f ca="1">IFERROR(__xludf.DUMMYFUNCTION("GOOGLETRANSLATE(B1568,""es"",""en"")"),"RT @Noentemo: I WANT TO ENTER 
TO YOUR PLACE WITH SNEAKERS/TENNIS/SNEAKERS/SHIRTS
DON'T LOOK AT ME BADLY WHEN PASSING BY https://t.co/WeZ6KDofgh")</f>
        <v>RT @Noentemo: I WANT TO ENTER 
TO YOUR PLACE WITH SNEAKERS/TENNIS/SNEAKERS/SHIRTS
DON'T LOOK AT ME BADLY WHEN PASSING BY https://t.co/WeZ6KDofgh</v>
      </c>
      <c r="C1568" s="2" t="s">
        <v>3704</v>
      </c>
      <c r="D1568" s="1" t="s">
        <v>3705</v>
      </c>
    </row>
    <row r="1569" spans="1:4" x14ac:dyDescent="0.15">
      <c r="A1569" s="1" t="s">
        <v>3706</v>
      </c>
      <c r="B1569" s="3" t="str">
        <f ca="1">IFERROR(__xludf.DUMMYFUNCTION("GOOGLETRANSLATE(B1569,""es"",""en"")"),"@JaRibasOl I accept any other stupid way of calling them like t-shirts or sneakers, but tennis is simply ridiculous.")</f>
        <v>@JaRibasOl I accept any other stupid way of calling them like t-shirts or sneakers, but tennis is simply ridiculous.</v>
      </c>
      <c r="C1569" s="2" t="s">
        <v>3707</v>
      </c>
      <c r="D1569" s="1" t="s">
        <v>3705</v>
      </c>
    </row>
    <row r="1570" spans="1:4" x14ac:dyDescent="0.15">
      <c r="A1570" s="1" t="s">
        <v>3708</v>
      </c>
      <c r="B1570" s="3" t="str">
        <f ca="1">IFERROR(__xludf.DUMMYFUNCTION("GOOGLETRANSLATE(B1570,""es"",""en"")"),"@atvmasnoticias Be more concerned about what happens in the sneakers where women and children are being mistreated, raise your voice of protest there, defend that jam.")</f>
        <v>@atvmasnoticias Be more concerned about what happens in the sneakers where women and children are being mistreated, raise your voice of protest there, defend that jam.</v>
      </c>
      <c r="C1570" s="2" t="s">
        <v>3709</v>
      </c>
      <c r="D1570" s="1" t="s">
        <v>3710</v>
      </c>
    </row>
    <row r="1571" spans="1:4" x14ac:dyDescent="0.15">
      <c r="A1571" s="1" t="s">
        <v>3711</v>
      </c>
      <c r="B1571" s="3" t="str">
        <f ca="1">IFERROR(__xludf.DUMMYFUNCTION("GOOGLETRANSLATE(B1571,""es"",""en"")"),"sneakers
slippers
flip flops https://t.co/lOanQYSqDF")</f>
        <v>sneakers
slippers
flip flops https://t.co/lOanQYSqDF</v>
      </c>
      <c r="C1571" s="2" t="s">
        <v>3712</v>
      </c>
      <c r="D1571" s="1" t="s">
        <v>3713</v>
      </c>
    </row>
    <row r="1572" spans="1:4" x14ac:dyDescent="0.15">
      <c r="A1572" s="1" t="s">
        <v>544</v>
      </c>
      <c r="B1572" s="3" t="str">
        <f ca="1">IFERROR(__xludf.DUMMYFUNCTION("GOOGLETRANSLATE(B1572,""es"",""en"")"),"WHY DOES THE MINISTER OF TRANSPORT CONTINUE IN HIS POSITION? SHOULD HE HAVE LEFT BECAUSE OF THE 17 DEATHS AND DECLARATE THE LAS BAMBAS HIGHWAY A NATIONAL ROAD")</f>
        <v>WHY DOES THE MINISTER OF TRANSPORT CONTINUE IN HIS POSITION? SHOULD HE HAVE LEFT BECAUSE OF THE 17 DEATHS AND DECLARATE THE LAS BAMBAS HIGHWAY A NATIONAL ROAD</v>
      </c>
      <c r="C1572" s="2" t="s">
        <v>3714</v>
      </c>
      <c r="D1572" s="1" t="s">
        <v>3713</v>
      </c>
    </row>
    <row r="1573" spans="1:4" x14ac:dyDescent="0.15">
      <c r="A1573" s="1" t="s">
        <v>3715</v>
      </c>
      <c r="B1573" s="3" t="str">
        <f ca="1">IFERROR(__xludf.DUMMYFUNCTION("GOOGLETRANSLATE(B1573,""es"",""en"")"),"Sneakers
Sneakers
Flip flops https://t.co/OtoJetjhro")</f>
        <v>Sneakers
Sneakers
Flip flops https://t.co/OtoJetjhro</v>
      </c>
      <c r="C1573" s="2" t="s">
        <v>3716</v>
      </c>
      <c r="D1573" s="1" t="s">
        <v>3713</v>
      </c>
    </row>
    <row r="1574" spans="1:4" x14ac:dyDescent="0.15">
      <c r="A1574" s="1" t="s">
        <v>3717</v>
      </c>
      <c r="B1574" s="3" t="str">
        <f ca="1">IFERROR(__xludf.DUMMYFUNCTION("GOOGLETRANSLATE(B1574,""es"",""en"")"),"RT @Noentemo: I WANT TO ENTER 
TO YOUR PLACE WITH SNEAKERS/TENNIS/SNEAKERS/SHIRTS
DON'T LOOK AT ME BADLY WHEN PASSING BY https://t.co/WeZ6KDofgh")</f>
        <v>RT @Noentemo: I WANT TO ENTER 
TO YOUR PLACE WITH SNEAKERS/TENNIS/SNEAKERS/SHIRTS
DON'T LOOK AT ME BADLY WHEN PASSING BY https://t.co/WeZ6KDofgh</v>
      </c>
      <c r="C1574" s="2" t="s">
        <v>3718</v>
      </c>
      <c r="D1574" s="1" t="s">
        <v>3719</v>
      </c>
    </row>
    <row r="1575" spans="1:4" x14ac:dyDescent="0.15">
      <c r="A1575" s="1" t="s">
        <v>2408</v>
      </c>
      <c r="B1575" s="3" t="str">
        <f ca="1">IFERROR(__xludf.DUMMYFUNCTION("GOOGLETRANSLATE(B1575,""es"",""en"")"),"Vizcarra hides from the Las Bambas conflict. There are no longer 38 but 53 communities in Abancay and Cusco, with their own claims to the mining company and the government. Today the southern defense fronts meet in Moquegua to organize a strike in the ""m"&amp;"acro south.""
via @ExpresoPeru https://t.co/EWmmsubIXA")</f>
        <v>Vizcarra hides from the Las Bambas conflict. There are no longer 38 but 53 communities in Abancay and Cusco, with their own claims to the mining company and the government. Today the southern defense fronts meet in Moquegua to organize a strike in the "macro south."
via @ExpresoPeru https://t.co/EWmmsubIXA</v>
      </c>
      <c r="C1575" s="2" t="s">
        <v>3720</v>
      </c>
      <c r="D1575" s="1" t="s">
        <v>3721</v>
      </c>
    </row>
    <row r="1576" spans="1:4" x14ac:dyDescent="0.15">
      <c r="A1576" s="1" t="s">
        <v>3722</v>
      </c>
      <c r="B1576" s="3" t="str">
        <f ca="1">IFERROR(__xludf.DUMMYFUNCTION("GOOGLETRANSLATE(B1576,""es"",""en"")"),"RT @xafu: Vizcarra hides from the Las Bambas conflict. There are no longer 38 but 53 communities in Abancay and Cusco, with their own claims to the mining company and the government. Today the southern defense fronts meet in Moquegua to organize a strike "&amp;"in the ""macro south.""
via @ExpresoPeru https://t.co/EWmmsubIXA")</f>
        <v>RT @xafu: Vizcarra hides from the Las Bambas conflict. There are no longer 38 but 53 communities in Abancay and Cusco, with their own claims to the mining company and the government. Today the southern defense fronts meet in Moquegua to organize a strike in the "macro south."
via @ExpresoPeru https://t.co/EWmmsubIXA</v>
      </c>
      <c r="C1576" s="2" t="s">
        <v>3723</v>
      </c>
      <c r="D1576" s="1" t="s">
        <v>3724</v>
      </c>
    </row>
    <row r="1577" spans="1:4" x14ac:dyDescent="0.15">
      <c r="A1577" s="1" t="s">
        <v>3725</v>
      </c>
      <c r="B1577" s="3" t="str">
        <f ca="1">IFERROR(__xludf.DUMMYFUNCTION("GOOGLETRANSLATE(B1577,""es"",""en"")"),"This is the guy who walked around inside the congress and on all the television channels. His mission was to denounce the then president Humala and that was to the liking of Fujialanism. https://t.co/8eR27fB052")</f>
        <v>This is the guy who walked around inside the congress and on all the television channels. His mission was to denounce the then president Humala and that was to the liking of Fujialanism. https://t.co/8eR27fB052</v>
      </c>
      <c r="C1577" s="2" t="s">
        <v>3726</v>
      </c>
      <c r="D1577" s="1" t="s">
        <v>3727</v>
      </c>
    </row>
    <row r="1578" spans="1:4" x14ac:dyDescent="0.15">
      <c r="A1578" s="1" t="s">
        <v>3728</v>
      </c>
      <c r="B1578" s="3" t="str">
        <f ca="1">IFERROR(__xludf.DUMMYFUNCTION("GOOGLETRANSLATE(B1578,""es"",""en"")"),"RT @emmaesar: sneakers
slippers
flip flops https://t.co/lOanQYSqDF")</f>
        <v>RT @emmaesar: sneakers
slippers
flip flops https://t.co/lOanQYSqDF</v>
      </c>
      <c r="C1578" s="2" t="s">
        <v>3729</v>
      </c>
      <c r="D1578" s="1" t="s">
        <v>3727</v>
      </c>
    </row>
    <row r="1579" spans="1:4" x14ac:dyDescent="0.15">
      <c r="A1579" s="1" t="s">
        <v>635</v>
      </c>
      <c r="B1579" s="3" t="str">
        <f ca="1">IFERROR(__xludf.DUMMYFUNCTION("GOOGLETRANSLATE(B1579,""es"",""en"")"),"RT @aspauzarazuri: This is the guy who walked around inside the congress and on all the television channels. His mission was to denounce the then president Humala and that was to the liking of Fujialanism. https://t.co/8eR27fB052")</f>
        <v>RT @aspauzarazuri: This is the guy who walked around inside the congress and on all the television channels. His mission was to denounce the then president Humala and that was to the liking of Fujialanism. https://t.co/8eR27fB052</v>
      </c>
      <c r="C1579" s="2" t="s">
        <v>3730</v>
      </c>
      <c r="D1579" s="1" t="s">
        <v>3731</v>
      </c>
    </row>
    <row r="1580" spans="1:4" x14ac:dyDescent="0.15">
      <c r="A1580" s="1" t="s">
        <v>3732</v>
      </c>
      <c r="B1580" s="3" t="str">
        <f ca="1">IFERROR(__xludf.DUMMYFUNCTION("GOOGLETRANSLATE(B1580,""es"",""en"")"),"All sneakers https://t.co/H0ZUNE9WGY")</f>
        <v>All sneakers https://t.co/H0ZUNE9WGY</v>
      </c>
      <c r="C1580" s="2" t="s">
        <v>3733</v>
      </c>
      <c r="D1580" s="1" t="s">
        <v>3731</v>
      </c>
    </row>
    <row r="1581" spans="1:4" x14ac:dyDescent="0.15">
      <c r="A1581" s="1" t="s">
        <v>3734</v>
      </c>
      <c r="B1581" s="3" t="str">
        <f ca="1">IFERROR(__xludf.DUMMYFUNCTION("GOOGLETRANSLATE(B1581,""es"",""en"")"),"@melomoreno 1)Sambas
2)Slippers
3)Flip flops")</f>
        <v>@melomoreno 1)Sambas
2)Slippers
3)Flip flops</v>
      </c>
      <c r="C1581" s="2" t="s">
        <v>3735</v>
      </c>
      <c r="D1581" s="1" t="s">
        <v>3736</v>
      </c>
    </row>
    <row r="1582" spans="1:4" x14ac:dyDescent="0.15">
      <c r="A1582" s="1" t="s">
        <v>3737</v>
      </c>
      <c r="B1582" s="3" t="str">
        <f ca="1">IFERROR(__xludf.DUMMYFUNCTION("GOOGLETRANSLATE(B1582,""es"",""en"")"),"RT @melomoreno: 1) Sneakers
2) Sneakers
3) Flip flops https://t.co/bqmZwfT3XU")</f>
        <v>RT @melomoreno: 1) Sneakers
2) Sneakers
3) Flip flops https://t.co/bqmZwfT3XU</v>
      </c>
      <c r="C1582" s="2" t="s">
        <v>3738</v>
      </c>
      <c r="D1582" s="1" t="s">
        <v>3736</v>
      </c>
    </row>
    <row r="1583" spans="1:4" x14ac:dyDescent="0.15">
      <c r="A1583" s="1" t="s">
        <v>3739</v>
      </c>
      <c r="B1583" s="3" t="str">
        <f ca="1">IFERROR(__xludf.DUMMYFUNCTION("GOOGLETRANSLATE(B1583,""es"",""en"")"),"Sneakers 
Sneakers
Flip flops https://t.co/rZAHsmkjuh")</f>
        <v>Sneakers 
Sneakers
Flip flops https://t.co/rZAHsmkjuh</v>
      </c>
      <c r="C1583" s="2" t="s">
        <v>3740</v>
      </c>
      <c r="D1583" s="1" t="s">
        <v>3736</v>
      </c>
    </row>
    <row r="1584" spans="1:4" x14ac:dyDescent="0.15">
      <c r="A1584" s="1" t="s">
        <v>3741</v>
      </c>
      <c r="B1584" s="3" t="str">
        <f ca="1">IFERROR(__xludf.DUMMYFUNCTION("GOOGLETRANSLATE(B1584,""es"",""en"")"),"RT @CholinAlberto: @exitosape @yoni3556_luis This is the best popularity strategy: He goes to Las Bambas with the sign that he did nothing of what he promised when he was head of MTC, he throws mud at his predecessor - mentor, and then he carries document"&amp;"s where supposedly now he is already taking action... TOTAL THEATRALITY. https://t.co/3Tdya3vn0r")</f>
        <v>RT @CholinAlberto: @exitosape @yoni3556_luis This is the best popularity strategy: He goes to Las Bambas with the sign that he did nothing of what he promised when he was head of MTC, he throws mud at his predecessor - mentor, and then he carries documents where supposedly now he is already taking action... TOTAL THEATRALITY. https://t.co/3Tdya3vn0r</v>
      </c>
      <c r="C1584" s="2" t="s">
        <v>3742</v>
      </c>
      <c r="D1584" s="1" t="s">
        <v>3736</v>
      </c>
    </row>
    <row r="1585" spans="1:4" x14ac:dyDescent="0.15">
      <c r="A1585" s="1" t="s">
        <v>3743</v>
      </c>
      <c r="B1585" s="3" t="str">
        <f ca="1">IFERROR(__xludf.DUMMYFUNCTION("GOOGLETRANSLATE(B1585,""es"",""en"")"),"@ladybenko around here it is usually said:
1. Sneakers
2. Sneakers
3. Flip flops")</f>
        <v>@ladybenko around here it is usually said:
1. Sneakers
2. Sneakers
3. Flip flops</v>
      </c>
      <c r="C1585" s="2" t="s">
        <v>3744</v>
      </c>
      <c r="D1585" s="1" t="s">
        <v>3745</v>
      </c>
    </row>
    <row r="1586" spans="1:4" x14ac:dyDescent="0.15">
      <c r="A1586" s="1" t="s">
        <v>3746</v>
      </c>
      <c r="B1586" s="3" t="str">
        <f ca="1">IFERROR(__xludf.DUMMYFUNCTION("GOOGLETRANSLATE(B1586,""es"",""en"")"),"RT @melomoreno: 1) Sneakers
2) Sneakers
3) Flip flops https://t.co/bqmZwfT3XU")</f>
        <v>RT @melomoreno: 1) Sneakers
2) Sneakers
3) Flip flops https://t.co/bqmZwfT3XU</v>
      </c>
      <c r="C1586" s="2" t="s">
        <v>3747</v>
      </c>
      <c r="D1586" s="1" t="s">
        <v>3745</v>
      </c>
    </row>
    <row r="1587" spans="1:4" x14ac:dyDescent="0.15">
      <c r="A1587" s="1" t="s">
        <v>3748</v>
      </c>
      <c r="B1587" s="3" t="str">
        <f ca="1">IFERROR(__xludf.DUMMYFUNCTION("GOOGLETRANSLATE(B1587,""es"",""en"")"),"RT @melomoreno: 1) Sneakers
2) Sneakers
3) Flip flops https://t.co/bqmZwfT3XU")</f>
        <v>RT @melomoreno: 1) Sneakers
2) Sneakers
3) Flip flops https://t.co/bqmZwfT3XU</v>
      </c>
      <c r="C1587" s="2" t="s">
        <v>3749</v>
      </c>
      <c r="D1587" s="1" t="s">
        <v>3745</v>
      </c>
    </row>
    <row r="1588" spans="1:4" x14ac:dyDescent="0.15">
      <c r="A1588" s="1" t="s">
        <v>3750</v>
      </c>
      <c r="B1588" s="3" t="str">
        <f ca="1">IFERROR(__xludf.DUMMYFUNCTION("GOOGLETRANSLATE(B1588,""es"",""en"")"),"The first are sneakers and the other two are what my mother threatens me with when we disagree. https://t.co/FWOtVXNRAD")</f>
        <v>The first are sneakers and the other two are what my mother threatens me with when we disagree. https://t.co/FWOtVXNRAD</v>
      </c>
      <c r="C1588" s="2" t="s">
        <v>3751</v>
      </c>
      <c r="D1588" s="1" t="s">
        <v>3745</v>
      </c>
    </row>
    <row r="1589" spans="1:4" x14ac:dyDescent="0.15">
      <c r="A1589" s="1" t="s">
        <v>2959</v>
      </c>
      <c r="B1589" s="3" t="str">
        <f ca="1">IFERROR(__xludf.DUMMYFUNCTION("GOOGLETRANSLATE(B1589,""es"",""en"")"),"RT @TuKuyRiKuy4: I vote with distrust for a cabinet and prime minister who forgot to tell us how he will solve the problem of Las Bambas and about the immoral waste of S/1,650 million in consultancies that only serve to enrich that caviarate accustomed to"&amp;" living off State tit https://t.co/tAR1KJQEmu")</f>
        <v>RT @TuKuyRiKuy4: I vote with distrust for a cabinet and prime minister who forgot to tell us how he will solve the problem of Las Bambas and about the immoral waste of S/1,650 million in consultancies that only serve to enrich that caviarate accustomed to living off State tit https://t.co/tAR1KJQEmu</v>
      </c>
      <c r="C1589" s="2" t="s">
        <v>3752</v>
      </c>
      <c r="D1589" s="1" t="s">
        <v>3745</v>
      </c>
    </row>
    <row r="1590" spans="1:4" x14ac:dyDescent="0.15">
      <c r="A1590" s="1" t="s">
        <v>3753</v>
      </c>
      <c r="B1590" s="3" t="str">
        <f ca="1">IFERROR(__xludf.DUMMYFUNCTION("GOOGLETRANSLATE(B1590,""es"",""en"")"),"@helensitta Bambas yes")</f>
        <v>@helensitta Bambas yes</v>
      </c>
      <c r="C1590" s="2" t="s">
        <v>3754</v>
      </c>
      <c r="D1590" s="1" t="s">
        <v>3745</v>
      </c>
    </row>
    <row r="1591" spans="1:4" x14ac:dyDescent="0.15">
      <c r="A1591" s="1" t="s">
        <v>3331</v>
      </c>
      <c r="B1591" s="3" t="str">
        <f ca="1">IFERROR(__xludf.DUMMYFUNCTION("GOOGLETRANSLATE(B1591,""es"",""en"")"),"RT @melomoreno: 1) Sneakers
2) Sneakers
3) Flip flops https://t.co/bqmZwfT3XU")</f>
        <v>RT @melomoreno: 1) Sneakers
2) Sneakers
3) Flip flops https://t.co/bqmZwfT3XU</v>
      </c>
      <c r="C1591" s="2" t="s">
        <v>3755</v>
      </c>
      <c r="D1591" s="1" t="s">
        <v>3745</v>
      </c>
    </row>
    <row r="1592" spans="1:4" x14ac:dyDescent="0.15">
      <c r="A1592" s="1" t="s">
        <v>3756</v>
      </c>
      <c r="B1592" s="3" t="str">
        <f ca="1">IFERROR(__xludf.DUMMYFUNCTION("GOOGLETRANSLATE(B1592,""es"",""en"")"),"@Rafaelphillipe tied the legs firmly in sneakers")</f>
        <v>@Rafaelphillipe tied the legs firmly in sneakers</v>
      </c>
      <c r="C1592" s="2" t="s">
        <v>3757</v>
      </c>
      <c r="D1592" s="1" t="s">
        <v>3758</v>
      </c>
    </row>
    <row r="1593" spans="1:4" x14ac:dyDescent="0.15">
      <c r="A1593" s="1" t="s">
        <v>3759</v>
      </c>
      <c r="B1593" s="3" t="str">
        <f ca="1">IFERROR(__xludf.DUMMYFUNCTION("GOOGLETRANSLATE(B1593,""es"",""en"")"),"RT @melomoreno: 1) Sneakers
2) Sneakers
3) Flip flops https://t.co/bqmZwfT3XU")</f>
        <v>RT @melomoreno: 1) Sneakers
2) Sneakers
3) Flip flops https://t.co/bqmZwfT3XU</v>
      </c>
      <c r="C1593" s="2" t="s">
        <v>3760</v>
      </c>
      <c r="D1593" s="1" t="s">
        <v>3758</v>
      </c>
    </row>
    <row r="1594" spans="1:4" x14ac:dyDescent="0.15">
      <c r="A1594" s="1" t="s">
        <v>3761</v>
      </c>
      <c r="B1594" s="3" t="str">
        <f ca="1">IFERROR(__xludf.DUMMYFUNCTION("GOOGLETRANSLATE(B1594,""es"",""en"")"),"RT @melomoreno: 1) Sneakers
2) Sneakers
3) Flip flops https://t.co/bqmZwfT3XU")</f>
        <v>RT @melomoreno: 1) Sneakers
2) Sneakers
3) Flip flops https://t.co/bqmZwfT3XU</v>
      </c>
      <c r="C1594" s="2" t="s">
        <v>3762</v>
      </c>
      <c r="D1594" s="1" t="s">
        <v>3763</v>
      </c>
    </row>
    <row r="1595" spans="1:4" x14ac:dyDescent="0.15">
      <c r="A1595" s="1" t="s">
        <v>3764</v>
      </c>
      <c r="B1595" s="3" t="str">
        <f ca="1">IFERROR(__xludf.DUMMYFUNCTION("GOOGLETRANSLATE(B1595,""es"",""en"")"),"RT @canalN_: [LIVE] Las Bambas: Fuerabamba leaders ask that President Martín Vizcarra intercede for the release of the Chávez Sotelo brothers ►https://t.co/WAgcNzGC9I https://t.co/LpSF7OQpRF")</f>
        <v>RT @canalN_: [LIVE] Las Bambas: Fuerabamba leaders ask that President Martín Vizcarra intercede for the release of the Chávez Sotelo brothers ►https://t.co/WAgcNzGC9I https://t.co/LpSF7OQpRF</v>
      </c>
      <c r="C1595" s="2" t="s">
        <v>3765</v>
      </c>
      <c r="D1595" s="1" t="s">
        <v>3766</v>
      </c>
    </row>
    <row r="1596" spans="1:4" x14ac:dyDescent="0.15">
      <c r="A1596" s="1" t="s">
        <v>3767</v>
      </c>
      <c r="B1596" s="3" t="str">
        <f ca="1">IFERROR(__xludf.DUMMYFUNCTION("GOOGLETRANSLATE(B1596,""es"",""en"")"),"@elisagavilan Sneakers are specific types of ankle boots")</f>
        <v>@elisagavilan Sneakers are specific types of ankle boots</v>
      </c>
      <c r="C1596" s="2" t="s">
        <v>3768</v>
      </c>
      <c r="D1596" s="1" t="s">
        <v>3766</v>
      </c>
    </row>
    <row r="1597" spans="1:4" x14ac:dyDescent="0.15">
      <c r="A1597" s="1" t="s">
        <v>3769</v>
      </c>
      <c r="B1597" s="3" t="str">
        <f ca="1">IFERROR(__xludf.DUMMYFUNCTION("GOOGLETRANSLATE(B1597,""es"",""en"")"),"RT @melomoreno: 1) Sneakers
2) Sneakers
3) Flip flops https://t.co/bqmZwfT3XU")</f>
        <v>RT @melomoreno: 1) Sneakers
2) Sneakers
3) Flip flops https://t.co/bqmZwfT3XU</v>
      </c>
      <c r="C1597" s="2" t="s">
        <v>3770</v>
      </c>
      <c r="D1597" s="1" t="s">
        <v>3771</v>
      </c>
    </row>
    <row r="1598" spans="1:4" x14ac:dyDescent="0.15">
      <c r="A1598" s="1" t="s">
        <v>3772</v>
      </c>
      <c r="B1598" s="3" t="str">
        <f ca="1">IFERROR(__xludf.DUMMYFUNCTION("GOOGLETRANSLATE(B1598,""es"",""en"")"),"RT @melomoreno: 1) Sneakers
2) Sneakers
3) Flip flops https://t.co/bqmZwfT3XU")</f>
        <v>RT @melomoreno: 1) Sneakers
2) Sneakers
3) Flip flops https://t.co/bqmZwfT3XU</v>
      </c>
      <c r="C1598" s="2" t="s">
        <v>3773</v>
      </c>
      <c r="D1598" s="1" t="s">
        <v>3771</v>
      </c>
    </row>
    <row r="1599" spans="1:4" x14ac:dyDescent="0.15">
      <c r="A1599" s="1" t="s">
        <v>3774</v>
      </c>
      <c r="B1599" s="3" t="str">
        <f ca="1">IFERROR(__xludf.DUMMYFUNCTION("GOOGLETRANSLATE(B1599,""es"",""en"")"),"RT @cristinabernxl: Sneakers flip flops https://t.co/pXodzBqYIK")</f>
        <v>RT @cristinabernxl: Sneakers flip flops https://t.co/pXodzBqYIK</v>
      </c>
      <c r="C1599" s="2" t="s">
        <v>3775</v>
      </c>
      <c r="D1599" s="1" t="s">
        <v>3771</v>
      </c>
    </row>
    <row r="1600" spans="1:4" x14ac:dyDescent="0.15">
      <c r="A1600" s="1" t="s">
        <v>2879</v>
      </c>
      <c r="B1600" s="3" t="str">
        <f ca="1">IFERROR(__xludf.DUMMYFUNCTION("GOOGLETRANSLATE(B1600,""es"",""en"")"),"Las Bambas: Dialogue begins between community members, the government and the company https://t.co/EO1pSKt7LL https://t.co/7Wtyk3oN94")</f>
        <v>Las Bambas: Dialogue begins between community members, the government and the company https://t.co/EO1pSKt7LL https://t.co/7Wtyk3oN94</v>
      </c>
      <c r="C1600" s="2" t="s">
        <v>3776</v>
      </c>
      <c r="D1600" s="1" t="s">
        <v>3771</v>
      </c>
    </row>
    <row r="1601" spans="1:4" x14ac:dyDescent="0.15">
      <c r="A1601" s="1" t="s">
        <v>2879</v>
      </c>
      <c r="B1601" s="3" t="str">
        <f ca="1">IFERROR(__xludf.DUMMYFUNCTION("GOOGLETRANSLATE(B1601,""es"",""en"")"),"Communities surrounding Las Bambas are seeking dialogue, says Gregorio Rojas, president of the Fuerabamba community https://t.co/wRDSrD58r0 https://t.co/l3ron5YPah")</f>
        <v>Communities surrounding Las Bambas are seeking dialogue, says Gregorio Rojas, president of the Fuerabamba community https://t.co/wRDSrD58r0 https://t.co/l3ron5YPah</v>
      </c>
      <c r="C1601" s="2" t="s">
        <v>3777</v>
      </c>
      <c r="D1601" s="1" t="s">
        <v>3771</v>
      </c>
    </row>
    <row r="1602" spans="1:4" x14ac:dyDescent="0.15">
      <c r="A1602" s="1" t="s">
        <v>3497</v>
      </c>
      <c r="B1602" s="3" t="str">
        <f ca="1">IFERROR(__xludf.DUMMYFUNCTION("GOOGLETRANSLATE(B1602,""es"",""en"")"),"RT @Politica_LR: #THEULTIMO The dialogue on the conflict in Las Bambas begins at the headquarters of the Peruvian Episcopal Conference ► https://t.co/QpepsuJKwA https://t.co/dH6Xc5S9Om")</f>
        <v>RT @Politica_LR: #THEULTIMO The dialogue on the conflict in Las Bambas begins at the headquarters of the Peruvian Episcopal Conference ► https://t.co/QpepsuJKwA https://t.co/dH6Xc5S9Om</v>
      </c>
      <c r="C1602" s="2" t="s">
        <v>3778</v>
      </c>
      <c r="D1602" s="1" t="s">
        <v>3779</v>
      </c>
    </row>
    <row r="1603" spans="1:4" x14ac:dyDescent="0.15">
      <c r="A1603" s="1" t="s">
        <v>3780</v>
      </c>
      <c r="B1603" s="3" t="str">
        <f ca="1">IFERROR(__xludf.DUMMYFUNCTION("GOOGLETRANSLATE(B1603,""es"",""en"")"),"RT @Frospigliosi: The most serious thing of all is that the President of the Republic himself supports a group of people who are unquestionably violating the law https://t.co/InHXDnb66P")</f>
        <v>RT @Frospigliosi: The most serious thing of all is that the President of the Republic himself supports a group of people who are unquestionably violating the law https://t.co/InHXDnb66P</v>
      </c>
      <c r="C1603" s="2" t="s">
        <v>3781</v>
      </c>
      <c r="D1603" s="1" t="s">
        <v>3779</v>
      </c>
    </row>
    <row r="1604" spans="1:4" x14ac:dyDescent="0.15">
      <c r="A1604" s="1" t="s">
        <v>3782</v>
      </c>
      <c r="B1604" s="3" t="str">
        <f ca="1">IFERROR(__xludf.DUMMYFUNCTION("GOOGLETRANSLATE(B1604,""es"",""en"")"),"RT @____bryyan98: @maarioyeb 1) sneakers
2) sneakers
3) flip flops
The important thing is BAMBAS")</f>
        <v>RT @____bryyan98: @maarioyeb 1) sneakers
2) sneakers
3) flip flops
The important thing is BAMBAS</v>
      </c>
      <c r="C1604" s="2" t="s">
        <v>3783</v>
      </c>
      <c r="D1604" s="1" t="s">
        <v>3779</v>
      </c>
    </row>
    <row r="1605" spans="1:4" x14ac:dyDescent="0.15">
      <c r="A1605" s="1" t="s">
        <v>3784</v>
      </c>
      <c r="B1605" s="3" t="str">
        <f ca="1">IFERROR(__xludf.DUMMYFUNCTION("GOOGLETRANSLATE(B1605,""es"",""en"")"),"PERIODT sneakers, sneakers and flip flops. https://t.co/oaOV5PvZ7t")</f>
        <v>PERIODT sneakers, sneakers and flip flops. https://t.co/oaOV5PvZ7t</v>
      </c>
      <c r="C1605" s="2" t="s">
        <v>3785</v>
      </c>
      <c r="D1605" s="1" t="s">
        <v>3779</v>
      </c>
    </row>
    <row r="1606" spans="1:4" x14ac:dyDescent="0.15">
      <c r="A1606" s="1" t="s">
        <v>641</v>
      </c>
      <c r="B1606" s="3" t="str">
        <f ca="1">IFERROR(__xludf.DUMMYFUNCTION("GOOGLETRANSLATE(B1606,""es"",""en"")"),"RT @Frospigliosi: The most serious thing of all is that the President of the Republic himself supports a group of people who are unquestionably violating the law https://t.co/InHXDnb66P")</f>
        <v>RT @Frospigliosi: The most serious thing of all is that the President of the Republic himself supports a group of people who are unquestionably violating the law https://t.co/InHXDnb66P</v>
      </c>
      <c r="C1606" s="2" t="s">
        <v>3786</v>
      </c>
      <c r="D1606" s="1" t="s">
        <v>3779</v>
      </c>
    </row>
    <row r="1607" spans="1:4" x14ac:dyDescent="0.15">
      <c r="A1607" s="1" t="s">
        <v>2539</v>
      </c>
      <c r="B1607" s="3" t="str">
        <f ca="1">IFERROR(__xludf.DUMMYFUNCTION("GOOGLETRANSLATE(B1607,""es"",""en"")"),"RT @Frospigliosi: The most serious thing of all is that the President of the Republic himself supports a group of people who are unquestionably violating the law https://t.co/InHXDnb66P")</f>
        <v>RT @Frospigliosi: The most serious thing of all is that the President of the Republic himself supports a group of people who are unquestionably violating the law https://t.co/InHXDnb66P</v>
      </c>
      <c r="C1607" s="2" t="s">
        <v>3787</v>
      </c>
      <c r="D1607" s="1" t="s">
        <v>3779</v>
      </c>
    </row>
    <row r="1608" spans="1:4" x14ac:dyDescent="0.15">
      <c r="A1608" s="1" t="s">
        <v>3788</v>
      </c>
      <c r="B1608" s="3" t="str">
        <f ca="1">IFERROR(__xludf.DUMMYFUNCTION("GOOGLETRANSLATE(B1608,""es"",""en"")"),"RT @DialogoFe: Cardinal Cipriani: ""At this moment the role of the Church is not to be a specialist in Las Bambas. Its role is to help them talk, to not fight"" #DiálogoDeFe")</f>
        <v>RT @DialogoFe: Cardinal Cipriani: "At this moment the role of the Church is not to be a specialist in Las Bambas. Its role is to help them talk, to not fight" #DiálogoDeFe</v>
      </c>
      <c r="C1608" s="2" t="s">
        <v>3789</v>
      </c>
      <c r="D1608" s="1" t="s">
        <v>3790</v>
      </c>
    </row>
    <row r="1609" spans="1:4" x14ac:dyDescent="0.15">
      <c r="A1609" s="1" t="s">
        <v>3791</v>
      </c>
      <c r="B1609" s="3" t="str">
        <f ca="1">IFERROR(__xludf.DUMMYFUNCTION("GOOGLETRANSLATE(B1609,""es"",""en"")"),"RT @peru21noticias: #URGENT
Las Bambas: Community members demand that the complaints against them be filed and compensation be paid https://t.co/GwjGWl3tKH 
By: Fabiola Valle (@valmenfa) https://t.co/XA2hu4nuHu")</f>
        <v>RT @peru21noticias: #URGENT
Las Bambas: Community members demand that the complaints against them be filed and compensation be paid https://t.co/GwjGWl3tKH 
By: Fabiola Valle (@valmenfa) https://t.co/XA2hu4nuHu</v>
      </c>
      <c r="C1609" s="2" t="s">
        <v>3792</v>
      </c>
      <c r="D1609" s="1" t="s">
        <v>3790</v>
      </c>
    </row>
    <row r="1610" spans="1:4" x14ac:dyDescent="0.15">
      <c r="A1610" s="1" t="s">
        <v>3793</v>
      </c>
      <c r="B1610" s="3" t="str">
        <f ca="1">IFERROR(__xludf.DUMMYFUNCTION("GOOGLETRANSLATE(B1610,""es"",""en"")"),"Las Bambas: Cardinal Barreto asks for transparency and recovering dialogue https://t.co/GP9jWNXdFd")</f>
        <v>Las Bambas: Cardinal Barreto asks for transparency and recovering dialogue https://t.co/GP9jWNXdFd</v>
      </c>
      <c r="C1610" s="2" t="s">
        <v>3794</v>
      </c>
      <c r="D1610" s="1" t="s">
        <v>3790</v>
      </c>
    </row>
    <row r="1611" spans="1:4" x14ac:dyDescent="0.15">
      <c r="A1611" s="1" t="s">
        <v>3795</v>
      </c>
      <c r="B1611" s="3" t="str">
        <f ca="1">IFERROR(__xludf.DUMMYFUNCTION("GOOGLETRANSLATE(B1611,""es"",""en"")"),"RT @elscorpione1950: If @MartinVizcarraC has ZERO in reading comprehension of the Constitution (IGNORANT Bernales told him) the less he will understand the Penal Code, that is why HE VIOLATES THE LAW with the support of HIS @FiscaliaPeru. The government t"&amp;"hat does not govern by Rospigliosi https://t.co/6IkbKW3p3k via @elcomercio_peru")</f>
        <v>RT @elscorpione1950: If @MartinVizcarraC has ZERO in reading comprehension of the Constitution (IGNORANT Bernales told him) the less he will understand the Penal Code, that is why HE VIOLATES THE LAW with the support of HIS @FiscaliaPeru. The government that does not govern by Rospigliosi https://t.co/6IkbKW3p3k via @elcomercio_peru</v>
      </c>
      <c r="C1611" s="2" t="s">
        <v>3796</v>
      </c>
      <c r="D1611" s="1" t="s">
        <v>3797</v>
      </c>
    </row>
    <row r="1612" spans="1:4" x14ac:dyDescent="0.15">
      <c r="A1612" s="1" t="s">
        <v>3798</v>
      </c>
      <c r="B1612" s="3" t="str">
        <f ca="1">IFERROR(__xludf.DUMMYFUNCTION("GOOGLETRANSLATE(B1612,""es"",""en"")"),"@mjdelrio 1) Sneakers 
2) Sneakers 
3) Flip flops")</f>
        <v>@mjdelrio 1) Sneakers 
2) Sneakers 
3) Flip flops</v>
      </c>
      <c r="C1612" s="2" t="s">
        <v>3799</v>
      </c>
      <c r="D1612" s="1" t="s">
        <v>3800</v>
      </c>
    </row>
    <row r="1613" spans="1:4" x14ac:dyDescent="0.15">
      <c r="A1613" s="1" t="s">
        <v>3801</v>
      </c>
      <c r="B1613" s="3" t="str">
        <f ca="1">IFERROR(__xludf.DUMMYFUNCTION("GOOGLETRANSLATE(B1613,""es"",""en"")"),"RT @canalN_: [LIVE] Las Bambas: Fuerabamba leaders ask that President Martín Vizcarra intercede for the release of the Chávez Sotelo brothers ►https://t.co/WAgcNzGC9I https://t.co/LpSF7OQpRF")</f>
        <v>RT @canalN_: [LIVE] Las Bambas: Fuerabamba leaders ask that President Martín Vizcarra intercede for the release of the Chávez Sotelo brothers ►https://t.co/WAgcNzGC9I https://t.co/LpSF7OQpRF</v>
      </c>
      <c r="C1613" s="2" t="s">
        <v>3802</v>
      </c>
      <c r="D1613" s="1" t="s">
        <v>3800</v>
      </c>
    </row>
    <row r="1614" spans="1:4" x14ac:dyDescent="0.15">
      <c r="A1614" s="1" t="s">
        <v>3803</v>
      </c>
      <c r="B1614" s="3" t="str">
        <f ca="1">IFERROR(__xludf.DUMMYFUNCTION("GOOGLETRANSLATE(B1614,""es"",""en"")"),"1-sneakers
2-sneakers
3-flip flops https://t.co/PjEaBK4WMO")</f>
        <v>1-sneakers
2-sneakers
3-flip flops https://t.co/PjEaBK4WMO</v>
      </c>
      <c r="C1614" s="2" t="s">
        <v>3804</v>
      </c>
      <c r="D1614" s="1" t="s">
        <v>3805</v>
      </c>
    </row>
    <row r="1615" spans="1:4" x14ac:dyDescent="0.15">
      <c r="A1615" s="1" t="s">
        <v>3806</v>
      </c>
      <c r="B1615" s="3" t="str">
        <f ca="1">IFERROR(__xludf.DUMMYFUNCTION("GOOGLETRANSLATE(B1615,""es"",""en"")"),"1.Sneakers
2.Sabatilles
3.Flip flops
https://t.co/Amu2oPSBJk")</f>
        <v>1.Sneakers
2.Sabatilles
3.Flip flops
https://t.co/Amu2oPSBJk</v>
      </c>
      <c r="C1615" s="2" t="s">
        <v>3807</v>
      </c>
      <c r="D1615" s="1" t="s">
        <v>3805</v>
      </c>
    </row>
    <row r="1616" spans="1:4" x14ac:dyDescent="0.15">
      <c r="A1616" s="1" t="s">
        <v>3808</v>
      </c>
      <c r="B1616" s="3" t="str">
        <f ca="1">IFERROR(__xludf.DUMMYFUNCTION("GOOGLETRANSLATE(B1616,""es"",""en"")"),"RT @ExpresoPeru: ""What would happen if KF sympathizers block Metropolitan stations? Would their leader be released like the community members Rojas and Vargas? In no way would the NGOs say that these protesters are criminals.""
Read Aaron Solomon: https"&amp;"://t.co/Qs5sp1nSkn")</f>
        <v>RT @ExpresoPeru: "What would happen if KF sympathizers block Metropolitan stations? Would their leader be released like the community members Rojas and Vargas? In no way would the NGOs say that these protesters are criminals."
Read Aaron Solomon: https://t.co/Qs5sp1nSkn</v>
      </c>
      <c r="C1616" s="2" t="s">
        <v>3809</v>
      </c>
      <c r="D1616" s="1" t="s">
        <v>3810</v>
      </c>
    </row>
    <row r="1617" spans="1:4" x14ac:dyDescent="0.15">
      <c r="A1617" s="1" t="s">
        <v>90</v>
      </c>
      <c r="B1617" s="3" t="str">
        <f ca="1">IFERROR(__xludf.DUMMYFUNCTION("GOOGLETRANSLATE(B1617,""es"",""en"")"),"RT @manifiesto_peru: Premier's speech was full of ""citizens"", ""everyone"", ""Peruvian men and women"", etc., but he did not mention Las Bambas or ministers investigated in the Prosecutor's Office
https://t.co/3jNACruD0Q")</f>
        <v>RT @manifiesto_peru: Premier's speech was full of "citizens", "everyone", "Peruvian men and women", etc., but he did not mention Las Bambas or ministers investigated in the Prosecutor's Office
https://t.co/3jNACruD0Q</v>
      </c>
      <c r="C1617" s="2" t="s">
        <v>3811</v>
      </c>
      <c r="D1617" s="1" t="s">
        <v>3812</v>
      </c>
    </row>
    <row r="1618" spans="1:4" x14ac:dyDescent="0.15">
      <c r="A1618" s="1" t="s">
        <v>3813</v>
      </c>
      <c r="B1618" s="3" t="str">
        <f ca="1">IFERROR(__xludf.DUMMYFUNCTION("GOOGLETRANSLATE(B1618,""es"",""en"")"),"RT @ExpresoPeru: ""What would happen if KF sympathizers block Metropolitan stations? Would their leader be released like the community members Rojas and Vargas? In no way would the NGOs say that these protesters are criminals.""
Read Aaron Solomon: https"&amp;"://t.co/Qs5sp1nSkn")</f>
        <v>RT @ExpresoPeru: "What would happen if KF sympathizers block Metropolitan stations? Would their leader be released like the community members Rojas and Vargas? In no way would the NGOs say that these protesters are criminals."
Read Aaron Solomon: https://t.co/Qs5sp1nSkn</v>
      </c>
      <c r="C1618" s="2" t="s">
        <v>3814</v>
      </c>
      <c r="D1618" s="1" t="s">
        <v>3815</v>
      </c>
    </row>
    <row r="1619" spans="1:4" x14ac:dyDescent="0.15">
      <c r="A1619" s="1" t="s">
        <v>3816</v>
      </c>
      <c r="B1619" s="3" t="str">
        <f ca="1">IFERROR(__xludf.DUMMYFUNCTION("GOOGLETRANSLATE(B1619,""es"",""en"")"),"Sneakers, sneakers, flip flops https://t.co/XsevvAXY4c")</f>
        <v>Sneakers, sneakers, flip flops https://t.co/XsevvAXY4c</v>
      </c>
      <c r="C1619" s="2" t="s">
        <v>3817</v>
      </c>
      <c r="D1619" s="1" t="s">
        <v>3815</v>
      </c>
    </row>
    <row r="1620" spans="1:4" x14ac:dyDescent="0.15">
      <c r="A1620" s="1" t="s">
        <v>2359</v>
      </c>
      <c r="B1620" s="3" t="str">
        <f ca="1">IFERROR(__xludf.DUMMYFUNCTION("GOOGLETRANSLATE(B1620,""es"",""en"")"),"@canalN_ They are not going to access everything they want either, they know they are part of a great mafia in the sneakers")</f>
        <v>@canalN_ They are not going to access everything they want either, they know they are part of a great mafia in the sneakers</v>
      </c>
      <c r="C1620" s="2" t="s">
        <v>3818</v>
      </c>
      <c r="D1620" s="1" t="s">
        <v>3815</v>
      </c>
    </row>
    <row r="1621" spans="1:4" x14ac:dyDescent="0.15">
      <c r="A1621" s="1" t="s">
        <v>2703</v>
      </c>
      <c r="B1621" s="3" t="str">
        <f ca="1">IFERROR(__xludf.DUMMYFUNCTION("GOOGLETRANSLATE(B1621,""es"",""en"")"),"RT @BitacoraAninna: @ExpresoPeru @aaronsalomong Well Aarón, it's true! It seems that the Bambas CONFLICT, the coastal child and all the problems... for the government they are only a smokescreen... and then talk about gender identity 😓😓 I hope they real"&amp;"ize what we are losing by reducing GDP etc https://t.co/dhy8nEHpmp")</f>
        <v>RT @BitacoraAninna: @ExpresoPeru @aaronsalomong Well Aarón, it's true! It seems that the Bambas CONFLICT, the coastal child and all the problems... for the government they are only a smokescreen... and then talk about gender identity 😓😓 I hope they realize what we are losing by reducing GDP etc https://t.co/dhy8nEHpmp</v>
      </c>
      <c r="C1621" s="2" t="s">
        <v>3819</v>
      </c>
      <c r="D1621" s="1" t="s">
        <v>3820</v>
      </c>
    </row>
    <row r="1622" spans="1:4" x14ac:dyDescent="0.15">
      <c r="A1622" s="1" t="s">
        <v>2275</v>
      </c>
      <c r="B1622" s="3" t="str">
        <f ca="1">IFERROR(__xludf.DUMMYFUNCTION("GOOGLETRANSLATE(B1622,""es"",""en"")"),"The communists and caviars attack the church, however they ask for its mediation in conflicts (Las Bambas) and Episcopal Conferences allow this political use of their institution? Caviar hypocrisy has no limits.")</f>
        <v>The communists and caviars attack the church, however they ask for its mediation in conflicts (Las Bambas) and Episcopal Conferences allow this political use of their institution? Caviar hypocrisy has no limits.</v>
      </c>
      <c r="C1622" s="2" t="s">
        <v>3821</v>
      </c>
      <c r="D1622" s="1" t="s">
        <v>3820</v>
      </c>
    </row>
    <row r="1623" spans="1:4" x14ac:dyDescent="0.15">
      <c r="A1623" s="1" t="s">
        <v>297</v>
      </c>
      <c r="B1623" s="3" t="str">
        <f ca="1">IFERROR(__xludf.DUMMYFUNCTION("GOOGLETRANSLATE(B1623,""es"",""en"")"),"#LasBambas #MiningConflicts
""The famous canon reaches the district level (but) not to the communities,"" said Jorge Paredes Terry, new legal advisor to the community members. [Photo: Andina] ►https://t.co/cCEkfV7MNq")</f>
        <v>#LasBambas #MiningConflicts
"The famous canon reaches the district level (but) not to the communities," said Jorge Paredes Terry, new legal advisor to the community members. [Photo: Andina] ►https://t.co/cCEkfV7MNq</v>
      </c>
      <c r="C1623" s="2" t="s">
        <v>3822</v>
      </c>
      <c r="D1623" s="1" t="s">
        <v>3823</v>
      </c>
    </row>
    <row r="1624" spans="1:4" x14ac:dyDescent="0.15">
      <c r="A1624" s="1" t="s">
        <v>3824</v>
      </c>
      <c r="B1624" s="3" t="str">
        <f ca="1">IFERROR(__xludf.DUMMYFUNCTION("GOOGLETRANSLATE(B1624,""es"",""en"")"),"RT @melomoreno: 1) Sneakers
2) Sneakers
3) Flip flops https://t.co/bqmZwfT3XU")</f>
        <v>RT @melomoreno: 1) Sneakers
2) Sneakers
3) Flip flops https://t.co/bqmZwfT3XU</v>
      </c>
      <c r="C1624" s="2" t="s">
        <v>3825</v>
      </c>
      <c r="D1624" s="1" t="s">
        <v>3823</v>
      </c>
    </row>
    <row r="1625" spans="1:4" x14ac:dyDescent="0.15">
      <c r="A1625" s="1" t="s">
        <v>2124</v>
      </c>
      <c r="B1625" s="3" t="str">
        <f ca="1">IFERROR(__xludf.DUMMYFUNCTION("GOOGLETRANSLATE(B1625,""es"",""en"")"),"@JBCPERU Yes the RULE OF LAW but not what is currently professed; Post AFF, Congress has been a client of the PJ and therefore the post AFF laws and rulings are not LAW, they are negotiated and that cannot be EMPIRE perhaps a MARKET. THE SNEAKERS ARE THE "&amp;"MOST VIVID EXAMPLE. https://t.co/7XdxGbqJpy")</f>
        <v>@JBCPERU Yes the RULE OF LAW but not what is currently professed; Post AFF, Congress has been a client of the PJ and therefore the post AFF laws and rulings are not LAW, they are negotiated and that cannot be EMPIRE perhaps a MARKET. THE SNEAKERS ARE THE MOST VIVID EXAMPLE. https://t.co/7XdxGbqJpy</v>
      </c>
      <c r="C1625" s="2" t="s">
        <v>3826</v>
      </c>
      <c r="D1625" s="1" t="s">
        <v>3823</v>
      </c>
    </row>
    <row r="1626" spans="1:4" x14ac:dyDescent="0.15">
      <c r="A1626" s="1" t="s">
        <v>647</v>
      </c>
      <c r="B1626" s="3" t="str">
        <f ca="1">IFERROR(__xludf.DUMMYFUNCTION("GOOGLETRANSLATE(B1626,""es"",""en"")"),"Las Bambas: Chávez Sotelo brothers were interned in Cusco prison https://t.co/z1VqObXBLC https://t.co/h8Ph9jZiOE")</f>
        <v>Las Bambas: Chávez Sotelo brothers were interned in Cusco prison https://t.co/z1VqObXBLC https://t.co/h8Ph9jZiOE</v>
      </c>
      <c r="C1626" s="2" t="s">
        <v>3827</v>
      </c>
      <c r="D1626" s="1" t="s">
        <v>3828</v>
      </c>
    </row>
    <row r="1627" spans="1:4" x14ac:dyDescent="0.15">
      <c r="A1627" s="1" t="s">
        <v>3829</v>
      </c>
      <c r="B1627" s="3" t="str">
        <f ca="1">IFERROR(__xludf.DUMMYFUNCTION("GOOGLETRANSLATE(B1627,""es"",""en"")"),"@itsaliciamunoz And you are so stupid that you call the sneakers sneakers or tennis shoes")</f>
        <v>@itsaliciamunoz And you are so stupid that you call the sneakers sneakers or tennis shoes</v>
      </c>
      <c r="C1627" s="2" t="s">
        <v>3830</v>
      </c>
      <c r="D1627" s="1" t="s">
        <v>3828</v>
      </c>
    </row>
    <row r="1628" spans="1:4" x14ac:dyDescent="0.15">
      <c r="A1628" s="1" t="s">
        <v>3831</v>
      </c>
      <c r="B1628" s="3" t="str">
        <f ca="1">IFERROR(__xludf.DUMMYFUNCTION("GOOGLETRANSLATE(B1628,""es"",""en"")"),"@LVPGalletas Bambas man that's what they say")</f>
        <v>@LVPGalletas Bambas man that's what they say</v>
      </c>
      <c r="C1628" s="2" t="s">
        <v>3832</v>
      </c>
      <c r="D1628" s="1" t="s">
        <v>3833</v>
      </c>
    </row>
    <row r="1629" spans="1:4" x14ac:dyDescent="0.15">
      <c r="A1629" s="1" t="s">
        <v>3834</v>
      </c>
      <c r="B1629" s="3" t="str">
        <f ca="1">IFERROR(__xludf.DUMMYFUNCTION("GOOGLETRANSLATE(B1629,""es"",""en"")"),"Las Bambas | The Chávez Sotelo brothers were held in the Cusco prison https://t.co/jDsuIeqllC https://t.co/00zpRm97FW")</f>
        <v>Las Bambas | The Chávez Sotelo brothers were held in the Cusco prison https://t.co/jDsuIeqllC https://t.co/00zpRm97FW</v>
      </c>
      <c r="C1629" s="2" t="s">
        <v>3835</v>
      </c>
      <c r="D1629" s="1" t="s">
        <v>3836</v>
      </c>
    </row>
    <row r="1630" spans="1:4" x14ac:dyDescent="0.15">
      <c r="A1630" s="1" t="s">
        <v>3791</v>
      </c>
      <c r="B1630" s="3" t="str">
        <f ca="1">IFERROR(__xludf.DUMMYFUNCTION("GOOGLETRANSLATE(B1630,""es"",""en"")"),"Las Bambas: @Defensoria_peru recommends actions for dialogue with communities https://t.co/pRC9uOHrWp via @peru21noticias")</f>
        <v>Las Bambas: @Defensoria_peru recommends actions for dialogue with communities https://t.co/pRC9uOHrWp via @peru21noticias</v>
      </c>
      <c r="C1630" s="2" t="s">
        <v>3837</v>
      </c>
      <c r="D1630" s="1" t="s">
        <v>3836</v>
      </c>
    </row>
    <row r="1631" spans="1:4" x14ac:dyDescent="0.15">
      <c r="A1631" s="1" t="s">
        <v>3838</v>
      </c>
      <c r="B1631" s="3" t="str">
        <f ca="1">IFERROR(__xludf.DUMMYFUNCTION("GOOGLETRANSLATE(B1631,""es"",""en"")"),"Guerrero goal. We have to take it to Las Bambas. 100% effective.")</f>
        <v>Guerrero goal. We have to take it to Las Bambas. 100% effective.</v>
      </c>
      <c r="C1631" s="2" t="s">
        <v>3839</v>
      </c>
      <c r="D1631" s="1" t="s">
        <v>3840</v>
      </c>
    </row>
    <row r="1632" spans="1:4" x14ac:dyDescent="0.15">
      <c r="A1632" s="1" t="s">
        <v>3841</v>
      </c>
      <c r="B1632" s="3" t="str">
        <f ca="1">IFERROR(__xludf.DUMMYFUNCTION("GOOGLETRANSLATE(B1632,""es"",""en"")"),"@Luis_Iglesias_ @Miguel_LFSC Come on, don't talk nonsense, put on your tennis shoes, we're going to play basketball")</f>
        <v>@Luis_Iglesias_ @Miguel_LFSC Come on, don't talk nonsense, put on your tennis shoes, we're going to play basketball</v>
      </c>
      <c r="C1632" s="2" t="s">
        <v>3842</v>
      </c>
      <c r="D1632" s="1" t="s">
        <v>3840</v>
      </c>
    </row>
    <row r="1633" spans="1:4" x14ac:dyDescent="0.15">
      <c r="A1633" s="1" t="s">
        <v>559</v>
      </c>
      <c r="B1633" s="3" t="str">
        <f ca="1">IFERROR(__xludf.DUMMYFUNCTION("GOOGLETRANSLATE(B1633,""es"",""en"")"),"RT @Peru_Noticias: Martín Vizcarra hides from the conflict in Las Bambas Although there were expectations that the government of President Martín Vizcarra would solve, together with the Chinese mining company MMG Limited, the mining conflict in Las... Fin"&amp;"d out more The pos.. https://t.co/gS1dApfiZu #PerúNoticias https://t.co/ZPO9buHfy1")</f>
        <v>RT @Peru_Noticias: Martín Vizcarra hides from the conflict in Las Bambas Although there were expectations that the government of President Martín Vizcarra would solve, together with the Chinese mining company MMG Limited, the mining conflict in Las... Find out more The pos.. https://t.co/gS1dApfiZu #PerúNoticias https://t.co/ZPO9buHfy1</v>
      </c>
      <c r="C1633" s="2" t="s">
        <v>3843</v>
      </c>
      <c r="D1633" s="1" t="s">
        <v>3844</v>
      </c>
    </row>
    <row r="1634" spans="1:4" x14ac:dyDescent="0.15">
      <c r="A1634" s="1" t="s">
        <v>3845</v>
      </c>
      <c r="B1634" s="3" t="str">
        <f ca="1">IFERROR(__xludf.DUMMYFUNCTION("GOOGLETRANSLATE(B1634,""es"",""en"")"),"Sneakers 
Sneakers 
Flip flops https://t.co/Ml7RJK5Y89")</f>
        <v>Sneakers 
Sneakers 
Flip flops https://t.co/Ml7RJK5Y89</v>
      </c>
      <c r="C1634" s="2" t="s">
        <v>3846</v>
      </c>
      <c r="D1634" s="1" t="s">
        <v>3844</v>
      </c>
    </row>
    <row r="1635" spans="1:4" x14ac:dyDescent="0.15">
      <c r="A1635" s="1" t="s">
        <v>3847</v>
      </c>
      <c r="B1635" s="3" t="str">
        <f ca="1">IFERROR(__xludf.DUMMYFUNCTION("GOOGLETRANSLATE(B1635,""es"",""en"")"),"RT @melomoreno: 1) Sneakers
2) Sneakers
3) Flip flops https://t.co/bqmZwfT3XU")</f>
        <v>RT @melomoreno: 1) Sneakers
2) Sneakers
3) Flip flops https://t.co/bqmZwfT3XU</v>
      </c>
      <c r="C1635" s="2" t="s">
        <v>3848</v>
      </c>
      <c r="D1635" s="1" t="s">
        <v>3849</v>
      </c>
    </row>
    <row r="1636" spans="1:4" x14ac:dyDescent="0.15">
      <c r="A1636" s="1" t="s">
        <v>3850</v>
      </c>
      <c r="B1636" s="3" t="str">
        <f ca="1">IFERROR(__xludf.DUMMYFUNCTION("GOOGLETRANSLATE(B1636,""es"",""en"")"),"Sambinha no sneakers? It will be 👀")</f>
        <v>Sambinha no sneakers? It will be 👀</v>
      </c>
      <c r="C1636" s="2" t="s">
        <v>3851</v>
      </c>
      <c r="D1636" s="1" t="s">
        <v>3852</v>
      </c>
    </row>
    <row r="1637" spans="1:4" x14ac:dyDescent="0.15">
      <c r="A1637" s="1" t="s">
        <v>1630</v>
      </c>
      <c r="B1637" s="3" t="str">
        <f ca="1">IFERROR(__xludf.DUMMYFUNCTION("GOOGLETRANSLATE(B1637,""es"",""en"")"),"@valmenfa https://t.co/0xIRxpEndF Both communities are on the current mineral route. If the government decides to pave the route through Santo Tomás (which benefits more of the population), it leaves Fuerabamba and Huancuire out of play.")</f>
        <v>@valmenfa https://t.co/0xIRxpEndF Both communities are on the current mineral route. If the government decides to pave the route through Santo Tomás (which benefits more of the population), it leaves Fuerabamba and Huancuire out of play.</v>
      </c>
      <c r="C1637" s="2" t="s">
        <v>3853</v>
      </c>
      <c r="D1637" s="1" t="s">
        <v>3852</v>
      </c>
    </row>
    <row r="1638" spans="1:4" x14ac:dyDescent="0.15">
      <c r="A1638" s="1" t="s">
        <v>3854</v>
      </c>
      <c r="B1638" s="3" t="str">
        <f ca="1">IFERROR(__xludf.DUMMYFUNCTION("GOOGLETRANSLATE(B1638,""es"",""en"")"),"RT @LucianoRevoredo: In Bambas they took the road and the government is on its knees. They have put Vizcarra in check. What do we hope is that we don't block the ditch until it removes gender ideology")</f>
        <v>RT @LucianoRevoredo: In Bambas they took the road and the government is on its knees. They have put Vizcarra in check. What do we hope is that we don't block the ditch until it removes gender ideology</v>
      </c>
      <c r="C1638" s="2" t="s">
        <v>3855</v>
      </c>
      <c r="D1638" s="1" t="s">
        <v>3852</v>
      </c>
    </row>
    <row r="1639" spans="1:4" x14ac:dyDescent="0.15">
      <c r="A1639" s="1" t="s">
        <v>3856</v>
      </c>
      <c r="B1639" s="3" t="str">
        <f ca="1">IFERROR(__xludf.DUMMYFUNCTION("GOOGLETRANSLATE(B1639,""es"",""en"")"),"RT @DialogoFe: Cardinal Cipriani: ""At this moment the role of the Church is not to be a specialist in Las Bambas. Its role is to help them talk, to not fight"" #DiálogoDeFe")</f>
        <v>RT @DialogoFe: Cardinal Cipriani: "At this moment the role of the Church is not to be a specialist in Las Bambas. Its role is to help them talk, to not fight" #DiálogoDeFe</v>
      </c>
      <c r="C1639" s="2" t="s">
        <v>3857</v>
      </c>
      <c r="D1639" s="1" t="s">
        <v>3852</v>
      </c>
    </row>
    <row r="1640" spans="1:4" x14ac:dyDescent="0.15">
      <c r="A1640" s="1" t="s">
        <v>3858</v>
      </c>
      <c r="B1640" s="3" t="str">
        <f ca="1">IFERROR(__xludf.DUMMYFUNCTION("GOOGLETRANSLATE(B1640,""es"",""en"")"),"@Valle_Cosco @LadyTyphlosion @__AlcMena__ Sneakers, sneakers, flip flops")</f>
        <v>@Valle_Cosco @LadyTyphlosion @__AlcMena__ Sneakers, sneakers, flip flops</v>
      </c>
      <c r="C1640" s="2" t="s">
        <v>3859</v>
      </c>
      <c r="D1640" s="1" t="s">
        <v>3852</v>
      </c>
    </row>
    <row r="1641" spans="1:4" x14ac:dyDescent="0.15">
      <c r="A1641" s="1" t="s">
        <v>300</v>
      </c>
      <c r="B1641" s="3" t="str">
        <f ca="1">IFERROR(__xludf.DUMMYFUNCTION("GOOGLETRANSLATE(B1641,""es"",""en"")"),"#THEULTIMO Agreement between the community of Fuerabamba and the Government would already be closed. With the community of Challhuahuacho, it would still be resolved in the middle of the week in that town. ► https://t.co/QpepsuJKwA https://t.co/NvS71tPY25")</f>
        <v>#THEULTIMO Agreement between the community of Fuerabamba and the Government would already be closed. With the community of Challhuahuacho, it would still be resolved in the middle of the week in that town. ► https://t.co/QpepsuJKwA https://t.co/NvS71tPY25</v>
      </c>
      <c r="C1641" s="2" t="s">
        <v>3860</v>
      </c>
      <c r="D1641" s="1" t="s">
        <v>3852</v>
      </c>
    </row>
    <row r="1642" spans="1:4" x14ac:dyDescent="0.15">
      <c r="A1642" s="1" t="s">
        <v>3161</v>
      </c>
      <c r="B1642" s="3" t="str">
        <f ca="1">IFERROR(__xludf.DUMMYFUNCTION("GOOGLETRANSLATE(B1642,""es"",""en"")"),"RT @ExpresoPeru: ""What would happen if KF sympathizers block Metropolitan stations? Would their leader be released like the community members Rojas and Vargas? In no way would the NGOs say that these protesters are criminals.""
Read Aaron Solomon: https"&amp;"://t.co/Qs5sp1nSkn")</f>
        <v>RT @ExpresoPeru: "What would happen if KF sympathizers block Metropolitan stations? Would their leader be released like the community members Rojas and Vargas? In no way would the NGOs say that these protesters are criminals."
Read Aaron Solomon: https://t.co/Qs5sp1nSkn</v>
      </c>
      <c r="C1642" s="2" t="s">
        <v>3861</v>
      </c>
      <c r="D1642" s="1" t="s">
        <v>3862</v>
      </c>
    </row>
    <row r="1643" spans="1:4" x14ac:dyDescent="0.15">
      <c r="A1643" s="1" t="s">
        <v>3863</v>
      </c>
      <c r="B1643" s="3" t="str">
        <f ca="1">IFERROR(__xludf.DUMMYFUNCTION("GOOGLETRANSLATE(B1643,""es"",""en"")"),"Sneakers, slippers, flip flops. https://t.co/ytcIAXmF3r")</f>
        <v>Sneakers, slippers, flip flops. https://t.co/ytcIAXmF3r</v>
      </c>
      <c r="C1643" s="2" t="s">
        <v>3864</v>
      </c>
      <c r="D1643" s="1" t="s">
        <v>3865</v>
      </c>
    </row>
    <row r="1644" spans="1:4" x14ac:dyDescent="0.15">
      <c r="A1644" s="1" t="s">
        <v>420</v>
      </c>
      <c r="B1644" s="3" t="str">
        <f ca="1">IFERROR(__xludf.DUMMYFUNCTION("GOOGLETRANSLATE(B1644,""es"",""en"")"),"RT @Frospigliosi: The most serious thing of all is that the President of the Republic himself supports a group of people who are unquestionably violating the law https://t.co/InHXDnb66P")</f>
        <v>RT @Frospigliosi: The most serious thing of all is that the President of the Republic himself supports a group of people who are unquestionably violating the law https://t.co/InHXDnb66P</v>
      </c>
      <c r="C1644" s="2" t="s">
        <v>3866</v>
      </c>
      <c r="D1644" s="1" t="s">
        <v>3865</v>
      </c>
    </row>
    <row r="1645" spans="1:4" x14ac:dyDescent="0.15">
      <c r="A1645" s="1" t="s">
        <v>3867</v>
      </c>
      <c r="B1645" s="3" t="str">
        <f ca="1">IFERROR(__xludf.DUMMYFUNCTION("GOOGLETRANSLATE(B1645,""es"",""en"")"),"Sneakers, sneakers and flip flops that my mother gives me when I swear in the summer https://t.co/zaJlJk138i")</f>
        <v>Sneakers, sneakers and flip flops that my mother gives me when I swear in the summer https://t.co/zaJlJk138i</v>
      </c>
      <c r="C1645" s="2" t="s">
        <v>3868</v>
      </c>
      <c r="D1645" s="1" t="s">
        <v>3865</v>
      </c>
    </row>
    <row r="1646" spans="1:4" x14ac:dyDescent="0.15">
      <c r="A1646" s="1" t="s">
        <v>3869</v>
      </c>
      <c r="B1646" s="3" t="str">
        <f ca="1">IFERROR(__xludf.DUMMYFUNCTION("GOOGLETRANSLATE(B1646,""es"",""en"")"),"#Apurímac | Community members of the peasant community of #Fuerabamba, district of Challhuahuacho, province of #Cotabambas, reject the actions of the leader Gregorio Rojas and his advisors, the brothers Frank and Jorge Chávez Sotelo, in the conflict regar"&amp;"ding the Las Bambas mining company. https://t.co/Aofn8zSx1h")</f>
        <v>#Apurímac | Community members of the peasant community of #Fuerabamba, district of Challhuahuacho, province of #Cotabambas, reject the actions of the leader Gregorio Rojas and his advisors, the brothers Frank and Jorge Chávez Sotelo, in the conflict regarding the Las Bambas mining company. https://t.co/Aofn8zSx1h</v>
      </c>
      <c r="C1646" s="2" t="s">
        <v>3870</v>
      </c>
      <c r="D1646" s="1" t="s">
        <v>3871</v>
      </c>
    </row>
    <row r="1647" spans="1:4" x14ac:dyDescent="0.15">
      <c r="A1647" s="1" t="s">
        <v>3872</v>
      </c>
      <c r="B1647" s="3" t="str">
        <f ca="1">IFERROR(__xludf.DUMMYFUNCTION("GOOGLETRANSLATE(B1647,""es"",""en"")"),"RT @melomoreno: 1) Sneakers
2) Sneakers
3) Flip flops https://t.co/bqmZwfT3XU")</f>
        <v>RT @melomoreno: 1) Sneakers
2) Sneakers
3) Flip flops https://t.co/bqmZwfT3XU</v>
      </c>
      <c r="C1647" s="2" t="s">
        <v>3873</v>
      </c>
      <c r="D1647" s="1" t="s">
        <v>3874</v>
      </c>
    </row>
    <row r="1648" spans="1:4" x14ac:dyDescent="0.15">
      <c r="A1648" s="1" t="s">
        <v>3875</v>
      </c>
      <c r="B1648" s="3" t="str">
        <f ca="1">IFERROR(__xludf.DUMMYFUNCTION("GOOGLETRANSLATE(B1648,""es"",""en"")"),"RT @LucianoRevoredo: In Bambas they took the road and the government is on its knees. They have put Vizcarra in check. What do we hope is that we don't block the ditch until it removes gender ideology")</f>
        <v>RT @LucianoRevoredo: In Bambas they took the road and the government is on its knees. They have put Vizcarra in check. What do we hope is that we don't block the ditch until it removes gender ideology</v>
      </c>
      <c r="C1648" s="2" t="s">
        <v>3876</v>
      </c>
      <c r="D1648" s="1" t="s">
        <v>3874</v>
      </c>
    </row>
    <row r="1649" spans="1:4" x14ac:dyDescent="0.15">
      <c r="A1649" s="1" t="s">
        <v>3877</v>
      </c>
      <c r="B1649" s="3" t="str">
        <f ca="1">IFERROR(__xludf.DUMMYFUNCTION("GOOGLETRANSLATE(B1649,""es"",""en"")"),"@PelotaDeTenis those at the top are evil people and that's it, but if you tell them bambas directly you are broken and have some mental defect")</f>
        <v>@PelotaDeTenis those at the top are evil people and that's it, but if you tell them bambas directly you are broken and have some mental defect</v>
      </c>
      <c r="C1649" s="2" t="s">
        <v>3878</v>
      </c>
      <c r="D1649" s="1" t="s">
        <v>3879</v>
      </c>
    </row>
    <row r="1650" spans="1:4" x14ac:dyDescent="0.15">
      <c r="A1650" s="1" t="s">
        <v>2227</v>
      </c>
      <c r="B1650" s="3" t="str">
        <f ca="1">IFERROR(__xludf.DUMMYFUNCTION("GOOGLETRANSLATE(B1650,""es"",""en"")"),"RT @LucianoRevoredo: In Bambas they took the road and the government is on its knees. They have put Vizcarra in check. What do we hope is that we don't block the ditch until it removes gender ideology")</f>
        <v>RT @LucianoRevoredo: In Bambas they took the road and the government is on its knees. They have put Vizcarra in check. What do we hope is that we don't block the ditch until it removes gender ideology</v>
      </c>
      <c r="C1650" s="2" t="s">
        <v>3880</v>
      </c>
      <c r="D1650" s="1" t="s">
        <v>3879</v>
      </c>
    </row>
    <row r="1651" spans="1:4" x14ac:dyDescent="0.15">
      <c r="A1651" s="1" t="s">
        <v>3881</v>
      </c>
      <c r="B1651" s="3" t="str">
        <f ca="1">IFERROR(__xludf.DUMMYFUNCTION("GOOGLETRANSLATE(B1651,""es"",""en"")"),"RT @melomoreno: 1) Sneakers
2) Sneakers
3) Flip flops https://t.co/bqmZwfT3XU")</f>
        <v>RT @melomoreno: 1) Sneakers
2) Sneakers
3) Flip flops https://t.co/bqmZwfT3XU</v>
      </c>
      <c r="C1651" s="2" t="s">
        <v>3882</v>
      </c>
      <c r="D1651" s="1" t="s">
        <v>3883</v>
      </c>
    </row>
    <row r="1652" spans="1:4" x14ac:dyDescent="0.15">
      <c r="A1652" s="1" t="s">
        <v>3884</v>
      </c>
      <c r="B1652" s="3" t="str">
        <f ca="1">IFERROR(__xludf.DUMMYFUNCTION("GOOGLETRANSLATE(B1652,""es"",""en"")"),"RT @DialogoFe: Cardinal Cipriani: ""At this moment the role of the Church is not to be a specialist in Las Bambas. Its role is to help them talk, to not fight"" #DiálogoDeFe")</f>
        <v>RT @DialogoFe: Cardinal Cipriani: "At this moment the role of the Church is not to be a specialist in Las Bambas. Its role is to help them talk, to not fight" #DiálogoDeFe</v>
      </c>
      <c r="C1652" s="2" t="s">
        <v>3885</v>
      </c>
      <c r="D1652" s="1" t="s">
        <v>3883</v>
      </c>
    </row>
    <row r="1653" spans="1:4" x14ac:dyDescent="0.15">
      <c r="A1653" s="1" t="s">
        <v>3886</v>
      </c>
      <c r="B1653" s="3" t="str">
        <f ca="1">IFERROR(__xludf.DUMMYFUNCTION("GOOGLETRANSLATE(B1653,""es"",""en"")"),"@byViruZz Sneakers, sneakers and flip flops")</f>
        <v>@byViruZz Sneakers, sneakers and flip flops</v>
      </c>
      <c r="C1653" s="2" t="s">
        <v>3887</v>
      </c>
      <c r="D1653" s="1" t="s">
        <v>3888</v>
      </c>
    </row>
    <row r="1654" spans="1:4" x14ac:dyDescent="0.15">
      <c r="A1654" s="1" t="s">
        <v>1304</v>
      </c>
      <c r="B1654" s="3" t="str">
        <f ca="1">IFERROR(__xludf.DUMMYFUNCTION("GOOGLETRANSLATE(B1654,""es"",""en"")"),"RT @manifiesto_peru: ""Fuck it... Put the responsibility on the damn police... Always thinking guys,"" said Frank Chávez Sotelo, in coordination with protest leaders against Las Bambas. 
https://t.co/wDoxQO9FbK")</f>
        <v>RT @manifiesto_peru: "Fuck it... Put the responsibility on the damn police... Always thinking guys," said Frank Chávez Sotelo, in coordination with protest leaders against Las Bambas. 
https://t.co/wDoxQO9FbK</v>
      </c>
      <c r="C1654" s="2" t="s">
        <v>3889</v>
      </c>
      <c r="D1654" s="1" t="s">
        <v>3890</v>
      </c>
    </row>
    <row r="1655" spans="1:4" x14ac:dyDescent="0.15">
      <c r="A1655" s="1" t="s">
        <v>3891</v>
      </c>
      <c r="B1655" s="3" t="str">
        <f ca="1">IFERROR(__xludf.DUMMYFUNCTION("GOOGLETRANSLATE(B1655,""es"",""en"")"),"RT @JBCPERU: The government that does not govern, by Fernando Rospigliosi | Opinion | Still a columnist for El Comercio Perú. https://t.co/fMguAe6xRI")</f>
        <v>RT @JBCPERU: The government that does not govern, by Fernando Rospigliosi | Opinion | Still a columnist for El Comercio Perú. https://t.co/fMguAe6xRI</v>
      </c>
      <c r="C1655" s="2" t="s">
        <v>3892</v>
      </c>
      <c r="D1655" s="1" t="s">
        <v>3893</v>
      </c>
    </row>
    <row r="1656" spans="1:4" x14ac:dyDescent="0.15">
      <c r="A1656" s="1" t="s">
        <v>3894</v>
      </c>
      <c r="B1656" s="3" t="str">
        <f ca="1">IFERROR(__xludf.DUMMYFUNCTION("GOOGLETRANSLATE(B1656,""es"",""en"")"),"@gravitdyo as minhas pernas tão BAMBAS EDUARDO")</f>
        <v>@gravitdyo as minhas pernas tão BAMBAS EDUARDO</v>
      </c>
      <c r="C1656" s="2" t="s">
        <v>3895</v>
      </c>
      <c r="D1656" s="1" t="s">
        <v>3896</v>
      </c>
    </row>
    <row r="1657" spans="1:4" x14ac:dyDescent="0.15">
      <c r="A1657" s="1" t="s">
        <v>3897</v>
      </c>
      <c r="B1657" s="3" t="str">
        <f ca="1">IFERROR(__xludf.DUMMYFUNCTION("GOOGLETRANSLATE(B1657,""es"",""en"")"),"@Uncookedwhite What do you say about BAMBAS")</f>
        <v>@Uncookedwhite What do you say about BAMBAS</v>
      </c>
      <c r="C1657" s="2" t="s">
        <v>3898</v>
      </c>
      <c r="D1657" s="1" t="s">
        <v>3899</v>
      </c>
    </row>
    <row r="1658" spans="1:4" x14ac:dyDescent="0.15">
      <c r="A1658" s="1" t="s">
        <v>3900</v>
      </c>
      <c r="B1658" s="3" t="str">
        <f ca="1">IFERROR(__xludf.DUMMYFUNCTION("GOOGLETRANSLATE(B1658,""es"",""en"")"),"Briefly, statement after the dialogue for Las Bambas https://t.co/b3KHgSa9Ts")</f>
        <v>Briefly, statement after the dialogue for Las Bambas https://t.co/b3KHgSa9Ts</v>
      </c>
      <c r="C1658" s="2" t="s">
        <v>3901</v>
      </c>
      <c r="D1658" s="1" t="s">
        <v>3902</v>
      </c>
    </row>
    <row r="1659" spans="1:4" x14ac:dyDescent="0.15">
      <c r="A1659" s="1" t="s">
        <v>3903</v>
      </c>
      <c r="B1659" s="3" t="str">
        <f ca="1">IFERROR(__xludf.DUMMYFUNCTION("GOOGLETRANSLATE(B1659,""es"",""en"")"),"RT @LucianoRevoredo: In Bambas they took the road and the government is on its knees. They have put Vizcarra in check. What do we hope is that we don't block the ditch until it removes gender ideology")</f>
        <v>RT @LucianoRevoredo: In Bambas they took the road and the government is on its knees. They have put Vizcarra in check. What do we hope is that we don't block the ditch until it removes gender ideology</v>
      </c>
      <c r="C1659" s="2" t="s">
        <v>3904</v>
      </c>
      <c r="D1659" s="1" t="s">
        <v>3902</v>
      </c>
    </row>
    <row r="1660" spans="1:4" x14ac:dyDescent="0.15">
      <c r="A1660" s="1" t="s">
        <v>101</v>
      </c>
      <c r="B1660" s="3" t="str">
        <f ca="1">IFERROR(__xludf.DUMMYFUNCTION("GOOGLETRANSLATE(B1660,""es"",""en"")"),"Las Bambas: brothers Frank and Jorge Chávez Sotelo are transferred to the Cusco prison The Judiciary issued 36 months of preventive detention for the Chávez Sotelo brothers, accused of the crime of extortion against the mining company MMG Las Bambas https"&amp;"://t.co/58FYZfIOlb #PerúNews #Peru https://t.co/IqdPrUjFEQ")</f>
        <v>Las Bambas: brothers Frank and Jorge Chávez Sotelo are transferred to the Cusco prison The Judiciary issued 36 months of preventive detention for the Chávez Sotelo brothers, accused of the crime of extortion against the mining company MMG Las Bambas https://t.co/58FYZfIOlb #PerúNews #Peru https://t.co/IqdPrUjFEQ</v>
      </c>
      <c r="C1660" s="2" t="s">
        <v>3905</v>
      </c>
      <c r="D1660" s="1" t="s">
        <v>3902</v>
      </c>
    </row>
    <row r="1661" spans="1:4" x14ac:dyDescent="0.15">
      <c r="A1661" s="1" t="s">
        <v>3906</v>
      </c>
      <c r="B1661" s="3" t="str">
        <f ca="1">IFERROR(__xludf.DUMMYFUNCTION("GOOGLETRANSLATE(B1661,""es"",""en"")"),"RT @POLITICATOTALpe: Parties reached 4 agreements that include the release of the highway that crosses Yavi Yavi and connects to Las Bambas. An economic compensation from the MMG company to the community of Fuerabamba, in addition to employment commitment"&amp;"s for the residents and review of previous agreements")</f>
        <v>RT @POLITICATOTALpe: Parties reached 4 agreements that include the release of the highway that crosses Yavi Yavi and connects to Las Bambas. An economic compensation from the MMG company to the community of Fuerabamba, in addition to employment commitments for the residents and review of previous agreements</v>
      </c>
      <c r="C1661" s="2" t="s">
        <v>3907</v>
      </c>
      <c r="D1661" s="1" t="s">
        <v>3908</v>
      </c>
    </row>
    <row r="1662" spans="1:4" x14ac:dyDescent="0.15">
      <c r="A1662" s="1" t="s">
        <v>3909</v>
      </c>
      <c r="B1662" s="3" t="str">
        <f ca="1">IFERROR(__xludf.DUMMYFUNCTION("GOOGLETRANSLATE(B1662,""es"",""en"")"),"RT @chicharronpress: Today their malignancy Farid @matuk and the perpetrator of the most beastly turn down for what of the week will be with us, the great @contracultural (Carlos León Moya). 
It's going to be very hot!
(Oh Salvador! Oh Alan and Barata! Oh"&amp;", Bambas! And much more!)
@litolobo @patriciagamarra
6PM! https://t.co/fs1WcDg6YL")</f>
        <v>RT @chicharronpress: Today their malignancy Farid @matuk and the perpetrator of the most beastly turn down for what of the week will be with us, the great @contracultural (Carlos León Moya). 
It's going to be very hot!
(Oh Salvador! Oh Alan and Barata! Oh, Bambas! And much more!)
@litolobo @patriciagamarra
6PM! https://t.co/fs1WcDg6YL</v>
      </c>
      <c r="C1662" s="2" t="s">
        <v>3910</v>
      </c>
      <c r="D1662" s="1" t="s">
        <v>3908</v>
      </c>
    </row>
    <row r="1663" spans="1:4" x14ac:dyDescent="0.15">
      <c r="A1663" s="1" t="s">
        <v>3911</v>
      </c>
      <c r="B1663" s="3" t="str">
        <f ca="1">IFERROR(__xludf.DUMMYFUNCTION("GOOGLETRANSLATE(B1663,""es"",""en"")"),"RT @Frospigliosi: The most serious thing of all is that the President of the Republic himself supports a group of people who are unquestionably violating the law https://t.co/InHXDnb66P")</f>
        <v>RT @Frospigliosi: The most serious thing of all is that the President of the Republic himself supports a group of people who are unquestionably violating the law https://t.co/InHXDnb66P</v>
      </c>
      <c r="C1663" s="2" t="s">
        <v>3912</v>
      </c>
      <c r="D1663" s="1" t="s">
        <v>3908</v>
      </c>
    </row>
    <row r="1664" spans="1:4" x14ac:dyDescent="0.15">
      <c r="A1664" s="1" t="s">
        <v>3913</v>
      </c>
      <c r="B1664" s="3" t="str">
        <f ca="1">IFERROR(__xludf.DUMMYFUNCTION("GOOGLETRANSLATE(B1664,""es"",""en"")"),"Las Bambas: group of community members insist that they will not unblock the road | VIDEO https://t.co/m4c5WDZBYB via @elcomercio_peru")</f>
        <v>Las Bambas: group of community members insist that they will not unblock the road | VIDEO https://t.co/m4c5WDZBYB via @elcomercio_peru</v>
      </c>
      <c r="C1664" s="2" t="s">
        <v>3914</v>
      </c>
      <c r="D1664" s="1" t="s">
        <v>3908</v>
      </c>
    </row>
    <row r="1665" spans="1:4" x14ac:dyDescent="0.15">
      <c r="A1665" s="1" t="s">
        <v>3915</v>
      </c>
      <c r="B1665" s="3" t="str">
        <f ca="1">IFERROR(__xludf.DUMMYFUNCTION("GOOGLETRANSLATE(B1665,""es"",""en"")"),"RT @canalN_: THE LATEST | Government reached an agreement with community members of Fuerbamaba and the road to Las Bambas will no longer be blocked ► https://t.co/BmNsvCxwYu https://t.co/SlxDcr8ctR")</f>
        <v>RT @canalN_: THE LATEST | Government reached an agreement with community members of Fuerbamaba and the road to Las Bambas will no longer be blocked ► https://t.co/BmNsvCxwYu https://t.co/SlxDcr8ctR</v>
      </c>
      <c r="C1665" s="2" t="s">
        <v>3916</v>
      </c>
      <c r="D1665" s="1" t="s">
        <v>3917</v>
      </c>
    </row>
    <row r="1666" spans="1:4" x14ac:dyDescent="0.15">
      <c r="A1666" s="1" t="s">
        <v>3918</v>
      </c>
      <c r="B1666" s="3" t="str">
        <f ca="1">IFERROR(__xludf.DUMMYFUNCTION("GOOGLETRANSLATE(B1666,""es"",""en"")"),"RT @gmendoza_: While in Lima the mons. Miguel Cabrejos president of CEP and prime minister announce with great fanfare the end of the Las Bambas strike. In Las Bambas they respond that they know nothing about the AGREEMENT and demand that to unblock the r"&amp;"oads, Vizcarra should go and release his advisors 🙄")</f>
        <v>RT @gmendoza_: While in Lima the mons. Miguel Cabrejos president of CEP and prime minister announce with great fanfare the end of the Las Bambas strike. In Las Bambas they respond that they know nothing about the AGREEMENT and demand that to unblock the roads, Vizcarra should go and release his advisors 🙄</v>
      </c>
      <c r="C1666" s="2" t="s">
        <v>3919</v>
      </c>
      <c r="D1666" s="1" t="s">
        <v>3917</v>
      </c>
    </row>
    <row r="1667" spans="1:4" x14ac:dyDescent="0.15">
      <c r="A1667" s="1" t="s">
        <v>3915</v>
      </c>
      <c r="B1667" s="3" t="str">
        <f ca="1">IFERROR(__xludf.DUMMYFUNCTION("GOOGLETRANSLATE(B1667,""es"",""en"")"),"RT @NicolasLucar: Last minute! Leaders of Fuerabamba, MMG mining company of Las Bambas and Executive sign agreement that must be ratified on Monday by the Community assembly Text does not speak of lawyers https://t.co/lhTq1k7hd0")</f>
        <v>RT @NicolasLucar: Last minute! Leaders of Fuerabamba, MMG mining company of Las Bambas and Executive sign agreement that must be ratified on Monday by the Community assembly Text does not speak of lawyers https://t.co/lhTq1k7hd0</v>
      </c>
      <c r="C1667" s="2" t="s">
        <v>3920</v>
      </c>
      <c r="D1667" s="1" t="s">
        <v>3917</v>
      </c>
    </row>
    <row r="1668" spans="1:4" x14ac:dyDescent="0.15">
      <c r="A1668" s="1" t="s">
        <v>3869</v>
      </c>
      <c r="B1668" s="3" t="str">
        <f ca="1">IFERROR(__xludf.DUMMYFUNCTION("GOOGLETRANSLATE(B1668,""es"",""en"")"),"Peasant communities reach an agreement with the Executive to unblock the ways for the Las Bambas mining company to continue working. https://t.co/X9SmtQObhZ")</f>
        <v>Peasant communities reach an agreement with the Executive to unblock the ways for the Las Bambas mining company to continue working. https://t.co/X9SmtQObhZ</v>
      </c>
      <c r="C1668" s="2" t="s">
        <v>3921</v>
      </c>
      <c r="D1668" s="1" t="s">
        <v>3917</v>
      </c>
    </row>
    <row r="1669" spans="1:4" x14ac:dyDescent="0.15">
      <c r="A1669" s="1" t="s">
        <v>3922</v>
      </c>
      <c r="B1669" s="3" t="str">
        <f ca="1">IFERROR(__xludf.DUMMYFUNCTION("GOOGLETRANSLATE(B1669,""es"",""en"")"),"RT @canalN_: THE LATEST | Government reached an agreement with community members of Fuerbamaba and the road to Las Bambas will no longer be blocked ► https://t.co/BmNsvCxwYu https://t.co/SlxDcr8ctR")</f>
        <v>RT @canalN_: THE LATEST | Government reached an agreement with community members of Fuerbamaba and the road to Las Bambas will no longer be blocked ► https://t.co/BmNsvCxwYu https://t.co/SlxDcr8ctR</v>
      </c>
      <c r="C1669" s="2" t="s">
        <v>3923</v>
      </c>
      <c r="D1669" s="1" t="s">
        <v>3924</v>
      </c>
    </row>
    <row r="1670" spans="1:4" x14ac:dyDescent="0.15">
      <c r="A1670" s="1" t="s">
        <v>1445</v>
      </c>
      <c r="B1670" s="3" t="str">
        <f ca="1">IFERROR(__xludf.DUMMYFUNCTION("GOOGLETRANSLATE(B1670,""es"",""en"")"),"Fuerabamba and Las Bambas mining company reach agreement to unblock access road https://t.co/T2pcIXPa0b via @larepublica_pe")</f>
        <v>Fuerabamba and Las Bambas mining company reach agreement to unblock access road https://t.co/T2pcIXPa0b via @larepublica_pe</v>
      </c>
      <c r="C1670" s="2" t="s">
        <v>3925</v>
      </c>
      <c r="D1670" s="1" t="s">
        <v>3924</v>
      </c>
    </row>
    <row r="1671" spans="1:4" x14ac:dyDescent="0.15">
      <c r="A1671" s="1" t="s">
        <v>1445</v>
      </c>
      <c r="B1671" s="3" t="str">
        <f ca="1">IFERROR(__xludf.DUMMYFUNCTION("GOOGLETRANSLATE(B1671,""es"",""en"")"),"Fuerabamba and Las Bambas mining company reach agreement to unblock access road https://t.co/T2pcIY6KRJ via @larepublica_pe")</f>
        <v>Fuerabamba and Las Bambas mining company reach agreement to unblock access road https://t.co/T2pcIY6KRJ via @larepublica_pe</v>
      </c>
      <c r="C1671" s="2" t="s">
        <v>3926</v>
      </c>
      <c r="D1671" s="1" t="s">
        <v>3924</v>
      </c>
    </row>
    <row r="1672" spans="1:4" x14ac:dyDescent="0.15">
      <c r="A1672" s="1" t="s">
        <v>3927</v>
      </c>
      <c r="B1672" s="3" t="str">
        <f ca="1">IFERROR(__xludf.DUMMYFUNCTION("GOOGLETRANSLATE(B1672,""es"",""en"")"),"RT @prensacuscocom: #MacroSur | [WHATSAPP REPORT]
Las Bambas: These are the points agreed upon in the minutes signed by the Executive, the leaders of the Fuerabamba community and the representatives of the mining company, which will allow the unblocking o"&amp;"f the road in Yavi Yavi of the 'mining corridor'. https://t.co/dFdyFYAY6A")</f>
        <v>RT @prensacuscocom: #MacroSur | [WHATSAPP REPORT]
Las Bambas: These are the points agreed upon in the minutes signed by the Executive, the leaders of the Fuerabamba community and the representatives of the mining company, which will allow the unblocking of the road in Yavi Yavi of the 'mining corridor'. https://t.co/dFdyFYAY6A</v>
      </c>
      <c r="C1672" s="2" t="s">
        <v>3928</v>
      </c>
      <c r="D1672" s="1" t="s">
        <v>3924</v>
      </c>
    </row>
    <row r="1673" spans="1:4" x14ac:dyDescent="0.15">
      <c r="A1673" s="1" t="s">
        <v>3929</v>
      </c>
      <c r="B1673" s="3" t="str">
        <f ca="1">IFERROR(__xludf.DUMMYFUNCTION("GOOGLETRANSLATE(B1673,""es"",""en"")"),"RT @ hombredeltiempo: Bravo!!!!
The sneakers | Fuerabamba leaders will free Yavi Yavi road after economic agreement with mining company https://t.co/WabDPn2Dr2 via @RPPNoticias")</f>
        <v>RT @ hombredeltiempo: Bravo!!!!
The sneakers | Fuerabamba leaders will free Yavi Yavi road after economic agreement with mining company https://t.co/WabDPn2Dr2 via @RPPNoticias</v>
      </c>
      <c r="C1673" s="2" t="s">
        <v>3930</v>
      </c>
      <c r="D1673" s="1" t="s">
        <v>3924</v>
      </c>
    </row>
    <row r="1674" spans="1:4" x14ac:dyDescent="0.15">
      <c r="A1674" s="1" t="s">
        <v>3931</v>
      </c>
      <c r="B1674" s="3" t="str">
        <f ca="1">IFERROR(__xludf.DUMMYFUNCTION("GOOGLETRANSLATE(B1674,""es"",""en"")"),"RT @canalN_: THE LATEST | Government reached an agreement with community members of Fuerbamaba and the road to Las Bambas will no longer be blocked ► https://t.co/BmNsvCxwYu https://t.co/SlxDcr8ctR")</f>
        <v>RT @canalN_: THE LATEST | Government reached an agreement with community members of Fuerbamaba and the road to Las Bambas will no longer be blocked ► https://t.co/BmNsvCxwYu https://t.co/SlxDcr8ctR</v>
      </c>
      <c r="C1674" s="2" t="s">
        <v>3932</v>
      </c>
      <c r="D1674" s="1" t="s">
        <v>3933</v>
      </c>
    </row>
    <row r="1675" spans="1:4" x14ac:dyDescent="0.15">
      <c r="A1675" s="1" t="s">
        <v>3934</v>
      </c>
      <c r="B1675" s="3" t="str">
        <f ca="1">IFERROR(__xludf.DUMMYFUNCTION("GOOGLETRANSLATE(B1675,""es"",""en"")"),"RT @noticiAmerica: There were 4 agreements reached by the Government, the community of Fuerabamba and the MMG mining company in charge of Las Bambas, after more than 8 hours of dialogue and under the intermediation of the Peruvian Episcopal Conference htt"&amp;"ps:// t.co/6RZLvTyN4B")</f>
        <v>RT @noticiAmerica: There were 4 agreements reached by the Government, the community of Fuerabamba and the MMG mining company in charge of Las Bambas, after more than 8 hours of dialogue and under the intermediation of the Peruvian Episcopal Conference https:// t.co/6RZLvTyN4B</v>
      </c>
      <c r="C1675" s="2" t="s">
        <v>3935</v>
      </c>
      <c r="D1675" s="1" t="s">
        <v>3936</v>
      </c>
    </row>
    <row r="1676" spans="1:4" x14ac:dyDescent="0.15">
      <c r="A1676" s="1" t="s">
        <v>3937</v>
      </c>
      <c r="B1676" s="3" t="str">
        <f ca="1">IFERROR(__xludf.DUMMYFUNCTION("GOOGLETRANSLATE(B1676,""es"",""en"")"),"RT @canalN_: THE LATEST | Government reached an agreement with community members of Fuerbamaba and the road to Las Bambas will no longer be blocked ► https://t.co/BmNsvCxwYu https://t.co/SlxDcr8ctR")</f>
        <v>RT @canalN_: THE LATEST | Government reached an agreement with community members of Fuerbamaba and the road to Las Bambas will no longer be blocked ► https://t.co/BmNsvCxwYu https://t.co/SlxDcr8ctR</v>
      </c>
      <c r="C1676" s="2" t="s">
        <v>3938</v>
      </c>
      <c r="D1676" s="1" t="s">
        <v>3936</v>
      </c>
    </row>
    <row r="1677" spans="1:4" x14ac:dyDescent="0.15">
      <c r="A1677" s="1" t="s">
        <v>3939</v>
      </c>
      <c r="B1677" s="3" t="str">
        <f ca="1">IFERROR(__xludf.DUMMYFUNCTION("GOOGLETRANSLATE(B1677,""es"",""en"")"),"RT @edyerc: The protest of the Fuerabamba Community is lifted and the PCM, through the mediation of the Episcopal Conference, manages to get the community and the Las Bambas Mine to reach an agreement.
Tremendous achievement under the award of @saldelsol"&amp;". Excellent news for the country! https://t.co/10Sv6S2E4C")</f>
        <v>RT @edyerc: The protest of the Fuerabamba Community is lifted and the PCM, through the mediation of the Episcopal Conference, manages to get the community and the Las Bambas Mine to reach an agreement.
Tremendous achievement under the award of @saldelsol. Excellent news for the country! https://t.co/10Sv6S2E4C</v>
      </c>
      <c r="C1677" s="2" t="s">
        <v>3940</v>
      </c>
      <c r="D1677" s="1" t="s">
        <v>3936</v>
      </c>
    </row>
    <row r="1678" spans="1:4" x14ac:dyDescent="0.15">
      <c r="A1678" s="1" t="s">
        <v>3941</v>
      </c>
      <c r="B1678" s="3" t="str">
        <f ca="1">IFERROR(__xludf.DUMMYFUNCTION("GOOGLETRANSLATE(B1678,""es"",""en"")"),"RT @canalN_: THE LATEST | Government reached an agreement with community members of Fuerbamaba and the road to Las Bambas will no longer be blocked ► https://t.co/BmNsvCxwYu https://t.co/SlxDcr8ctR")</f>
        <v>RT @canalN_: THE LATEST | Government reached an agreement with community members of Fuerbamaba and the road to Las Bambas will no longer be blocked ► https://t.co/BmNsvCxwYu https://t.co/SlxDcr8ctR</v>
      </c>
      <c r="C1678" s="2" t="s">
        <v>3942</v>
      </c>
      <c r="D1678" s="1" t="s">
        <v>3936</v>
      </c>
    </row>
    <row r="1679" spans="1:4" x14ac:dyDescent="0.15">
      <c r="A1679" s="1" t="s">
        <v>1494</v>
      </c>
      <c r="B1679" s="3" t="str">
        <f ca="1">IFERROR(__xludf.DUMMYFUNCTION("GOOGLETRANSLATE(B1679,""es"",""en"")"),"RT @Politica_LR: Communities reached an agreement with Las Bambas mining company and will unblock via ► https://t.co/7XV0ZP50qQ https://t.co/xp9U9vSG0Y")</f>
        <v>RT @Politica_LR: Communities reached an agreement with Las Bambas mining company and will unblock via ► https://t.co/7XV0ZP50qQ https://t.co/xp9U9vSG0Y</v>
      </c>
      <c r="C1679" s="2" t="s">
        <v>3943</v>
      </c>
      <c r="D1679" s="1" t="s">
        <v>3944</v>
      </c>
    </row>
    <row r="1680" spans="1:4" x14ac:dyDescent="0.15">
      <c r="A1680" s="1" t="s">
        <v>1494</v>
      </c>
      <c r="B1680" s="3" t="str">
        <f ca="1">IFERROR(__xludf.DUMMYFUNCTION("GOOGLETRANSLATE(B1680,""es"",""en"")"),"RT @conf_episcopal: #Urgente Minutes of the meeting with the communities of Fuerabamba, the PCM, the MMG Las Bambas company, the Presidency of the Episcopal Conference on #LasBambas https://t.co/m49mllccgY")</f>
        <v>RT @conf_episcopal: #Urgente Minutes of the meeting with the communities of Fuerabamba, the PCM, the MMG Las Bambas company, the Presidency of the Episcopal Conference on #LasBambas https://t.co/m49mllccgY</v>
      </c>
      <c r="C1680" s="2" t="s">
        <v>3945</v>
      </c>
      <c r="D1680" s="1" t="s">
        <v>3944</v>
      </c>
    </row>
    <row r="1681" spans="1:4" x14ac:dyDescent="0.15">
      <c r="A1681" s="1" t="s">
        <v>3934</v>
      </c>
      <c r="B1681" s="3" t="str">
        <f ca="1">IFERROR(__xludf.DUMMYFUNCTION("GOOGLETRANSLATE(B1681,""es"",""en"")"),"RT @ hombredeltiempo: Bravo!!!!
The sneakers | Fuerabamba leaders will free Yavi Yavi road after economic agreement with mining company https://t.co/WabDPn2Dr2 via @RPPNoticias")</f>
        <v>RT @ hombredeltiempo: Bravo!!!!
The sneakers | Fuerabamba leaders will free Yavi Yavi road after economic agreement with mining company https://t.co/WabDPn2Dr2 via @RPPNoticias</v>
      </c>
      <c r="C1681" s="2" t="s">
        <v>3946</v>
      </c>
      <c r="D1681" s="1" t="s">
        <v>3944</v>
      </c>
    </row>
    <row r="1682" spans="1:4" x14ac:dyDescent="0.15">
      <c r="A1682" s="1" t="s">
        <v>3947</v>
      </c>
      <c r="B1682" s="3" t="str">
        <f ca="1">IFERROR(__xludf.DUMMYFUNCTION("GOOGLETRANSLATE(B1682,""es"",""en"")"),"RT @noticias_tvperu: Dialogue between @pcmperu authorities, the leader of the Fuerabamba community and the representative of the MMG mining company culminates successfully, putting an end to the social conflict in Las Bambas ►https://t.co/qGUjg1TTSi #TVPe"&amp;"rúInforma https://t.co/2uuuSW5M1L")</f>
        <v>RT @noticias_tvperu: Dialogue between @pcmperu authorities, the leader of the Fuerabamba community and the representative of the MMG mining company culminates successfully, putting an end to the social conflict in Las Bambas ►https://t.co/qGUjg1TTSi #TVPerúInforma https://t.co/2uuuSW5M1L</v>
      </c>
      <c r="C1682" s="2" t="s">
        <v>3948</v>
      </c>
      <c r="D1682" s="1" t="s">
        <v>3949</v>
      </c>
    </row>
    <row r="1683" spans="1:4" x14ac:dyDescent="0.15">
      <c r="A1683" s="1" t="s">
        <v>2002</v>
      </c>
      <c r="B1683" s="3" t="str">
        <f ca="1">IFERROR(__xludf.DUMMYFUNCTION("GOOGLETRANSLATE(B1683,""es"",""en"")"),"RT @conf_episcopal: #Urgente Minutes of the meeting with the communities of Fuerabamba, the PCM, the MMG Las Bambas company, the Presidency of the Episcopal Conference on #LasBambas https://t.co/m49mllccgY")</f>
        <v>RT @conf_episcopal: #Urgente Minutes of the meeting with the communities of Fuerabamba, the PCM, the MMG Las Bambas company, the Presidency of the Episcopal Conference on #LasBambas https://t.co/m49mllccgY</v>
      </c>
      <c r="C1683" s="2" t="s">
        <v>3950</v>
      </c>
      <c r="D1683" s="1" t="s">
        <v>3951</v>
      </c>
    </row>
    <row r="1684" spans="1:4" x14ac:dyDescent="0.15">
      <c r="A1684" s="1" t="s">
        <v>3952</v>
      </c>
      <c r="B1684" s="4" t="str">
        <f ca="1">IFERROR(__xludf.DUMMYFUNCTION("GOOGLETRANSLATE(B1684,""es"",""en"")"),"https://t.co/NQHvJBUAct")</f>
        <v>https://t.co/NQHvJBUAct</v>
      </c>
      <c r="C1684" s="2" t="s">
        <v>3953</v>
      </c>
      <c r="D1684" s="1" t="s">
        <v>3951</v>
      </c>
    </row>
    <row r="1685" spans="1:4" x14ac:dyDescent="0.15">
      <c r="A1685" s="1" t="s">
        <v>3954</v>
      </c>
      <c r="B1685" s="3" t="str">
        <f ca="1">IFERROR(__xludf.DUMMYFUNCTION("GOOGLETRANSLATE(B1685,""es"",""en"")"),"Minutes of agreement between the Government, MGM Las Bambas and the community members of Fuerabamba. 
1. The community members have obtained the financial compensation they were requesting for the usufruct of the road that crosses Yavi... https://t.co/jP"&amp;"HMI7q9Pk")</f>
        <v>Minutes of agreement between the Government, MGM Las Bambas and the community members of Fuerabamba. 
1. The community members have obtained the financial compensation they were requesting for the usufruct of the road that crosses Yavi... https://t.co/jPHMI7q9Pk</v>
      </c>
      <c r="C1685" s="2" t="s">
        <v>3955</v>
      </c>
      <c r="D1685" s="1" t="s">
        <v>3956</v>
      </c>
    </row>
    <row r="1686" spans="1:4" x14ac:dyDescent="0.15">
      <c r="A1686" s="1" t="s">
        <v>1304</v>
      </c>
      <c r="B1686" s="3" t="str">
        <f ca="1">IFERROR(__xludf.DUMMYFUNCTION("GOOGLETRANSLATE(B1686,""es"",""en"")"),"RT @ExpresoPeru: ""What would happen if KF sympathizers block Metropolitan stations? Would their leader be released like the community members Rojas and Vargas? In no way would the NGOs say that these protesters are criminals.""
Read Aaron Solomon: https"&amp;"://t.co/Qs5sp1nSkn")</f>
        <v>RT @ExpresoPeru: "What would happen if KF sympathizers block Metropolitan stations? Would their leader be released like the community members Rojas and Vargas? In no way would the NGOs say that these protesters are criminals."
Read Aaron Solomon: https://t.co/Qs5sp1nSkn</v>
      </c>
      <c r="C1686" s="2" t="s">
        <v>3957</v>
      </c>
      <c r="D1686" s="1" t="s">
        <v>3958</v>
      </c>
    </row>
    <row r="1687" spans="1:4" x14ac:dyDescent="0.15">
      <c r="A1687" s="1" t="s">
        <v>3959</v>
      </c>
      <c r="B1687" s="3" t="str">
        <f ca="1">IFERROR(__xludf.DUMMYFUNCTION("GOOGLETRANSLATE(B1687,""es"",""en"")"),"RT @edyerc: The protest of the Fuerabamba Community is lifted and the PCM, through the mediation of the Episcopal Conference, manages to get the community and the Las Bambas Mine to reach an agreement.
Tremendous achievement under the award of @saldelsol"&amp;". Excellent news for the country! https://t.co/10Sv6S2E4C")</f>
        <v>RT @edyerc: The protest of the Fuerabamba Community is lifted and the PCM, through the mediation of the Episcopal Conference, manages to get the community and the Las Bambas Mine to reach an agreement.
Tremendous achievement under the award of @saldelsol. Excellent news for the country! https://t.co/10Sv6S2E4C</v>
      </c>
      <c r="C1687" s="2" t="s">
        <v>3960</v>
      </c>
      <c r="D1687" s="1" t="s">
        <v>3961</v>
      </c>
    </row>
    <row r="1688" spans="1:4" x14ac:dyDescent="0.15">
      <c r="A1688" s="1" t="s">
        <v>3962</v>
      </c>
      <c r="B1688" s="3" t="str">
        <f ca="1">IFERROR(__xludf.DUMMYFUNCTION("GOOGLETRANSLATE(B1688,""es"",""en"")"),"Las Bambas: Cardinal Barreto asks for transparency and recovering dialogue https://t.co/3IEySmapTZ via @peru21noticias")</f>
        <v>Las Bambas: Cardinal Barreto asks for transparency and recovering dialogue https://t.co/3IEySmapTZ via @peru21noticias</v>
      </c>
      <c r="C1688" s="2" t="s">
        <v>3963</v>
      </c>
      <c r="D1688" s="1" t="s">
        <v>3964</v>
      </c>
    </row>
    <row r="1689" spans="1:4" x14ac:dyDescent="0.15">
      <c r="A1689" s="1" t="s">
        <v>3965</v>
      </c>
      <c r="B1689" s="3" t="str">
        <f ca="1">IFERROR(__xludf.DUMMYFUNCTION("GOOGLETRANSLATE(B1689,""es"",""en"")"),"RT @canalN_: THE LATEST | Government reached an agreement with community members of Fuerbamaba and the road to Las Bambas will no longer be blocked ► https://t.co/BmNsvCxwYu https://t.co/SlxDcr8ctR")</f>
        <v>RT @canalN_: THE LATEST | Government reached an agreement with community members of Fuerbamaba and the road to Las Bambas will no longer be blocked ► https://t.co/BmNsvCxwYu https://t.co/SlxDcr8ctR</v>
      </c>
      <c r="C1689" s="2" t="s">
        <v>3966</v>
      </c>
      <c r="D1689" s="1" t="s">
        <v>3967</v>
      </c>
    </row>
    <row r="1690" spans="1:4" x14ac:dyDescent="0.15">
      <c r="A1690" s="1" t="s">
        <v>3968</v>
      </c>
      <c r="B1690" s="3" t="str">
        <f ca="1">IFERROR(__xludf.DUMMYFUNCTION("GOOGLETRANSLATE(B1690,""es"",""en"")"),"RT @edyerc: The protest of the Fuerabamba Community is lifted and the PCM, through the mediation of the Episcopal Conference, manages to get the community and the Las Bambas Mine to reach an agreement.
Tremendous achievement under the award of @saldelsol"&amp;". Excellent news for the country! https://t.co/10Sv6S2E4C")</f>
        <v>RT @edyerc: The protest of the Fuerabamba Community is lifted and the PCM, through the mediation of the Episcopal Conference, manages to get the community and the Las Bambas Mine to reach an agreement.
Tremendous achievement under the award of @saldelsol. Excellent news for the country! https://t.co/10Sv6S2E4C</v>
      </c>
      <c r="C1690" s="2" t="s">
        <v>3969</v>
      </c>
      <c r="D1690" s="1" t="s">
        <v>3970</v>
      </c>
    </row>
    <row r="1691" spans="1:4" x14ac:dyDescent="0.15">
      <c r="A1691" s="1" t="s">
        <v>3971</v>
      </c>
      <c r="B1691" s="3" t="str">
        <f ca="1">IFERROR(__xludf.DUMMYFUNCTION("GOOGLETRANSLATE(B1691,""es"",""en"")"),"RT @elcomercio_peru: 🚨🚨 #THE LAST | Las Bambas: community of #Fuerabamba will free the entry routes to the mining company 
https://t.co/4wibdmHWxH")</f>
        <v>RT @elcomercio_peru: 🚨🚨 #THE LAST | Las Bambas: community of #Fuerabamba will free the entry routes to the mining company 
https://t.co/4wibdmHWxH</v>
      </c>
      <c r="C1691" s="2" t="s">
        <v>3972</v>
      </c>
      <c r="D1691" s="1" t="s">
        <v>3973</v>
      </c>
    </row>
    <row r="1692" spans="1:4" x14ac:dyDescent="0.15">
      <c r="A1692" s="1" t="s">
        <v>3974</v>
      </c>
      <c r="B1692" s="3" t="str">
        <f ca="1">IFERROR(__xludf.DUMMYFUNCTION("GOOGLETRANSLATE(B1692,""es"",""en"")"),"RT @canalN_: THE LATEST | Government reached an agreement with community members of Fuerbamaba and the road to Las Bambas will no longer be blocked ► https://t.co/BmNsvCxwYu https://t.co/SlxDcr8ctR")</f>
        <v>RT @canalN_: THE LATEST | Government reached an agreement with community members of Fuerbamaba and the road to Las Bambas will no longer be blocked ► https://t.co/BmNsvCxwYu https://t.co/SlxDcr8ctR</v>
      </c>
      <c r="C1692" s="2" t="s">
        <v>3975</v>
      </c>
      <c r="D1692" s="1" t="s">
        <v>3976</v>
      </c>
    </row>
    <row r="1693" spans="1:4" x14ac:dyDescent="0.15">
      <c r="A1693" s="1" t="s">
        <v>2444</v>
      </c>
      <c r="B1693" s="3" t="str">
        <f ca="1">IFERROR(__xludf.DUMMYFUNCTION("GOOGLETRANSLATE(B1693,""es"",""en"")"),"RT @edyerc: The protest of the Fuerabamba Community is lifted and the PCM, through the mediation of the Episcopal Conference, manages to get the community and the Las Bambas Mine to reach an agreement.
Tremendous achievement under the award of @saldelsol"&amp;". Excellent news for the country! https://t.co/10Sv6S2E4C")</f>
        <v>RT @edyerc: The protest of the Fuerabamba Community is lifted and the PCM, through the mediation of the Episcopal Conference, manages to get the community and the Las Bambas Mine to reach an agreement.
Tremendous achievement under the award of @saldelsol. Excellent news for the country! https://t.co/10Sv6S2E4C</v>
      </c>
      <c r="C1693" s="2" t="s">
        <v>3977</v>
      </c>
      <c r="D1693" s="1" t="s">
        <v>3976</v>
      </c>
    </row>
    <row r="1694" spans="1:4" x14ac:dyDescent="0.15">
      <c r="A1694" s="1" t="s">
        <v>1479</v>
      </c>
      <c r="B1694" s="3" t="str">
        <f ca="1">IFERROR(__xludf.DUMMYFUNCTION("GOOGLETRANSLATE(B1694,""es"",""en"")"),"RT @ExpresoPeru: ""What would happen if KF sympathizers block Metropolitan stations? Would their leader be released like the community members Rojas and Vargas? In no way would the NGOs say that these protesters are criminals.""
Read Aaron Solomon: https"&amp;"://t.co/Qs5sp1nSkn")</f>
        <v>RT @ExpresoPeru: "What would happen if KF sympathizers block Metropolitan stations? Would their leader be released like the community members Rojas and Vargas? In no way would the NGOs say that these protesters are criminals."
Read Aaron Solomon: https://t.co/Qs5sp1nSkn</v>
      </c>
      <c r="C1694" s="2" t="s">
        <v>3978</v>
      </c>
      <c r="D1694" s="1" t="s">
        <v>3979</v>
      </c>
    </row>
    <row r="1695" spans="1:4" x14ac:dyDescent="0.15">
      <c r="A1695" s="1" t="s">
        <v>3980</v>
      </c>
      <c r="B1695" s="3" t="str">
        <f ca="1">IFERROR(__xludf.DUMMYFUNCTION("GOOGLETRANSLATE(B1695,""es"",""en"")"),"RT @canalN_: THE LATEST | Government reached an agreement with community members of Fuerbamaba and the road to Las Bambas will no longer be blocked ► https://t.co/BmNsvCxwYu https://t.co/SlxDcr8ctR")</f>
        <v>RT @canalN_: THE LATEST | Government reached an agreement with community members of Fuerbamaba and the road to Las Bambas will no longer be blocked ► https://t.co/BmNsvCxwYu https://t.co/SlxDcr8ctR</v>
      </c>
      <c r="C1695" s="2" t="s">
        <v>3981</v>
      </c>
      <c r="D1695" s="1" t="s">
        <v>3982</v>
      </c>
    </row>
    <row r="1696" spans="1:4" x14ac:dyDescent="0.15">
      <c r="A1696" s="1" t="s">
        <v>3983</v>
      </c>
      <c r="B1696" s="3" t="str">
        <f ca="1">IFERROR(__xludf.DUMMYFUNCTION("GOOGLETRANSLATE(B1696,""es"",""en"")"),"RT @edyerc: The protest of the Fuerabamba Community is lifted and the PCM, through the mediation of the Episcopal Conference, manages to get the community and the Las Bambas Mine to reach an agreement.
Tremendous achievement under the award of @saldelsol"&amp;". Excellent news for the country! https://t.co/10Sv6S2E4C")</f>
        <v>RT @edyerc: The protest of the Fuerabamba Community is lifted and the PCM, through the mediation of the Episcopal Conference, manages to get the community and the Las Bambas Mine to reach an agreement.
Tremendous achievement under the award of @saldelsol. Excellent news for the country! https://t.co/10Sv6S2E4C</v>
      </c>
      <c r="C1696" s="2" t="s">
        <v>3984</v>
      </c>
      <c r="D1696" s="1" t="s">
        <v>3985</v>
      </c>
    </row>
    <row r="1697" spans="1:4" x14ac:dyDescent="0.15">
      <c r="A1697" s="1" t="s">
        <v>3986</v>
      </c>
      <c r="B1697" s="3" t="str">
        <f ca="1">IFERROR(__xludf.DUMMYFUNCTION("GOOGLETRANSLATE(B1697,""es"",""en"")"),"@LadyTyphlosion sneakers, slippers, flip flops")</f>
        <v>@LadyTyphlosion sneakers, slippers, flip flops</v>
      </c>
      <c r="C1697" s="2" t="s">
        <v>3987</v>
      </c>
      <c r="D1697" s="1" t="s">
        <v>3988</v>
      </c>
    </row>
    <row r="1698" spans="1:4" x14ac:dyDescent="0.15">
      <c r="A1698" s="1" t="s">
        <v>3989</v>
      </c>
      <c r="B1698" s="3" t="str">
        <f ca="1">IFERROR(__xludf.DUMMYFUNCTION("GOOGLETRANSLATE(B1698,""es"",""en"")"),"RT @edyerc: The protest of the Fuerabamba Community is lifted and the PCM, through the mediation of the Episcopal Conference, manages to get the community and the Las Bambas Mine to reach an agreement.
Tremendous achievement under the award of @saldelsol"&amp;". Excellent news for the country! https://t.co/10Sv6S2E4C")</f>
        <v>RT @edyerc: The protest of the Fuerabamba Community is lifted and the PCM, through the mediation of the Episcopal Conference, manages to get the community and the Las Bambas Mine to reach an agreement.
Tremendous achievement under the award of @saldelsol. Excellent news for the country! https://t.co/10Sv6S2E4C</v>
      </c>
      <c r="C1698" s="2" t="s">
        <v>3990</v>
      </c>
      <c r="D1698" s="1" t="s">
        <v>3988</v>
      </c>
    </row>
    <row r="1699" spans="1:4" x14ac:dyDescent="0.15">
      <c r="A1699" s="1" t="s">
        <v>3991</v>
      </c>
      <c r="B1699" s="3" t="str">
        <f ca="1">IFERROR(__xludf.DUMMYFUNCTION("GOOGLETRANSLATE(B1699,""es"",""en"")"),"RT @canalN_: THE LATEST | Government reached an agreement with community members of Fuerbamaba and the road to Las Bambas will no longer be blocked ► https://t.co/BmNsvCxwYu https://t.co/SlxDcr8ctR")</f>
        <v>RT @canalN_: THE LATEST | Government reached an agreement with community members of Fuerbamaba and the road to Las Bambas will no longer be blocked ► https://t.co/BmNsvCxwYu https://t.co/SlxDcr8ctR</v>
      </c>
      <c r="C1699" s="2" t="s">
        <v>3992</v>
      </c>
      <c r="D1699" s="1" t="s">
        <v>3993</v>
      </c>
    </row>
    <row r="1700" spans="1:4" x14ac:dyDescent="0.15">
      <c r="A1700" s="1" t="s">
        <v>3994</v>
      </c>
      <c r="B1700" s="3" t="str">
        <f ca="1">IFERROR(__xludf.DUMMYFUNCTION("GOOGLETRANSLATE(B1700,""es"",""en"")"),"RT @canalN_: THE LATEST | Government reached an agreement with community members of Fuerbamaba and the road to Las Bambas will no longer be blocked ► https://t.co/BmNsvCxwYu https://t.co/SlxDcr8ctR")</f>
        <v>RT @canalN_: THE LATEST | Government reached an agreement with community members of Fuerbamaba and the road to Las Bambas will no longer be blocked ► https://t.co/BmNsvCxwYu https://t.co/SlxDcr8ctR</v>
      </c>
      <c r="C1700" s="2" t="s">
        <v>3995</v>
      </c>
      <c r="D1700" s="1" t="s">
        <v>3996</v>
      </c>
    </row>
    <row r="1701" spans="1:4" x14ac:dyDescent="0.15">
      <c r="A1701" s="1" t="s">
        <v>472</v>
      </c>
      <c r="B1701" s="3" t="str">
        <f ca="1">IFERROR(__xludf.DUMMYFUNCTION("GOOGLETRANSLATE(B1701,""es"",""en"")"),"RT @Politica_LR: Cardinal Pedro Barreto: Peru has to learn from history to stop conflicts like Las Bambas ► https://t.co/PptOwq0Ieo https://t.co/0O14wqjFse")</f>
        <v>RT @Politica_LR: Cardinal Pedro Barreto: Peru has to learn from history to stop conflicts like Las Bambas ► https://t.co/PptOwq0Ieo https://t.co/0O14wqjFse</v>
      </c>
      <c r="C1701" s="2" t="s">
        <v>3997</v>
      </c>
      <c r="D1701" s="1" t="s">
        <v>3998</v>
      </c>
    </row>
    <row r="1702" spans="1:4" x14ac:dyDescent="0.15">
      <c r="A1702" s="1" t="s">
        <v>3999</v>
      </c>
      <c r="B1702" s="3" t="str">
        <f ca="1">IFERROR(__xludf.DUMMYFUNCTION("GOOGLETRANSLATE(B1702,""es"",""en"")"),"RT @edyerc: The protest of the Fuerabamba Community is lifted and the PCM, through the mediation of the Episcopal Conference, manages to get the community and the Las Bambas Mine to reach an agreement.
Tremendous achievement under the award of @saldelsol"&amp;". Excellent news for the country! https://t.co/10Sv6S2E4C")</f>
        <v>RT @edyerc: The protest of the Fuerabamba Community is lifted and the PCM, through the mediation of the Episcopal Conference, manages to get the community and the Las Bambas Mine to reach an agreement.
Tremendous achievement under the award of @saldelsol. Excellent news for the country! https://t.co/10Sv6S2E4C</v>
      </c>
      <c r="C1702" s="2" t="s">
        <v>4000</v>
      </c>
      <c r="D1702" s="1" t="s">
        <v>4001</v>
      </c>
    </row>
    <row r="1703" spans="1:4" x14ac:dyDescent="0.15">
      <c r="A1703" s="1" t="s">
        <v>1427</v>
      </c>
      <c r="B1703" s="3" t="str">
        <f ca="1">IFERROR(__xludf.DUMMYFUNCTION("GOOGLETRANSLATE(B1703,""es"",""en"")"),"RT @LucianoRevoredo: In Bambas they took the road and the government is on its knees. They have put Vizcarra in check. What do we hope is that we don't block the ditch until it removes gender ideology")</f>
        <v>RT @LucianoRevoredo: In Bambas they took the road and the government is on its knees. They have put Vizcarra in check. What do we hope is that we don't block the ditch until it removes gender ideology</v>
      </c>
      <c r="C1703" s="2" t="s">
        <v>4002</v>
      </c>
      <c r="D1703" s="1" t="s">
        <v>4003</v>
      </c>
    </row>
    <row r="1704" spans="1:4" x14ac:dyDescent="0.15">
      <c r="A1704" s="1" t="s">
        <v>124</v>
      </c>
      <c r="B1704" s="3" t="str">
        <f ca="1">IFERROR(__xludf.DUMMYFUNCTION("GOOGLETRANSLATE(B1704,""es"",""en"")"),"🚨 End of the conflict? 🔊 They announce the unblocking of the road to the Las Bambas mining company after an agreement between the community of Fuerabamba and the mining company. Government and Episcopal Conference participated in a meeting that conclude"&amp;"d with several agreements.
https://t.co/3pXZNYtUxT")</f>
        <v>🚨 End of the conflict? 🔊 They announce the unblocking of the road to the Las Bambas mining company after an agreement between the community of Fuerabamba and the mining company. Government and Episcopal Conference participated in a meeting that concluded with several agreements.
https://t.co/3pXZNYtUxT</v>
      </c>
      <c r="C1704" s="2" t="s">
        <v>4004</v>
      </c>
      <c r="D1704" s="1" t="s">
        <v>4005</v>
      </c>
    </row>
    <row r="1705" spans="1:4" x14ac:dyDescent="0.15">
      <c r="A1705" s="1" t="s">
        <v>4006</v>
      </c>
      <c r="B1705" s="3" t="str">
        <f ca="1">IFERROR(__xludf.DUMMYFUNCTION("GOOGLETRANSLATE(B1705,""es"",""en"")"),"RT @noticiAmerica: THE LATEST | Government reached an agreement with community members of Fuerbamaba and the road to Las Bambas will no longer be blocked ► https://t.co/7Z1rBPqUXS https://t.co/BEUfzWWLtk")</f>
        <v>RT @noticiAmerica: THE LATEST | Government reached an agreement with community members of Fuerbamaba and the road to Las Bambas will no longer be blocked ► https://t.co/7Z1rBPqUXS https://t.co/BEUfzWWLtk</v>
      </c>
      <c r="C1705" s="2" t="s">
        <v>4007</v>
      </c>
      <c r="D1705" s="1" t="s">
        <v>4008</v>
      </c>
    </row>
    <row r="1706" spans="1:4" x14ac:dyDescent="0.15">
      <c r="A1706" s="1" t="s">
        <v>4009</v>
      </c>
      <c r="B1706" s="3" t="str">
        <f ca="1">IFERROR(__xludf.DUMMYFUNCTION("GOOGLETRANSLATE(B1706,""es"",""en"")"),"RT @conf_episcopal: #Urgente Minutes of the meeting with the communities of Fuerabamba, the PCM, the MMG Las Bambas company, the Presidency of the Episcopal Conference on #LasBambas https://t.co/m49mllccgY")</f>
        <v>RT @conf_episcopal: #Urgente Minutes of the meeting with the communities of Fuerabamba, the PCM, the MMG Las Bambas company, the Presidency of the Episcopal Conference on #LasBambas https://t.co/m49mllccgY</v>
      </c>
      <c r="C1706" s="2" t="s">
        <v>4010</v>
      </c>
      <c r="D1706" s="1" t="s">
        <v>4011</v>
      </c>
    </row>
    <row r="1707" spans="1:4" x14ac:dyDescent="0.15">
      <c r="A1707" s="1" t="s">
        <v>4012</v>
      </c>
      <c r="B1707" s="3" t="str">
        <f ca="1">IFERROR(__xludf.DUMMYFUNCTION("GOOGLETRANSLATE(B1707,""es"",""en"")"),"RT @LaiaVega9: Sneakers, sneakers and flip flops https://t.co/Uuy8bkXySn")</f>
        <v>RT @LaiaVega9: Sneakers, sneakers and flip flops https://t.co/Uuy8bkXySn</v>
      </c>
      <c r="C1707" s="2" t="s">
        <v>4013</v>
      </c>
      <c r="D1707" s="1" t="s">
        <v>4014</v>
      </c>
    </row>
    <row r="1708" spans="1:4" x14ac:dyDescent="0.15">
      <c r="A1708" s="1" t="s">
        <v>4015</v>
      </c>
      <c r="B1708" s="3" t="str">
        <f ca="1">IFERROR(__xludf.DUMMYFUNCTION("GOOGLETRANSLATE(B1708,""es"",""en"")"),"RT @dw_espanol: The access road to the Las Bambas mine, which crosses some fields ceded to indigenous farmers in exchange for land from the mining exploitation itself, had been blocked for two months due to the protest of the communities (lgc) #Peru # The"&amp;" Bambas
https://t.co/4u2LuZDg4U")</f>
        <v>RT @dw_espanol: The access road to the Las Bambas mine, which crosses some fields ceded to indigenous farmers in exchange for land from the mining exploitation itself, had been blocked for two months due to the protest of the communities (lgc) #Peru # The Bambas
https://t.co/4u2LuZDg4U</v>
      </c>
      <c r="C1708" s="2" t="s">
        <v>4016</v>
      </c>
      <c r="D1708" s="1" t="s">
        <v>4014</v>
      </c>
    </row>
    <row r="1709" spans="1:4" x14ac:dyDescent="0.15">
      <c r="A1709" s="1" t="s">
        <v>4017</v>
      </c>
      <c r="B1709" s="3" t="str">
        <f ca="1">IFERROR(__xludf.DUMMYFUNCTION("GOOGLETRANSLATE(B1709,""es"",""en"")"),"RT @JBCPERU: The government that does not govern, by Fernando Rospigliosi | Opinion | Still a columnist for El Comercio Perú. https://t.co/fMguAe6xRI")</f>
        <v>RT @JBCPERU: The government that does not govern, by Fernando Rospigliosi | Opinion | Still a columnist for El Comercio Perú. https://t.co/fMguAe6xRI</v>
      </c>
      <c r="C1709" s="2" t="s">
        <v>4018</v>
      </c>
      <c r="D1709" s="1" t="s">
        <v>4019</v>
      </c>
    </row>
    <row r="1710" spans="1:4" x14ac:dyDescent="0.15">
      <c r="A1710" s="1" t="s">
        <v>4020</v>
      </c>
      <c r="B1710" s="3" t="str">
        <f ca="1">IFERROR(__xludf.DUMMYFUNCTION("GOOGLETRANSLATE(B1710,""es"",""en"")"),"@13hadaverde 1- Sneakers (or championes) 😎
2- home slippers
3 - flip flops 
My Uruguayan-Catalan mix of all the terms is sometimes a bit confusing 😊")</f>
        <v>@13hadaverde 1- Sneakers (or championes) 😎
2- home slippers
3 - flip flops 
My Uruguayan-Catalan mix of all the terms is sometimes a bit confusing 😊</v>
      </c>
      <c r="C1710" s="2" t="s">
        <v>4021</v>
      </c>
      <c r="D1710" s="1" t="s">
        <v>4019</v>
      </c>
    </row>
    <row r="1711" spans="1:4" x14ac:dyDescent="0.15">
      <c r="A1711" s="1" t="s">
        <v>4022</v>
      </c>
      <c r="B1711" s="3" t="str">
        <f ca="1">IFERROR(__xludf.DUMMYFUNCTION("GOOGLETRANSLATE(B1711,""es"",""en"")"),"1) Sneakers 2) Home slippers 3) Flip flops https://t.co/MWbHMY9vMr")</f>
        <v>1) Sneakers 2) Home slippers 3) Flip flops https://t.co/MWbHMY9vMr</v>
      </c>
      <c r="C1711" s="2" t="s">
        <v>4023</v>
      </c>
      <c r="D1711" s="1" t="s">
        <v>4024</v>
      </c>
    </row>
    <row r="1712" spans="1:4" x14ac:dyDescent="0.15">
      <c r="A1712" s="1" t="s">
        <v>4025</v>
      </c>
      <c r="B1712" s="3" t="str">
        <f ca="1">IFERROR(__xludf.DUMMYFUNCTION("GOOGLETRANSLATE(B1712,""es"",""en"")"),"RT @elscorpione1950: If @MartinVizcarraC has ZERO in reading comprehension of the Constitution (IGNORANT Bernales told him) the less he will understand the Penal Code, that is why HE VIOLATES THE LAW with the support of HIS @FiscaliaPeru. The government t"&amp;"hat does not govern by Rospigliosi https://t.co/6IkbKW3p3k via @elcomercio_peru")</f>
        <v>RT @elscorpione1950: If @MartinVizcarraC has ZERO in reading comprehension of the Constitution (IGNORANT Bernales told him) the less he will understand the Penal Code, that is why HE VIOLATES THE LAW with the support of HIS @FiscaliaPeru. The government that does not govern by Rospigliosi https://t.co/6IkbKW3p3k via @elcomercio_peru</v>
      </c>
      <c r="C1712" s="2" t="s">
        <v>4026</v>
      </c>
      <c r="D1712" s="1" t="s">
        <v>4027</v>
      </c>
    </row>
    <row r="1713" spans="1:4" x14ac:dyDescent="0.15">
      <c r="A1713" s="1" t="s">
        <v>4028</v>
      </c>
      <c r="B1713" s="3" t="str">
        <f ca="1">IFERROR(__xludf.DUMMYFUNCTION("GOOGLETRANSLATE(B1713,""es"",""en"")"),"RT @fxfthxrmxnx3: 1) sneakers
2) sneakers
3) flip flops/flip-flops https://t.co/8YKMujwKSN")</f>
        <v>RT @fxfthxrmxnx3: 1) sneakers
2) sneakers
3) flip flops/flip-flops https://t.co/8YKMujwKSN</v>
      </c>
      <c r="C1713" s="2" t="s">
        <v>4029</v>
      </c>
      <c r="D1713" s="1" t="s">
        <v>4030</v>
      </c>
    </row>
    <row r="1714" spans="1:4" x14ac:dyDescent="0.15">
      <c r="A1714" s="1" t="s">
        <v>4031</v>
      </c>
      <c r="B1714" s="3" t="str">
        <f ca="1">IFERROR(__xludf.DUMMYFUNCTION("GOOGLETRANSLATE(B1714,""es"",""en"")"),"@LadyTyphlosion 1. Sneakers
2. Sneakers
3. Flip flops")</f>
        <v>@LadyTyphlosion 1. Sneakers
2. Sneakers
3. Flip flops</v>
      </c>
      <c r="C1714" s="2" t="s">
        <v>4032</v>
      </c>
      <c r="D1714" s="1" t="s">
        <v>4030</v>
      </c>
    </row>
    <row r="1715" spans="1:4" x14ac:dyDescent="0.15">
      <c r="A1715" s="1" t="s">
        <v>4033</v>
      </c>
      <c r="B1715" s="3" t="str">
        <f ca="1">IFERROR(__xludf.DUMMYFUNCTION("GOOGLETRANSLATE(B1715,""es"",""en"")"),"RT @melomoreno: 1) Sneakers
2) Sneakers
3) Flip flops https://t.co/bqmZwfT3XU")</f>
        <v>RT @melomoreno: 1) Sneakers
2) Sneakers
3) Flip flops https://t.co/bqmZwfT3XU</v>
      </c>
      <c r="C1715" s="2" t="s">
        <v>4034</v>
      </c>
      <c r="D1715" s="1" t="s">
        <v>4035</v>
      </c>
    </row>
    <row r="1716" spans="1:4" x14ac:dyDescent="0.15">
      <c r="A1716" s="1" t="s">
        <v>4036</v>
      </c>
      <c r="B1716" s="3" t="str">
        <f ca="1">IFERROR(__xludf.DUMMYFUNCTION("GOOGLETRANSLATE(B1716,""es"",""en"")"),"1) Sneakers
2) house slippers
3) flip flops https://t.co/Wc9EwxIp0F")</f>
        <v>1) Sneakers
2) house slippers
3) flip flops https://t.co/Wc9EwxIp0F</v>
      </c>
      <c r="C1716" s="2" t="s">
        <v>4037</v>
      </c>
      <c r="D1716" s="1" t="s">
        <v>4035</v>
      </c>
    </row>
    <row r="1717" spans="1:4" x14ac:dyDescent="0.15">
      <c r="A1717" s="1" t="s">
        <v>4038</v>
      </c>
      <c r="B1717" s="3" t="str">
        <f ca="1">IFERROR(__xludf.DUMMYFUNCTION("GOOGLETRANSLATE(B1717,""es"",""en"")"),"as legs chegam to ficar sneakers https://t.co/3Yh0Ac3cWt")</f>
        <v>as legs chegam to ficar sneakers https://t.co/3Yh0Ac3cWt</v>
      </c>
      <c r="C1717" s="2" t="s">
        <v>4039</v>
      </c>
      <c r="D1717" s="1" t="s">
        <v>4040</v>
      </c>
    </row>
    <row r="1718" spans="1:4" x14ac:dyDescent="0.15">
      <c r="A1718" s="1" t="s">
        <v>4041</v>
      </c>
      <c r="B1718" s="3" t="str">
        <f ca="1">IFERROR(__xludf.DUMMYFUNCTION("GOOGLETRANSLATE(B1718,""es"",""en"")"),"1 sneakers
2 slippers
3 flip flops https://t.co/R6vz68wW7q")</f>
        <v>1 sneakers
2 slippers
3 flip flops https://t.co/R6vz68wW7q</v>
      </c>
      <c r="C1718" s="2" t="s">
        <v>4042</v>
      </c>
      <c r="D1718" s="1" t="s">
        <v>4043</v>
      </c>
    </row>
    <row r="1719" spans="1:4" x14ac:dyDescent="0.15">
      <c r="A1719" s="1" t="s">
        <v>4044</v>
      </c>
      <c r="B1719" s="3" t="str">
        <f ca="1">IFERROR(__xludf.DUMMYFUNCTION("GOOGLETRANSLATE(B1719,""es"",""en"")"),"RT @canalN_: THE LATEST | Government reached an agreement with community members of Fuerbamaba and the road to Las Bambas will no longer be blocked ► https://t.co/BmNsvCxwYu https://t.co/SlxDcr8ctR")</f>
        <v>RT @canalN_: THE LATEST | Government reached an agreement with community members of Fuerbamaba and the road to Las Bambas will no longer be blocked ► https://t.co/BmNsvCxwYu https://t.co/SlxDcr8ctR</v>
      </c>
      <c r="C1719" s="2" t="s">
        <v>4045</v>
      </c>
      <c r="D1719" s="1" t="s">
        <v>4046</v>
      </c>
    </row>
    <row r="1720" spans="1:4" x14ac:dyDescent="0.15">
      <c r="A1720" s="1" t="s">
        <v>4047</v>
      </c>
      <c r="B1720" s="3" t="str">
        <f ca="1">IFERROR(__xludf.DUMMYFUNCTION("GOOGLETRANSLATE(B1720,""es"",""en"")"),"@Serjfield 1-Bambas (this is the first time I hear bambos)
2-Sneakers
3-Flip flops")</f>
        <v>@Serjfield 1-Bambas (this is the first time I hear bambos)
2-Sneakers
3-Flip flops</v>
      </c>
      <c r="C1720" s="2" t="s">
        <v>4048</v>
      </c>
      <c r="D1720" s="1" t="s">
        <v>4049</v>
      </c>
    </row>
    <row r="1721" spans="1:4" x14ac:dyDescent="0.15">
      <c r="A1721" s="1" t="s">
        <v>2843</v>
      </c>
      <c r="B1721" s="3" t="str">
        <f ca="1">IFERROR(__xludf.DUMMYFUNCTION("GOOGLETRANSLATE(B1721,""es"",""en"")"),"Barreto: Peru has to learn from history to stop confrontations https://t.co/5geZ99eWc8 via @larepublica_pe")</f>
        <v>Barreto: Peru has to learn from history to stop confrontations https://t.co/5geZ99eWc8 via @larepublica_pe</v>
      </c>
      <c r="C1721" s="2" t="s">
        <v>4050</v>
      </c>
      <c r="D1721" s="1" t="s">
        <v>4051</v>
      </c>
    </row>
    <row r="1722" spans="1:4" x14ac:dyDescent="0.15">
      <c r="A1722" s="1" t="s">
        <v>4052</v>
      </c>
      <c r="B1722" s="3" t="str">
        <f ca="1">IFERROR(__xludf.DUMMYFUNCTION("GOOGLETRANSLATE(B1722,""es"",""en"")"),"I want there to be justice in Peru, not just for a few. We ask the Peruvian State not to forget the communities.'  https://t.co/QjfQRHwnsu")</f>
        <v>I want there to be justice in Peru, not just for a few. We ask the Peruvian State not to forget the communities.'  https://t.co/QjfQRHwnsu</v>
      </c>
      <c r="C1722" s="2" t="s">
        <v>4053</v>
      </c>
      <c r="D1722" s="1" t="s">
        <v>4054</v>
      </c>
    </row>
    <row r="1723" spans="1:4" x14ac:dyDescent="0.15">
      <c r="A1723" s="1" t="s">
        <v>4055</v>
      </c>
      <c r="B1723" s="3" t="str">
        <f ca="1">IFERROR(__xludf.DUMMYFUNCTION("GOOGLETRANSLATE(B1723,""es"",""en"")"),"@Serjfield Me, almost: sneakers instead of bambos.")</f>
        <v>@Serjfield Me, almost: sneakers instead of bambos.</v>
      </c>
      <c r="C1723" s="2" t="s">
        <v>4056</v>
      </c>
      <c r="D1723" s="1" t="s">
        <v>4057</v>
      </c>
    </row>
    <row r="1724" spans="1:4" x14ac:dyDescent="0.15">
      <c r="A1724" s="1" t="s">
        <v>4058</v>
      </c>
      <c r="B1724" s="3" t="str">
        <f ca="1">IFERROR(__xludf.DUMMYFUNCTION("GOOGLETRANSLATE(B1724,""es"",""en"")"),"@andercortes And the referee told him: I call them sneakers bro")</f>
        <v>@andercortes And the referee told him: I call them sneakers bro</v>
      </c>
      <c r="C1724" s="2" t="s">
        <v>4059</v>
      </c>
      <c r="D1724" s="1" t="s">
        <v>4060</v>
      </c>
    </row>
    <row r="1725" spans="1:4" x14ac:dyDescent="0.15">
      <c r="A1725" s="1" t="s">
        <v>4061</v>
      </c>
      <c r="B1725" s="3" t="str">
        <f ca="1">IFERROR(__xludf.DUMMYFUNCTION("GOOGLETRANSLATE(B1725,""es"",""en"")"),"Sneakers
Slippers.
Flip flops or sandals.
MAN NOW. https://t.co/6rodMFErmF")</f>
        <v>Sneakers
Slippers.
Flip flops or sandals.
MAN NOW. https://t.co/6rodMFErmF</v>
      </c>
      <c r="C1725" s="2" t="s">
        <v>4062</v>
      </c>
      <c r="D1725" s="1" t="s">
        <v>4060</v>
      </c>
    </row>
    <row r="1726" spans="1:4" x14ac:dyDescent="0.15">
      <c r="A1726" s="1" t="s">
        <v>4063</v>
      </c>
      <c r="B1726" s="3" t="str">
        <f ca="1">IFERROR(__xludf.DUMMYFUNCTION("GOOGLETRANSLATE(B1726,""es"",""en"")"),"RT @1996Javi: 1) Sneakers
2) Sneakers
3) Flip flops https://t.co/8CwQSdUM5K")</f>
        <v>RT @1996Javi: 1) Sneakers
2) Sneakers
3) Flip flops https://t.co/8CwQSdUM5K</v>
      </c>
      <c r="C1726" s="2" t="s">
        <v>4064</v>
      </c>
      <c r="D1726" s="1" t="s">
        <v>4065</v>
      </c>
    </row>
    <row r="1727" spans="1:4" x14ac:dyDescent="0.15">
      <c r="A1727" s="1" t="s">
        <v>4066</v>
      </c>
      <c r="B1727" s="3" t="str">
        <f ca="1">IFERROR(__xludf.DUMMYFUNCTION("GOOGLETRANSLATE(B1727,""es"",""en"")"),"RT @melomoreno: 1) Sneakers
2) Sneakers
3) Flip flops https://t.co/bqmZwfT3XU")</f>
        <v>RT @melomoreno: 1) Sneakers
2) Sneakers
3) Flip flops https://t.co/bqmZwfT3XU</v>
      </c>
      <c r="C1727" s="2" t="s">
        <v>4067</v>
      </c>
      <c r="D1727" s="1" t="s">
        <v>4068</v>
      </c>
    </row>
    <row r="1728" spans="1:4" x14ac:dyDescent="0.15">
      <c r="A1728" s="1" t="s">
        <v>4069</v>
      </c>
      <c r="B1728" s="3" t="str">
        <f ca="1">IFERROR(__xludf.DUMMYFUNCTION("GOOGLETRANSLATE(B1728,""es"",""en"")"),"RT @1996Javi: 1) Sneakers
2) Sneakers
3) Flip flops https://t.co/8CwQSdUM5K")</f>
        <v>RT @1996Javi: 1) Sneakers
2) Sneakers
3) Flip flops https://t.co/8CwQSdUM5K</v>
      </c>
      <c r="C1728" s="2" t="s">
        <v>4070</v>
      </c>
      <c r="D1728" s="1" t="s">
        <v>4071</v>
      </c>
    </row>
    <row r="1729" spans="1:4" x14ac:dyDescent="0.15">
      <c r="A1729" s="1" t="s">
        <v>4072</v>
      </c>
      <c r="B1729" s="3" t="str">
        <f ca="1">IFERROR(__xludf.DUMMYFUNCTION("GOOGLETRANSLATE(B1729,""es"",""en"")"),"Sneakers, slippers and flip flops https://t.co/PlLrcJh0N9")</f>
        <v>Sneakers, slippers and flip flops https://t.co/PlLrcJh0N9</v>
      </c>
      <c r="C1729" s="2" t="s">
        <v>4073</v>
      </c>
      <c r="D1729" s="1" t="s">
        <v>4074</v>
      </c>
    </row>
    <row r="1730" spans="1:4" x14ac:dyDescent="0.15">
      <c r="A1730" s="1" t="s">
        <v>4075</v>
      </c>
      <c r="B1730" s="3" t="str">
        <f ca="1">IFERROR(__xludf.DUMMYFUNCTION("GOOGLETRANSLATE(B1730,""es"",""en"")"),"@WuaJordi 1. Sneakers
2. House slippers
3. Flip flops
Obvious.")</f>
        <v>@WuaJordi 1. Sneakers
2. House slippers
3. Flip flops
Obvious.</v>
      </c>
      <c r="C1730" s="2" t="s">
        <v>4076</v>
      </c>
      <c r="D1730" s="1" t="s">
        <v>4077</v>
      </c>
    </row>
    <row r="1731" spans="1:4" x14ac:dyDescent="0.15">
      <c r="A1731" s="1" t="s">
        <v>4078</v>
      </c>
      <c r="B1731" s="3" t="str">
        <f ca="1">IFERROR(__xludf.DUMMYFUNCTION("GOOGLETRANSLATE(B1731,""es"",""en"")"),"RT @1996Javi: 1) Sneakers
2) Sneakers
3) Flip flops https://t.co/8CwQSdUM5K")</f>
        <v>RT @1996Javi: 1) Sneakers
2) Sneakers
3) Flip flops https://t.co/8CwQSdUM5K</v>
      </c>
      <c r="C1731" s="2" t="s">
        <v>4079</v>
      </c>
      <c r="D1731" s="1" t="s">
        <v>4077</v>
      </c>
    </row>
    <row r="1732" spans="1:4" x14ac:dyDescent="0.15">
      <c r="A1732" s="1" t="s">
        <v>4080</v>
      </c>
      <c r="B1732" s="3" t="str">
        <f ca="1">IFERROR(__xludf.DUMMYFUNCTION("GOOGLETRANSLATE(B1732,""es"",""en"")"),"1) sneakers
2) sneakers
3) flip flops
I mean, since when do you call banbas ""tennis"" if you're not going to play tennis jsjsjsjajajsjajsjakskalaksjakajs https://t.co/SXDBNAcV1z")</f>
        <v>1) sneakers
2) sneakers
3) flip flops
I mean, since when do you call banbas "tennis" if you're not going to play tennis jsjsjsjajajsjajsjakskalaksjakajs https://t.co/SXDBNAcV1z</v>
      </c>
      <c r="C1732" s="2" t="s">
        <v>4081</v>
      </c>
      <c r="D1732" s="1" t="s">
        <v>4077</v>
      </c>
    </row>
    <row r="1733" spans="1:4" x14ac:dyDescent="0.15">
      <c r="A1733" s="1" t="s">
        <v>4082</v>
      </c>
      <c r="B1733" s="3" t="str">
        <f ca="1">IFERROR(__xludf.DUMMYFUNCTION("GOOGLETRANSLATE(B1733,""es"",""en"")"),"RT @1996Javi: 1) Sneakers
2) Sneakers
3) Flip flops https://t.co/8CwQSdUM5K")</f>
        <v>RT @1996Javi: 1) Sneakers
2) Sneakers
3) Flip flops https://t.co/8CwQSdUM5K</v>
      </c>
      <c r="C1733" s="2" t="s">
        <v>4083</v>
      </c>
      <c r="D1733" s="1" t="s">
        <v>4077</v>
      </c>
    </row>
    <row r="1734" spans="1:4" x14ac:dyDescent="0.15">
      <c r="A1734" s="1" t="s">
        <v>4084</v>
      </c>
      <c r="B1734" s="3" t="str">
        <f ca="1">IFERROR(__xludf.DUMMYFUNCTION("GOOGLETRANSLATE(B1734,""es"",""en"")"),"RT @melomoreno: 1) Sneakers
2) Sneakers
3) Flip flops https://t.co/bqmZwfT3XU")</f>
        <v>RT @melomoreno: 1) Sneakers
2) Sneakers
3) Flip flops https://t.co/bqmZwfT3XU</v>
      </c>
      <c r="C1734" s="2" t="s">
        <v>4085</v>
      </c>
      <c r="D1734" s="1" t="s">
        <v>4086</v>
      </c>
    </row>
    <row r="1735" spans="1:4" x14ac:dyDescent="0.15">
      <c r="A1735" s="1" t="s">
        <v>4087</v>
      </c>
      <c r="B1735" s="3" t="str">
        <f ca="1">IFERROR(__xludf.DUMMYFUNCTION("GOOGLETRANSLATE(B1735,""es"",""en"")"),"THE STATE RECOGNIZES
That the national road that crosses the communities located in Las Bambas... DOES NOT EXIST. https://t.co/gQYYOpnQVZ")</f>
        <v>THE STATE RECOGNIZES
That the national road that crosses the communities located in Las Bambas... DOES NOT EXIST. https://t.co/gQYYOpnQVZ</v>
      </c>
      <c r="C1735" s="2" t="s">
        <v>4088</v>
      </c>
      <c r="D1735" s="1" t="s">
        <v>4089</v>
      </c>
    </row>
    <row r="1736" spans="1:4" x14ac:dyDescent="0.15">
      <c r="A1736" s="1" t="s">
        <v>2901</v>
      </c>
      <c r="B1736" s="3" t="str">
        <f ca="1">IFERROR(__xludf.DUMMYFUNCTION("GOOGLETRANSLATE(B1736,""es"",""en"")"),"RT @canalN_: THE LATEST | Government reached an agreement with community members of Fuerbamaba and the road to Las Bambas will no longer be blocked ► https://t.co/BmNsvCxwYu https://t.co/SlxDcr8ctR")</f>
        <v>RT @canalN_: THE LATEST | Government reached an agreement with community members of Fuerbamaba and the road to Las Bambas will no longer be blocked ► https://t.co/BmNsvCxwYu https://t.co/SlxDcr8ctR</v>
      </c>
      <c r="C1736" s="2" t="s">
        <v>4090</v>
      </c>
      <c r="D1736" s="1" t="s">
        <v>4091</v>
      </c>
    </row>
    <row r="1737" spans="1:4" x14ac:dyDescent="0.15">
      <c r="A1737" s="1" t="s">
        <v>1288</v>
      </c>
      <c r="B1737" s="3" t="str">
        <f ca="1">IFERROR(__xludf.DUMMYFUNCTION("GOOGLETRANSLATE(B1737,""es"",""en"")"),"RT @DialogoFe: Cardinal Cipriani: ""At this moment the role of the Church is not to be a specialist in Las Bambas. Its role is to help them talk, to not fight"" #DiálogoDeFe")</f>
        <v>RT @DialogoFe: Cardinal Cipriani: "At this moment the role of the Church is not to be a specialist in Las Bambas. Its role is to help them talk, to not fight" #DiálogoDeFe</v>
      </c>
      <c r="C1737" s="2" t="s">
        <v>4092</v>
      </c>
      <c r="D1737" s="1" t="s">
        <v>4091</v>
      </c>
    </row>
    <row r="1738" spans="1:4" x14ac:dyDescent="0.15">
      <c r="A1738" s="1" t="s">
        <v>4093</v>
      </c>
      <c r="B1738" s="3" t="str">
        <f ca="1">IFERROR(__xludf.DUMMYFUNCTION("GOOGLETRANSLATE(B1738,""es"",""en"")"),"RT @1996Javi: 1) Sneakers
2) Sneakers
3) Flip flops https://t.co/8CwQSdUM5K")</f>
        <v>RT @1996Javi: 1) Sneakers
2) Sneakers
3) Flip flops https://t.co/8CwQSdUM5K</v>
      </c>
      <c r="C1738" s="2" t="s">
        <v>4094</v>
      </c>
      <c r="D1738" s="1" t="s">
        <v>4095</v>
      </c>
    </row>
    <row r="1739" spans="1:4" x14ac:dyDescent="0.15">
      <c r="A1739" s="1" t="s">
        <v>2180</v>
      </c>
      <c r="B1739" s="3" t="str">
        <f ca="1">IFERROR(__xludf.DUMMYFUNCTION("GOOGLETRANSLATE(B1739,""es"",""en"")"),"RT @Frospigliosi: The most serious thing of all is that the President of the Republic himself supports a group of people who are unquestionably violating the law https://t.co/InHXDnb66P")</f>
        <v>RT @Frospigliosi: The most serious thing of all is that the President of the Republic himself supports a group of people who are unquestionably violating the law https://t.co/InHXDnb66P</v>
      </c>
      <c r="C1739" s="2" t="s">
        <v>4096</v>
      </c>
      <c r="D1739" s="1" t="s">
        <v>4095</v>
      </c>
    </row>
    <row r="1740" spans="1:4" x14ac:dyDescent="0.15">
      <c r="A1740" s="1" t="s">
        <v>510</v>
      </c>
      <c r="B1740" s="3" t="str">
        <f ca="1">IFERROR(__xludf.DUMMYFUNCTION("GOOGLETRANSLATE(B1740,""es"",""en"")"),"RT @canalN_: THE LATEST | Government reached an agreement with community members of Fuerbamaba and the road to Las Bambas will no longer be blocked ► https://t.co/BmNsvCxwYu https://t.co/SlxDcr8ctR")</f>
        <v>RT @canalN_: THE LATEST | Government reached an agreement with community members of Fuerbamaba and the road to Las Bambas will no longer be blocked ► https://t.co/BmNsvCxwYu https://t.co/SlxDcr8ctR</v>
      </c>
      <c r="C1740" s="2" t="s">
        <v>4097</v>
      </c>
      <c r="D1740" s="1" t="s">
        <v>4095</v>
      </c>
    </row>
    <row r="1741" spans="1:4" x14ac:dyDescent="0.15">
      <c r="A1741" s="1" t="s">
        <v>4098</v>
      </c>
      <c r="B1741" s="3" t="str">
        <f ca="1">IFERROR(__xludf.DUMMYFUNCTION("GOOGLETRANSLATE(B1741,""es"",""en"")"),"RT @1996Javi: 1) Sneakers
2) Sneakers
3) Flip flops https://t.co/8CwQSdUM5K")</f>
        <v>RT @1996Javi: 1) Sneakers
2) Sneakers
3) Flip flops https://t.co/8CwQSdUM5K</v>
      </c>
      <c r="C1741" s="2" t="s">
        <v>4099</v>
      </c>
      <c r="D1741" s="1" t="s">
        <v>4095</v>
      </c>
    </row>
    <row r="1742" spans="1:4" x14ac:dyDescent="0.15">
      <c r="A1742" s="1" t="s">
        <v>4100</v>
      </c>
      <c r="B1742" s="3" t="str">
        <f ca="1">IFERROR(__xludf.DUMMYFUNCTION("GOOGLETRANSLATE(B1742,""es"",""en"")"),"RT @1996Javi: 1) Sneakers
2) Sneakers
3) Flip flops https://t.co/8CwQSdUM5K")</f>
        <v>RT @1996Javi: 1) Sneakers
2) Sneakers
3) Flip flops https://t.co/8CwQSdUM5K</v>
      </c>
      <c r="C1742" s="2" t="s">
        <v>4101</v>
      </c>
      <c r="D1742" s="1" t="s">
        <v>4095</v>
      </c>
    </row>
    <row r="1743" spans="1:4" x14ac:dyDescent="0.15">
      <c r="A1743" s="1" t="s">
        <v>4102</v>
      </c>
      <c r="B1743" s="3" t="str">
        <f ca="1">IFERROR(__xludf.DUMMYFUNCTION("GOOGLETRANSLATE(B1743,""es"",""en"")"),"@LadyTyphlosion 1) Sneakers
2) Slippers
3) Flip flops
Cholas??? What the hell is that? 😵")</f>
        <v>@LadyTyphlosion 1) Sneakers
2) Slippers
3) Flip flops
Cholas??? What the hell is that? 😵</v>
      </c>
      <c r="C1743" s="2" t="s">
        <v>4103</v>
      </c>
      <c r="D1743" s="1" t="s">
        <v>4095</v>
      </c>
    </row>
    <row r="1744" spans="1:4" x14ac:dyDescent="0.15">
      <c r="A1744" s="1" t="s">
        <v>4104</v>
      </c>
      <c r="B1744" s="3" t="str">
        <f ca="1">IFERROR(__xludf.DUMMYFUNCTION("GOOGLETRANSLATE(B1744,""es"",""en"")"),"RT @Frospigliosi: The most serious thing of all is that the President of the Republic himself supports a group of people who are unquestionably violating the law https://t.co/InHXDnb66P")</f>
        <v>RT @Frospigliosi: The most serious thing of all is that the President of the Republic himself supports a group of people who are unquestionably violating the law https://t.co/InHXDnb66P</v>
      </c>
      <c r="C1744" s="2" t="s">
        <v>4105</v>
      </c>
      <c r="D1744" s="1" t="s">
        <v>4095</v>
      </c>
    </row>
    <row r="1745" spans="1:4" x14ac:dyDescent="0.15">
      <c r="A1745" s="1" t="s">
        <v>2180</v>
      </c>
      <c r="B1745" s="3" t="str">
        <f ca="1">IFERROR(__xludf.DUMMYFUNCTION("GOOGLETRANSLATE(B1745,""es"",""en"")"),"RT @JBCPERU: The government that does not govern, by Fernando Rospigliosi | Opinion | Still a columnist for El Comercio Perú. https://t.co/fMguAe6xRI")</f>
        <v>RT @JBCPERU: The government that does not govern, by Fernando Rospigliosi | Opinion | Still a columnist for El Comercio Perú. https://t.co/fMguAe6xRI</v>
      </c>
      <c r="C1745" s="2" t="s">
        <v>4106</v>
      </c>
      <c r="D1745" s="1" t="s">
        <v>4107</v>
      </c>
    </row>
    <row r="1746" spans="1:4" x14ac:dyDescent="0.15">
      <c r="A1746" s="1" t="s">
        <v>4108</v>
      </c>
      <c r="B1746" s="3" t="str">
        <f ca="1">IFERROR(__xludf.DUMMYFUNCTION("GOOGLETRANSLATE(B1746,""es"",""en"")"),"1) Sneakers
2) House slippers
3) Flip flops https://t.co/v4XAjUHbES")</f>
        <v>1) Sneakers
2) House slippers
3) Flip flops https://t.co/v4XAjUHbES</v>
      </c>
      <c r="C1746" s="2" t="s">
        <v>4109</v>
      </c>
      <c r="D1746" s="1" t="s">
        <v>4107</v>
      </c>
    </row>
    <row r="1747" spans="1:4" x14ac:dyDescent="0.15">
      <c r="A1747" s="1" t="s">
        <v>4110</v>
      </c>
      <c r="B1747" s="3" t="str">
        <f ca="1">IFERROR(__xludf.DUMMYFUNCTION("GOOGLETRANSLATE(B1747,""es"",""en"")"),"1. Sneakers
2. Slippers
3. Flip flops https://t.co/NxJEYmpw0w")</f>
        <v>1. Sneakers
2. Slippers
3. Flip flops https://t.co/NxJEYmpw0w</v>
      </c>
      <c r="C1747" s="2" t="s">
        <v>4111</v>
      </c>
      <c r="D1747" s="1" t="s">
        <v>4107</v>
      </c>
    </row>
    <row r="1748" spans="1:4" x14ac:dyDescent="0.15">
      <c r="A1748" s="1" t="s">
        <v>4112</v>
      </c>
      <c r="B1748" s="3" t="str">
        <f ca="1">IFERROR(__xludf.DUMMYFUNCTION("GOOGLETRANSLATE(B1748,""es"",""en"")"),"RT @1996Javi: 1) Sneakers
2) Sneakers
3) Flip flops https://t.co/8CwQSdUM5K")</f>
        <v>RT @1996Javi: 1) Sneakers
2) Sneakers
3) Flip flops https://t.co/8CwQSdUM5K</v>
      </c>
      <c r="C1748" s="2" t="s">
        <v>4113</v>
      </c>
      <c r="D1748" s="1" t="s">
        <v>4114</v>
      </c>
    </row>
    <row r="1749" spans="1:4" x14ac:dyDescent="0.15">
      <c r="A1749" s="1" t="s">
        <v>4115</v>
      </c>
      <c r="B1749" s="3" t="str">
        <f ca="1">IFERROR(__xludf.DUMMYFUNCTION("GOOGLETRANSLATE(B1749,""es"",""en"")"),"RT @edyerc: The protest of the Fuerabamba Community is lifted and the PCM, through the mediation of the Episcopal Conference, manages to get the community and the Las Bambas Mine to reach an agreement.
Tremendous achievement under the award of @saldelsol"&amp;". Excellent news for the country! https://t.co/10Sv6S2E4C")</f>
        <v>RT @edyerc: The protest of the Fuerabamba Community is lifted and the PCM, through the mediation of the Episcopal Conference, manages to get the community and the Las Bambas Mine to reach an agreement.
Tremendous achievement under the award of @saldelsol. Excellent news for the country! https://t.co/10Sv6S2E4C</v>
      </c>
      <c r="C1749" s="2" t="s">
        <v>4116</v>
      </c>
      <c r="D1749" s="1" t="s">
        <v>4114</v>
      </c>
    </row>
    <row r="1750" spans="1:4" x14ac:dyDescent="0.15">
      <c r="A1750" s="1" t="s">
        <v>4117</v>
      </c>
      <c r="B1750" s="3" t="str">
        <f ca="1">IFERROR(__xludf.DUMMYFUNCTION("GOOGLETRANSLATE(B1750,""es"",""en"")"),"RT @melomoreno: 1) Sneakers
2) Sneakers
3) Flip flops https://t.co/bqmZwfT3XU")</f>
        <v>RT @melomoreno: 1) Sneakers
2) Sneakers
3) Flip flops https://t.co/bqmZwfT3XU</v>
      </c>
      <c r="C1750" s="2" t="s">
        <v>4118</v>
      </c>
      <c r="D1750" s="1" t="s">
        <v>4119</v>
      </c>
    </row>
    <row r="1751" spans="1:4" x14ac:dyDescent="0.15">
      <c r="A1751" s="1" t="s">
        <v>1751</v>
      </c>
      <c r="B1751" s="3" t="str">
        <f ca="1">IFERROR(__xludf.DUMMYFUNCTION("GOOGLETRANSLATE(B1751,""es"",""en"")"),"Jorge Paredes Terry stated on RPP Noticias that ""the mediators"" have ""misinterpreted"" the agreement they signed with Gregorio Rojas. 
https://t.co/smAuhWzNNO")</f>
        <v>Jorge Paredes Terry stated on RPP Noticias that "the mediators" have "misinterpreted" the agreement they signed with Gregorio Rojas. 
https://t.co/smAuhWzNNO</v>
      </c>
      <c r="C1751" s="2" t="s">
        <v>4120</v>
      </c>
      <c r="D1751" s="1" t="s">
        <v>4119</v>
      </c>
    </row>
    <row r="1752" spans="1:4" x14ac:dyDescent="0.15">
      <c r="A1752" s="1" t="s">
        <v>4121</v>
      </c>
      <c r="B1752" s="3" t="str">
        <f ca="1">IFERROR(__xludf.DUMMYFUNCTION("GOOGLETRANSLATE(B1752,""es"",""en"")"),"Sneakers
Sneakers
Flip flops https://t.co/ckjItCh8Dg")</f>
        <v>Sneakers
Sneakers
Flip flops https://t.co/ckjItCh8Dg</v>
      </c>
      <c r="C1752" s="2" t="s">
        <v>4122</v>
      </c>
      <c r="D1752" s="1" t="s">
        <v>4119</v>
      </c>
    </row>
    <row r="1753" spans="1:4" x14ac:dyDescent="0.15">
      <c r="A1753" s="1" t="s">
        <v>1157</v>
      </c>
      <c r="B1753" s="3" t="str">
        <f ca="1">IFERROR(__xludf.DUMMYFUNCTION("GOOGLETRANSLATE(B1753,""es"",""en"")"),"RT @xafu: FEDERICO SALAZAR
The government's role in the Las Bambas crisis gives a bad signal. It tells the entire world that this is not a good place to bring in investments of 5 or 10 billion dollars. And it is these investments that are required to grow"&amp;" and combat poverty.")</f>
        <v>RT @xafu: FEDERICO SALAZAR
The government's role in the Las Bambas crisis gives a bad signal. It tells the entire world that this is not a good place to bring in investments of 5 or 10 billion dollars. And it is these investments that are required to grow and combat poverty.</v>
      </c>
      <c r="C1753" s="2" t="s">
        <v>4123</v>
      </c>
      <c r="D1753" s="1" t="s">
        <v>4119</v>
      </c>
    </row>
    <row r="1754" spans="1:4" x14ac:dyDescent="0.15">
      <c r="A1754" s="1" t="s">
        <v>4124</v>
      </c>
      <c r="B1754" s="3" t="str">
        <f ca="1">IFERROR(__xludf.DUMMYFUNCTION("GOOGLETRANSLATE(B1754,""es"",""en"")"),"@LadyTyphlosion Sneakers, slippers and flip flops")</f>
        <v>@LadyTyphlosion Sneakers, slippers and flip flops</v>
      </c>
      <c r="C1754" s="2" t="s">
        <v>4125</v>
      </c>
      <c r="D1754" s="1" t="s">
        <v>4126</v>
      </c>
    </row>
    <row r="1755" spans="1:4" x14ac:dyDescent="0.15">
      <c r="A1755" s="1" t="s">
        <v>4127</v>
      </c>
      <c r="B1755" s="3" t="str">
        <f ca="1">IFERROR(__xludf.DUMMYFUNCTION("GOOGLETRANSLATE(B1755,""es"",""en"")"),"RT @jdealthaus: This community cannot ask for anything as long as it continues to commit the crime of blocking. Las Bambas: Community members demand the resignation of the Minister of Energy and Mines and the release of the released community members | Pe"&amp;"ru | Peru21 https://t.co/fGpMR6YDCG")</f>
        <v>RT @jdealthaus: This community cannot ask for anything as long as it continues to commit the crime of blocking. Las Bambas: Community members demand the resignation of the Minister of Energy and Mines and the release of the released community members | Peru | Peru21 https://t.co/fGpMR6YDCG</v>
      </c>
      <c r="C1755" s="2" t="s">
        <v>4128</v>
      </c>
      <c r="D1755" s="1" t="s">
        <v>4126</v>
      </c>
    </row>
    <row r="1756" spans="1:4" x14ac:dyDescent="0.15">
      <c r="A1756" s="1" t="s">
        <v>4129</v>
      </c>
      <c r="B1756" s="3" t="str">
        <f ca="1">IFERROR(__xludf.DUMMYFUNCTION("GOOGLETRANSLATE(B1756,""es"",""en"")"),"Desa Peru setuju akhiri blokade jalan tambang Las Bambas https://t.co/UyQxmIblU1")</f>
        <v>Desa Peru setuju akhiri blokade jalan tambang Las Bambas https://t.co/UyQxmIblU1</v>
      </c>
      <c r="C1756" s="2" t="s">
        <v>4130</v>
      </c>
      <c r="D1756" s="1" t="s">
        <v>4126</v>
      </c>
    </row>
    <row r="1757" spans="1:4" x14ac:dyDescent="0.15">
      <c r="A1757" s="1" t="s">
        <v>4131</v>
      </c>
      <c r="B1757" s="3" t="str">
        <f ca="1">IFERROR(__xludf.DUMMYFUNCTION("GOOGLETRANSLATE(B1757,""es"",""en"")"),"RT @VandameLuis: I bet a thousand dollars that this Bambas agreement is Bamba and it doesn't last 4 weeks, @manifiesto_peru @eudmed @meiermq who said ☠️")</f>
        <v>RT @VandameLuis: I bet a thousand dollars that this Bambas agreement is Bamba and it doesn't last 4 weeks, @manifiesto_peru @eudmed @meiermq who said ☠️</v>
      </c>
      <c r="C1757" s="2" t="s">
        <v>4132</v>
      </c>
      <c r="D1757" s="1" t="s">
        <v>4126</v>
      </c>
    </row>
    <row r="1758" spans="1:4" x14ac:dyDescent="0.15">
      <c r="A1758" s="1" t="s">
        <v>4133</v>
      </c>
      <c r="B1758" s="3" t="str">
        <f ca="1">IFERROR(__xludf.DUMMYFUNCTION("GOOGLETRANSLATE(B1758,""es"",""en"")"),"@LadyTyphlosion Sneakers, house slippers, flip flops")</f>
        <v>@LadyTyphlosion Sneakers, house slippers, flip flops</v>
      </c>
      <c r="C1758" s="2" t="s">
        <v>4134</v>
      </c>
      <c r="D1758" s="1" t="s">
        <v>4126</v>
      </c>
    </row>
    <row r="1759" spans="1:4" x14ac:dyDescent="0.15">
      <c r="A1759" s="1" t="s">
        <v>4135</v>
      </c>
      <c r="B1759" s="3" t="str">
        <f ca="1">IFERROR(__xludf.DUMMYFUNCTION("GOOGLETRANSLATE(B1759,""es"",""en"")"),"RT @atIantxs: esses olhares do taehyung deixam as pernas bambas, credo")</f>
        <v>RT @atIantxs: esses olhares do taehyung deixam as pernas bambas, credo</v>
      </c>
      <c r="C1759" s="2" t="s">
        <v>4136</v>
      </c>
      <c r="D1759" s="1" t="s">
        <v>4126</v>
      </c>
    </row>
    <row r="1760" spans="1:4" x14ac:dyDescent="0.15">
      <c r="A1760" s="1" t="s">
        <v>4137</v>
      </c>
      <c r="B1760" s="3" t="str">
        <f ca="1">IFERROR(__xludf.DUMMYFUNCTION("GOOGLETRANSLATE(B1760,""es"",""en"")"),"RT @1996Javi: 1) Sneakers
2) Sneakers
3) Flip flops https://t.co/8CwQSdUM5K")</f>
        <v>RT @1996Javi: 1) Sneakers
2) Sneakers
3) Flip flops https://t.co/8CwQSdUM5K</v>
      </c>
      <c r="C1760" s="2" t="s">
        <v>4138</v>
      </c>
      <c r="D1760" s="1" t="s">
        <v>4139</v>
      </c>
    </row>
    <row r="1761" spans="1:4" x14ac:dyDescent="0.15">
      <c r="A1761" s="1" t="s">
        <v>1521</v>
      </c>
      <c r="B1761" s="3" t="str">
        <f ca="1">IFERROR(__xludf.DUMMYFUNCTION("GOOGLETRANSLATE(B1761,""es"",""en"")"),"RT @eljorobado: Good for the agreement that gives a truce in Las Bambas. So, the Catholic Church is PCM's new conflict resolution unit? Will serving train religious people in conflict negotiation? Secular State already?")</f>
        <v>RT @eljorobado: Good for the agreement that gives a truce in Las Bambas. So, the Catholic Church is PCM's new conflict resolution unit? Will serving train religious people in conflict negotiation? Secular State already?</v>
      </c>
      <c r="C1761" s="2" t="s">
        <v>4140</v>
      </c>
      <c r="D1761" s="1" t="s">
        <v>4139</v>
      </c>
    </row>
    <row r="1762" spans="1:4" x14ac:dyDescent="0.15">
      <c r="A1762" s="1" t="s">
        <v>4141</v>
      </c>
      <c r="B1762" s="3" t="str">
        <f ca="1">IFERROR(__xludf.DUMMYFUNCTION("GOOGLETRANSLATE(B1762,""es"",""en"")"),"1) Sneakers
2) Sneakers
3) Flip flops https://t.co/z33y0sMHG8")</f>
        <v>1) Sneakers
2) Sneakers
3) Flip flops https://t.co/z33y0sMHG8</v>
      </c>
      <c r="C1762" s="2" t="s">
        <v>4142</v>
      </c>
      <c r="D1762" s="1" t="s">
        <v>4143</v>
      </c>
    </row>
    <row r="1763" spans="1:4" x14ac:dyDescent="0.15">
      <c r="A1763" s="1" t="s">
        <v>4144</v>
      </c>
      <c r="B1763" s="3" t="str">
        <f ca="1">IFERROR(__xludf.DUMMYFUNCTION("GOOGLETRANSLATE(B1763,""es"",""en"")"),"RT @canalN_: The Ombudsman, Walter Gutiérrez, expressed his commitment to continue accompanying the dialogue process https://t.co/6zyCmqE6wm")</f>
        <v>RT @canalN_: The Ombudsman, Walter Gutiérrez, expressed his commitment to continue accompanying the dialogue process https://t.co/6zyCmqE6wm</v>
      </c>
      <c r="C1763" s="2" t="s">
        <v>4145</v>
      </c>
      <c r="D1763" s="1" t="s">
        <v>4143</v>
      </c>
    </row>
    <row r="1764" spans="1:4" x14ac:dyDescent="0.15">
      <c r="A1764" s="1" t="s">
        <v>4146</v>
      </c>
      <c r="B1764" s="3" t="str">
        <f ca="1">IFERROR(__xludf.DUMMYFUNCTION("GOOGLETRANSLATE(B1764,""es"",""en"")"),"and this is why I find them fake, because my pickled cock now pays €1050 for a pair of sneakers
nor for anything in general HAHAHAHAHA https://t.co/St5Grh0EAt")</f>
        <v>and this is why I find them fake, because my pickled cock now pays €1050 for a pair of sneakers
nor for anything in general HAHAHAHAHA https://t.co/St5Grh0EAt</v>
      </c>
      <c r="C1764" s="2" t="s">
        <v>4147</v>
      </c>
      <c r="D1764" s="1" t="s">
        <v>4148</v>
      </c>
    </row>
    <row r="1765" spans="1:4" x14ac:dyDescent="0.15">
      <c r="A1765" s="1" t="s">
        <v>4149</v>
      </c>
      <c r="B1765" s="3" t="str">
        <f ca="1">IFERROR(__xludf.DUMMYFUNCTION("GOOGLETRANSLATE(B1765,""es"",""en"")"),"RT @LucianoRevoredo: In Bambas they took the road and the government is on its knees. They have put Vizcarra in check. What do we hope is that we don't block the ditch until it removes gender ideology")</f>
        <v>RT @LucianoRevoredo: In Bambas they took the road and the government is on its knees. They have put Vizcarra in check. What do we hope is that we don't block the ditch until it removes gender ideology</v>
      </c>
      <c r="C1765" s="2" t="s">
        <v>4150</v>
      </c>
      <c r="D1765" s="1" t="s">
        <v>4148</v>
      </c>
    </row>
    <row r="1766" spans="1:4" x14ac:dyDescent="0.15">
      <c r="A1766" s="1" t="s">
        <v>4151</v>
      </c>
      <c r="B1766" s="3" t="str">
        <f ca="1">IFERROR(__xludf.DUMMYFUNCTION("GOOGLETRANSLATE(B1766,""es"",""en"")"),"RT @Ojo_Publico: #LoÚltimo The prosecutor's office accuses former legal advisors of communities in #Apurímac of being part of a criminal organization dedicated to extortion. #LasBambas https://t.co/DqPEBj2iRk")</f>
        <v>RT @Ojo_Publico: #LoÚltimo The prosecutor's office accuses former legal advisors of communities in #Apurímac of being part of a criminal organization dedicated to extortion. #LasBambas https://t.co/DqPEBj2iRk</v>
      </c>
      <c r="C1766" s="2" t="s">
        <v>4152</v>
      </c>
      <c r="D1766" s="1" t="s">
        <v>4153</v>
      </c>
    </row>
    <row r="1767" spans="1:4" x14ac:dyDescent="0.15">
      <c r="A1767" s="1" t="s">
        <v>4154</v>
      </c>
      <c r="B1767" s="3" t="str">
        <f ca="1">IFERROR(__xludf.DUMMYFUNCTION("GOOGLETRANSLATE(B1767,""es"",""en"")"),"@ruhm_online @Patri_BP_ @CriticaLectura I thought sneakers were exclusively Catalan, in Valencia what I hear the most is sneakers.
In Cantabria: t-shirts (in the past, espais), flip-flop sneakers.
My Valencian girl: slippers, porcas (diminutive of the ver"&amp;"y long ""house slippers""), flip flops")</f>
        <v>@ruhm_online @Patri_BP_ @CriticaLectura I thought sneakers were exclusively Catalan, in Valencia what I hear the most is sneakers.
In Cantabria: t-shirts (in the past, espais), flip-flop sneakers.
My Valencian girl: slippers, porcas (diminutive of the very long "house slippers"), flip flops</v>
      </c>
      <c r="C1767" s="2" t="s">
        <v>4155</v>
      </c>
      <c r="D1767" s="1" t="s">
        <v>4153</v>
      </c>
    </row>
    <row r="1768" spans="1:4" x14ac:dyDescent="0.15">
      <c r="A1768" s="1" t="s">
        <v>4156</v>
      </c>
      <c r="B1768" s="3" t="str">
        <f ca="1">IFERROR(__xludf.DUMMYFUNCTION("GOOGLETRANSLATE(B1768,""es"",""en"")"),"RT @badkaiii: All subnormal
1)vans/sneakers
2)sneakers
3) flip flops https://t.co/BdGIZCk8c3")</f>
        <v>RT @badkaiii: All subnormal
1)vans/sneakers
2)sneakers
3) flip flops https://t.co/BdGIZCk8c3</v>
      </c>
      <c r="C1768" s="2" t="s">
        <v>4157</v>
      </c>
      <c r="D1768" s="1" t="s">
        <v>4153</v>
      </c>
    </row>
    <row r="1769" spans="1:4" x14ac:dyDescent="0.15">
      <c r="A1769" s="1" t="s">
        <v>4158</v>
      </c>
      <c r="B1769" s="3" t="str">
        <f ca="1">IFERROR(__xludf.DUMMYFUNCTION("GOOGLETRANSLATE(B1769,""es"",""en"")"),"@pqSweetener @Francisco666s sentave até minhas pernas ficarem sneakers")</f>
        <v>@pqSweetener @Francisco666s sentave até minhas pernas ficarem sneakers</v>
      </c>
      <c r="C1769" s="2" t="s">
        <v>4159</v>
      </c>
      <c r="D1769" s="1" t="s">
        <v>4153</v>
      </c>
    </row>
    <row r="1770" spans="1:4" x14ac:dyDescent="0.15">
      <c r="A1770" s="1" t="s">
        <v>4160</v>
      </c>
      <c r="B1770" s="3" t="str">
        <f ca="1">IFERROR(__xludf.DUMMYFUNCTION("GOOGLETRANSLATE(B1770,""es"",""en"")"),"@JuliResp @Patri_BP_ @CriticaLectura In Aragon bambas is said in the eastern parts, to specify more, which is fair to be exact. ;)")</f>
        <v>@JuliResp @Patri_BP_ @CriticaLectura In Aragon bambas is said in the eastern parts, to specify more, which is fair to be exact. ;)</v>
      </c>
      <c r="C1770" s="2" t="s">
        <v>4161</v>
      </c>
      <c r="D1770" s="1" t="s">
        <v>4162</v>
      </c>
    </row>
    <row r="1771" spans="1:4" x14ac:dyDescent="0.15">
      <c r="A1771" s="1" t="s">
        <v>4163</v>
      </c>
      <c r="B1771" s="3" t="str">
        <f ca="1">IFERROR(__xludf.DUMMYFUNCTION("GOOGLETRANSLATE(B1771,""es"",""en"")"),"@_QueNoSoyYo @0MrHands0 For me they are sneakers. It's all sneakers, so I don't get messed up.😀")</f>
        <v>@_QueNoSoyYo @0MrHands0 For me they are sneakers. It's all sneakers, so I don't get messed up.😀</v>
      </c>
      <c r="C1771" s="2" t="s">
        <v>4164</v>
      </c>
      <c r="D1771" s="1" t="s">
        <v>4162</v>
      </c>
    </row>
    <row r="1772" spans="1:4" x14ac:dyDescent="0.15">
      <c r="A1772" s="1" t="s">
        <v>4165</v>
      </c>
      <c r="B1772" s="3" t="str">
        <f ca="1">IFERROR(__xludf.DUMMYFUNCTION("GOOGLETRANSLATE(B1772,""es"",""en"")"),"Poor country with this government that lost the principle of authority 
The issue of sneakers is a clear example of that.")</f>
        <v>Poor country with this government that lost the principle of authority 
The issue of sneakers is a clear example of that.</v>
      </c>
      <c r="C1772" s="2" t="s">
        <v>4166</v>
      </c>
      <c r="D1772" s="1" t="s">
        <v>4162</v>
      </c>
    </row>
    <row r="1773" spans="1:4" x14ac:dyDescent="0.15">
      <c r="A1773" s="1" t="s">
        <v>4167</v>
      </c>
      <c r="B1773" s="3" t="str">
        <f ca="1">IFERROR(__xludf.DUMMYFUNCTION("GOOGLETRANSLATE(B1773,""es"",""en"")"),"1) Tennis/sneakers/sneakers (depends on the model)
2) House slippers
3) Flip flops https://t.co/kUe1h1ex3d")</f>
        <v>1) Tennis/sneakers/sneakers (depends on the model)
2) House slippers
3) Flip flops https://t.co/kUe1h1ex3d</v>
      </c>
      <c r="C1773" s="2" t="s">
        <v>4168</v>
      </c>
      <c r="D1773" s="1" t="s">
        <v>4169</v>
      </c>
    </row>
    <row r="1774" spans="1:4" x14ac:dyDescent="0.15">
      <c r="A1774" s="1" t="s">
        <v>4170</v>
      </c>
      <c r="B1774" s="3" t="str">
        <f ca="1">IFERROR(__xludf.DUMMYFUNCTION("GOOGLETRANSLATE(B1774,""es"",""en"")"),"RT @elscorpione1950: If @MartinVizcarraC has ZERO in reading comprehension of the Constitution (IGNORANT Bernales told him) the less he will understand the Penal Code, that is why HE VIOLATES THE LAW with the support of HIS @FiscaliaPeru. The government t"&amp;"hat does not govern by Rospigliosi https://t.co/6IkbKW3p3k via @elcomercio_peru")</f>
        <v>RT @elscorpione1950: If @MartinVizcarraC has ZERO in reading comprehension of the Constitution (IGNORANT Bernales told him) the less he will understand the Penal Code, that is why HE VIOLATES THE LAW with the support of HIS @FiscaliaPeru. The government that does not govern by Rospigliosi https://t.co/6IkbKW3p3k via @elcomercio_peru</v>
      </c>
      <c r="C1774" s="2" t="s">
        <v>4171</v>
      </c>
      <c r="D1774" s="1" t="s">
        <v>4169</v>
      </c>
    </row>
    <row r="1775" spans="1:4" x14ac:dyDescent="0.15">
      <c r="A1775" s="1" t="s">
        <v>519</v>
      </c>
      <c r="B1775" s="3" t="str">
        <f ca="1">IFERROR(__xludf.DUMMYFUNCTION("GOOGLETRANSLATE(B1775,""es"",""en"")"),"RT @Ojo_Publico: #LoÚltimo Four communities that were advised by the Chávez Sotelo appeared in the preliminary registry of indigenous peoples prepared by the Ministry of Culture but were later removed in the publication of the official database in 2015. h"&amp;"ttps://t .co/DqPEBj2iRk")</f>
        <v>RT @Ojo_Publico: #LoÚltimo Four communities that were advised by the Chávez Sotelo appeared in the preliminary registry of indigenous peoples prepared by the Ministry of Culture but were later removed in the publication of the official database in 2015. https://t .co/DqPEBj2iRk</v>
      </c>
      <c r="C1775" s="2" t="s">
        <v>4172</v>
      </c>
      <c r="D1775" s="1" t="s">
        <v>4173</v>
      </c>
    </row>
    <row r="1776" spans="1:4" x14ac:dyDescent="0.15">
      <c r="A1776" s="1" t="s">
        <v>4174</v>
      </c>
      <c r="B1776" s="3" t="str">
        <f ca="1">IFERROR(__xludf.DUMMYFUNCTION("GOOGLETRANSLATE(B1776,""es"",""en"")"),"RT @edyerc: The protest of the Fuerabamba Community is lifted and the PCM, through the mediation of the Episcopal Conference, manages to get the community and the Las Bambas Mine to reach an agreement.
Tremendous achievement under the award of @saldelsol"&amp;". Excellent news for the country! https://t.co/10Sv6S2E4C")</f>
        <v>RT @edyerc: The protest of the Fuerabamba Community is lifted and the PCM, through the mediation of the Episcopal Conference, manages to get the community and the Las Bambas Mine to reach an agreement.
Tremendous achievement under the award of @saldelsol. Excellent news for the country! https://t.co/10Sv6S2E4C</v>
      </c>
      <c r="C1776" s="2" t="s">
        <v>4175</v>
      </c>
      <c r="D1776" s="1" t="s">
        <v>4176</v>
      </c>
    </row>
    <row r="1777" spans="1:4" x14ac:dyDescent="0.15">
      <c r="A1777" s="1" t="s">
        <v>4177</v>
      </c>
      <c r="B1777" s="3" t="str">
        <f ca="1">IFERROR(__xludf.DUMMYFUNCTION("GOOGLETRANSLATE(B1777,""es"",""en"")"),"#THEULTIMATE Jorge Paredes Terry, political and community management advisor, indicated that the mediators have ""misinterpreted"" the agreement they signed with Gregorio Rojas. https://t.co/GNXIuxmS6d")</f>
        <v>#THEULTIMATE Jorge Paredes Terry, political and community management advisor, indicated that the mediators have "misinterpreted" the agreement they signed with Gregorio Rojas. https://t.co/GNXIuxmS6d</v>
      </c>
      <c r="C1777" s="2" t="s">
        <v>4178</v>
      </c>
      <c r="D1777" s="1" t="s">
        <v>4179</v>
      </c>
    </row>
    <row r="1778" spans="1:4" x14ac:dyDescent="0.15">
      <c r="A1778" s="1" t="s">
        <v>1974</v>
      </c>
      <c r="B1778" s="3" t="str">
        <f ca="1">IFERROR(__xludf.DUMMYFUNCTION("GOOGLETRANSLATE(B1778,""es"",""en"")"),"#THEULTIMATE Jorge Paredes Terry, political and community management advisor, indicated that the mediators have ""misinterpreted"" the agreement they signed with Gregorio Rojas. https://t.co/taxOlzBzaq")</f>
        <v>#THEULTIMATE Jorge Paredes Terry, political and community management advisor, indicated that the mediators have "misinterpreted" the agreement they signed with Gregorio Rojas. https://t.co/taxOlzBzaq</v>
      </c>
      <c r="C1778" s="2" t="s">
        <v>4180</v>
      </c>
      <c r="D1778" s="1" t="s">
        <v>4179</v>
      </c>
    </row>
    <row r="1779" spans="1:4" x14ac:dyDescent="0.15">
      <c r="A1779" s="1" t="s">
        <v>4181</v>
      </c>
      <c r="B1779" s="3" t="str">
        <f ca="1">IFERROR(__xludf.DUMMYFUNCTION("GOOGLETRANSLATE(B1779,""es"",""en"")"),"RT @Jeannettellaja: Don't stop reading-&amp;gt; The situation of peasant women in Las Bambas | 
Because in reality there is no decision that does not have a differentiated impact for women https://t.co/0Bi0NmwGhn")</f>
        <v>RT @Jeannettellaja: Don't stop reading-&amp;gt; The situation of peasant women in Las Bambas | 
Because in reality there is no decision that does not have a differentiated impact for women https://t.co/0Bi0NmwGhn</v>
      </c>
      <c r="C1779" s="2" t="s">
        <v>4182</v>
      </c>
      <c r="D1779" s="1" t="s">
        <v>4179</v>
      </c>
    </row>
    <row r="1780" spans="1:4" x14ac:dyDescent="0.15">
      <c r="A1780" s="1" t="s">
        <v>4183</v>
      </c>
      <c r="B1780" s="3" t="str">
        <f ca="1">IFERROR(__xludf.DUMMYFUNCTION("GOOGLETRANSLATE(B1780,""es"",""en"")"),"Bad news for the preachers of public force intervention. Negotiation was essential. https://t.co/BWV82EZX8T")</f>
        <v>Bad news for the preachers of public force intervention. Negotiation was essential. https://t.co/BWV82EZX8T</v>
      </c>
      <c r="C1780" s="2" t="s">
        <v>4184</v>
      </c>
      <c r="D1780" s="1" t="s">
        <v>4185</v>
      </c>
    </row>
    <row r="1781" spans="1:4" x14ac:dyDescent="0.15">
      <c r="A1781" s="1" t="s">
        <v>4186</v>
      </c>
      <c r="B1781" s="3" t="str">
        <f ca="1">IFERROR(__xludf.DUMMYFUNCTION("GOOGLETRANSLATE(B1781,""es"",""en"")"),"RT @sreateguir: Yes, the communists who incited the residents of Las Bambas; They blocked a road and the inept @MartinVizcarraC got down on his knees.
We parents also blocked the expressway and demanded that IG's ideological excrement be removed from the "&amp;"entire state. Action")</f>
        <v>RT @sreateguir: Yes, the communists who incited the residents of Las Bambas; They blocked a road and the inept @MartinVizcarraC got down on his knees.
We parents also blocked the expressway and demanded that IG's ideological excrement be removed from the entire state. Action</v>
      </c>
      <c r="C1781" s="2" t="s">
        <v>4187</v>
      </c>
      <c r="D1781" s="1" t="s">
        <v>4188</v>
      </c>
    </row>
    <row r="1782" spans="1:4" x14ac:dyDescent="0.15">
      <c r="A1782" s="1" t="s">
        <v>1427</v>
      </c>
      <c r="B1782" s="3" t="str">
        <f ca="1">IFERROR(__xludf.DUMMYFUNCTION("GOOGLETRANSLATE(B1782,""es"",""en"")"),"RT @ExpresoPeru: #ExprésateconExpreso 📣 Do you think that President Martín Vizcarra should travel to the conflict zone in Las Bambas?")</f>
        <v>RT @ExpresoPeru: #ExprésateconExpreso 📣 Do you think that President Martín Vizcarra should travel to the conflict zone in Las Bambas?</v>
      </c>
      <c r="C1782" s="2" t="s">
        <v>4189</v>
      </c>
      <c r="D1782" s="1" t="s">
        <v>4188</v>
      </c>
    </row>
    <row r="1783" spans="1:4" x14ac:dyDescent="0.15">
      <c r="A1783" s="1" t="s">
        <v>2180</v>
      </c>
      <c r="B1783" s="3" t="str">
        <f ca="1">IFERROR(__xludf.DUMMYFUNCTION("GOOGLETRANSLATE(B1783,""es"",""en"")"),"RT @Frospigliosi: President Vizcarra's behavior is an incentive for many others who will consider themselves authorized to use violence, beat themselves up by the law and run over drunken police officers – or do something similar – without receiving the s"&amp;"lightest sanction.
 https://t.co/InHXDnb66P")</f>
        <v>RT @Frospigliosi: President Vizcarra's behavior is an incentive for many others who will consider themselves authorized to use violence, beat themselves up by the law and run over drunken police officers – or do something similar – without receiving the slightest sanction.
 https://t.co/InHXDnb66P</v>
      </c>
      <c r="C1783" s="2" t="s">
        <v>4190</v>
      </c>
      <c r="D1783" s="1" t="s">
        <v>4191</v>
      </c>
    </row>
    <row r="1784" spans="1:4" x14ac:dyDescent="0.15">
      <c r="A1784" s="1" t="s">
        <v>4192</v>
      </c>
      <c r="B1784" s="3" t="str">
        <f ca="1">IFERROR(__xludf.DUMMYFUNCTION("GOOGLETRANSLATE(B1784,""es"",""en"")"),"@LadyTyphlosion 1) Sneakers
2) Sneakers
3) Flip flops")</f>
        <v>@LadyTyphlosion 1) Sneakers
2) Sneakers
3) Flip flops</v>
      </c>
      <c r="C1784" s="2" t="s">
        <v>4193</v>
      </c>
      <c r="D1784" s="1" t="s">
        <v>4191</v>
      </c>
    </row>
    <row r="1785" spans="1:4" x14ac:dyDescent="0.15">
      <c r="A1785" s="1" t="s">
        <v>4194</v>
      </c>
      <c r="B1785" s="3" t="str">
        <f ca="1">IFERROR(__xludf.DUMMYFUNCTION("GOOGLETRANSLATE(B1785,""es"",""en"")"),"The precedent left by the negotiation in the Las Bambas case is extremely dangerous. With financial compensation everything was solved. And respect for the Constitution? Mining conflicts will become more complicated when these types of agreements are norm"&amp;"alized.")</f>
        <v>The precedent left by the negotiation in the Las Bambas case is extremely dangerous. With financial compensation everything was solved. And respect for the Constitution? Mining conflicts will become more complicated when these types of agreements are normalized.</v>
      </c>
      <c r="C1785" s="2" t="s">
        <v>4195</v>
      </c>
      <c r="D1785" s="1" t="s">
        <v>4196</v>
      </c>
    </row>
    <row r="1786" spans="1:4" x14ac:dyDescent="0.15">
      <c r="A1786" s="1" t="s">
        <v>4197</v>
      </c>
      <c r="B1786" s="3" t="str">
        <f ca="1">IFERROR(__xludf.DUMMYFUNCTION("GOOGLETRANSLATE(B1786,""es"",""en"")"),"RT @exitosape: Likewise, said leader asked the Government not to forget the native communities where roads or medical posts do not reach.
https://t.co/Uw4wiMqL5I")</f>
        <v>RT @exitosape: Likewise, said leader asked the Government not to forget the native communities where roads or medical posts do not reach.
https://t.co/Uw4wiMqL5I</v>
      </c>
      <c r="C1786" s="2" t="s">
        <v>4198</v>
      </c>
      <c r="D1786" s="1" t="s">
        <v>4199</v>
      </c>
    </row>
    <row r="1787" spans="1:4" x14ac:dyDescent="0.15">
      <c r="A1787" s="1" t="s">
        <v>4200</v>
      </c>
      <c r="B1787" s="3" t="str">
        <f ca="1">IFERROR(__xludf.DUMMYFUNCTION("GOOGLETRANSLATE(B1787,""es"",""en"")"),"🚨 As part of its efforts within the framework of @IYIL2019, @MinCulturaPe publishes the Quechua version of the minutes of the meeting and the agreements signed between the Executive and the community of Fuerabamba (Apurímac) on the Las Bambas mining conf"&amp;"lict ➡️ https ://t.co/PwfH76Z05b https://t.co/DUh1d9fl36")</f>
        <v>🚨 As part of its efforts within the framework of @IYIL2019, @MinCulturaPe publishes the Quechua version of the minutes of the meeting and the agreements signed between the Executive and the community of Fuerabamba (Apurímac) on the Las Bambas mining conflict ➡️ https ://t.co/PwfH76Z05b https://t.co/DUh1d9fl36</v>
      </c>
      <c r="C1787" s="2" t="s">
        <v>4201</v>
      </c>
      <c r="D1787" s="1" t="s">
        <v>4202</v>
      </c>
    </row>
    <row r="1788" spans="1:4" x14ac:dyDescent="0.15">
      <c r="A1788" s="1" t="s">
        <v>986</v>
      </c>
      <c r="B1788" s="3" t="str">
        <f ca="1">IFERROR(__xludf.DUMMYFUNCTION("GOOGLETRANSLATE(B1788,""es"",""en"")"),"RT @canalN_: THE LATEST | Government reached an agreement with community members of Fuerbamaba and the road to Las Bambas will no longer be blocked ► https://t.co/BmNsvCxwYu https://t.co/SlxDcr8ctR")</f>
        <v>RT @canalN_: THE LATEST | Government reached an agreement with community members of Fuerbamaba and the road to Las Bambas will no longer be blocked ► https://t.co/BmNsvCxwYu https://t.co/SlxDcr8ctR</v>
      </c>
      <c r="C1788" s="2" t="s">
        <v>4203</v>
      </c>
      <c r="D1788" s="1" t="s">
        <v>4202</v>
      </c>
    </row>
    <row r="1789" spans="1:4" x14ac:dyDescent="0.15">
      <c r="A1789" s="1" t="s">
        <v>4204</v>
      </c>
      <c r="B1789" s="3" t="str">
        <f ca="1">IFERROR(__xludf.DUMMYFUNCTION("GOOGLETRANSLATE(B1789,""es"",""en"")"),"MMG’s subsidiary in Peru reaches deal with blockaders at Las Bambas copper mine https://t.co/yRF64tEYD2 https://t.co/HwgvKUvh7x")</f>
        <v>MMG’s subsidiary in Peru reaches deal with blockaders at Las Bambas copper mine https://t.co/yRF64tEYD2 https://t.co/HwgvKUvh7x</v>
      </c>
      <c r="C1789" s="2" t="s">
        <v>4205</v>
      </c>
      <c r="D1789" s="1" t="s">
        <v>4202</v>
      </c>
    </row>
    <row r="1790" spans="1:4" x14ac:dyDescent="0.15">
      <c r="A1790" s="1" t="s">
        <v>4206</v>
      </c>
      <c r="B1790" s="3" t="str">
        <f ca="1">IFERROR(__xludf.DUMMYFUNCTION("GOOGLETRANSLATE(B1790,""es"",""en"")"),"UM CARNIVAL NAS TELONAS: NEW LIGHTS ON SAMBAS AND BAMBAS https://t.co/9jIFuuU3pj")</f>
        <v>UM CARNIVAL NAS TELONAS: NEW LIGHTS ON SAMBAS AND BAMBAS https://t.co/9jIFuuU3pj</v>
      </c>
      <c r="C1790" s="2" t="s">
        <v>4207</v>
      </c>
      <c r="D1790" s="1" t="s">
        <v>4208</v>
      </c>
    </row>
    <row r="1791" spans="1:4" x14ac:dyDescent="0.15">
      <c r="A1791" s="1" t="s">
        <v>4209</v>
      </c>
      <c r="B1791" s="3" t="str">
        <f ca="1">IFERROR(__xludf.DUMMYFUNCTION("GOOGLETRANSLATE(B1791,""es"",""en"")"),"RT @1996Javi: 1) Sneakers
2) Sneakers
3) Flip flops https://t.co/8CwQSdUM5K")</f>
        <v>RT @1996Javi: 1) Sneakers
2) Sneakers
3) Flip flops https://t.co/8CwQSdUM5K</v>
      </c>
      <c r="C1791" s="2" t="s">
        <v>4210</v>
      </c>
      <c r="D1791" s="1" t="s">
        <v>4211</v>
      </c>
    </row>
    <row r="1792" spans="1:4" x14ac:dyDescent="0.15">
      <c r="A1792" s="1" t="s">
        <v>4212</v>
      </c>
      <c r="B1792" s="3" t="str">
        <f ca="1">IFERROR(__xludf.DUMMYFUNCTION("GOOGLETRANSLATE(B1792,""es"",""en"")"),"Let's see characters....
1) SNEAKERS
2) Sneakers
3) Flip flops https://t.co/Em6dEvcrd4")</f>
        <v>Let's see characters....
1) SNEAKERS
2) Sneakers
3) Flip flops https://t.co/Em6dEvcrd4</v>
      </c>
      <c r="C1792" s="2" t="s">
        <v>4213</v>
      </c>
      <c r="D1792" s="1" t="s">
        <v>4211</v>
      </c>
    </row>
    <row r="1793" spans="1:4" x14ac:dyDescent="0.15">
      <c r="A1793" s="1" t="s">
        <v>4214</v>
      </c>
      <c r="B1793" s="3" t="str">
        <f ca="1">IFERROR(__xludf.DUMMYFUNCTION("GOOGLETRANSLATE(B1793,""es"",""en"")"),"Sneakers of a lifetime for God's sake https://t.co/esMApaA28f")</f>
        <v>Sneakers of a lifetime for God's sake https://t.co/esMApaA28f</v>
      </c>
      <c r="C1793" s="2" t="s">
        <v>4215</v>
      </c>
      <c r="D1793" s="1" t="s">
        <v>4211</v>
      </c>
    </row>
    <row r="1794" spans="1:4" x14ac:dyDescent="0.15">
      <c r="A1794" s="1" t="s">
        <v>1955</v>
      </c>
      <c r="B1794" s="3" t="str">
        <f ca="1">IFERROR(__xludf.DUMMYFUNCTION("GOOGLETRANSLATE(B1794,""es"",""en"")"),"MMG Las Bambas confirms economic contribution only with Fuerabamba to end the conflict https://t.co/VbwsKXPotl via @Gestionpe https://t.co/tpeS5qhHet")</f>
        <v>MMG Las Bambas confirms economic contribution only with Fuerabamba to end the conflict https://t.co/VbwsKXPotl via @Gestionpe https://t.co/tpeS5qhHet</v>
      </c>
      <c r="C1794" s="2" t="s">
        <v>4216</v>
      </c>
      <c r="D1794" s="1" t="s">
        <v>4217</v>
      </c>
    </row>
    <row r="1795" spans="1:4" x14ac:dyDescent="0.15">
      <c r="A1795" s="1" t="s">
        <v>4218</v>
      </c>
      <c r="B1795" s="3" t="str">
        <f ca="1">IFERROR(__xludf.DUMMYFUNCTION("GOOGLETRANSLATE(B1795,""es"",""en"")"),"I never thought that this fosse fizer is so, but that FOGO DO KRL PQP EU NEEDS URGENT FODX, THAT DEIXE ME COMAS BAMBAS PERNAS!")</f>
        <v>I never thought that this fosse fizer is so, but that FOGO DO KRL PQP EU NEEDS URGENT FODX, THAT DEIXE ME COMAS BAMBAS PERNAS!</v>
      </c>
      <c r="C1795" s="2" t="s">
        <v>4219</v>
      </c>
      <c r="D1795" s="1" t="s">
        <v>4217</v>
      </c>
    </row>
    <row r="1796" spans="1:4" x14ac:dyDescent="0.15">
      <c r="A1796" s="1" t="s">
        <v>4220</v>
      </c>
      <c r="B1796" s="3" t="str">
        <f ca="1">IFERROR(__xludf.DUMMYFUNCTION("GOOGLETRANSLATE(B1796,""es"",""en"")"),"RT @Politica_LR: #THEULTIMO The dialogue on the conflict in Las Bambas begins at the headquarters of the Peruvian Episcopal Conference ► https://t.co/QpepsuJKwA https://t.co/dH6Xc5S9Om")</f>
        <v>RT @Politica_LR: #THEULTIMO The dialogue on the conflict in Las Bambas begins at the headquarters of the Peruvian Episcopal Conference ► https://t.co/QpepsuJKwA https://t.co/dH6Xc5S9Om</v>
      </c>
      <c r="C1796" s="2" t="s">
        <v>4221</v>
      </c>
      <c r="D1796" s="1" t="s">
        <v>4222</v>
      </c>
    </row>
    <row r="1797" spans="1:4" x14ac:dyDescent="0.15">
      <c r="A1797" s="1" t="s">
        <v>4223</v>
      </c>
      <c r="B1797" s="3" t="str">
        <f ca="1">IFERROR(__xludf.DUMMYFUNCTION("GOOGLETRANSLATE(B1797,""es"",""en"")"),"RT @sreateguir: Yes, the communists who incited the residents of Las Bambas; They blocked a road and the inept @MartinVizcarraC got down on his knees.
We parents also blocked the expressway and demanded that IG's ideological excrement be removed from the "&amp;"entire state. Action")</f>
        <v>RT @sreateguir: Yes, the communists who incited the residents of Las Bambas; They blocked a road and the inept @MartinVizcarraC got down on his knees.
We parents also blocked the expressway and demanded that IG's ideological excrement be removed from the entire state. Action</v>
      </c>
      <c r="C1797" s="2" t="s">
        <v>4224</v>
      </c>
      <c r="D1797" s="1" t="s">
        <v>4222</v>
      </c>
    </row>
    <row r="1798" spans="1:4" x14ac:dyDescent="0.15">
      <c r="A1798" s="1" t="s">
        <v>4225</v>
      </c>
      <c r="B1798" s="3" t="str">
        <f ca="1">IFERROR(__xludf.DUMMYFUNCTION("GOOGLETRANSLATE(B1798,""es"",""en"")"),"RT @MarcoAvilesH: The main guest of the last CADE makes an apology for the massacre. 
In a Peru crossed by social conflicts as is the case in Las Bambas, why do local businessmen find it interesting to listen to a luminary of state terrorism? https://t.co"&amp;"/7hEWQ1K0X2")</f>
        <v>RT @MarcoAvilesH: The main guest of the last CADE makes an apology for the massacre. 
In a Peru crossed by social conflicts as is the case in Las Bambas, why do local businessmen find it interesting to listen to a luminary of state terrorism? https://t.co/7hEWQ1K0X2</v>
      </c>
      <c r="C1798" s="2" t="s">
        <v>4226</v>
      </c>
      <c r="D1798" s="1" t="s">
        <v>4222</v>
      </c>
    </row>
    <row r="1799" spans="1:4" x14ac:dyDescent="0.15">
      <c r="A1799" s="1" t="s">
        <v>4227</v>
      </c>
      <c r="B1799" s="3" t="str">
        <f ca="1">IFERROR(__xludf.DUMMYFUNCTION("GOOGLETRANSLATE(B1799,""es"",""en"")"),"#ConflictoEnLasBambas Confirms Minister of Health, Zulema Tomas.
https://t.co/r1Kr82vc0X")</f>
        <v>#ConflictoEnLasBambas Confirms Minister of Health, Zulema Tomas.
https://t.co/r1Kr82vc0X</v>
      </c>
      <c r="C1799" s="2" t="s">
        <v>4228</v>
      </c>
      <c r="D1799" s="1" t="s">
        <v>4229</v>
      </c>
    </row>
    <row r="1800" spans="1:4" x14ac:dyDescent="0.15">
      <c r="A1800" s="1" t="s">
        <v>4230</v>
      </c>
      <c r="B1800" s="3" t="str">
        <f ca="1">IFERROR(__xludf.DUMMYFUNCTION("GOOGLETRANSLATE(B1800,""es"",""en"")"),"@Marimery_97 Sneakers")</f>
        <v>@Marimery_97 Sneakers</v>
      </c>
      <c r="C1800" s="2" t="s">
        <v>4231</v>
      </c>
      <c r="D1800" s="1" t="s">
        <v>4232</v>
      </c>
    </row>
    <row r="1801" spans="1:4" x14ac:dyDescent="0.15">
      <c r="A1801" s="1" t="s">
        <v>4233</v>
      </c>
      <c r="B1801" s="3" t="str">
        <f ca="1">IFERROR(__xludf.DUMMYFUNCTION("GOOGLETRANSLATE(B1801,""es"",""en"")"),"For this Thursday, the Premier @saldelsol Solar in Las Bambas is announced. But it seems that the high echelons of the government do not understand that the thousands of community members DO NOT want the Head of the PCM, They want @Martín Vizcarra because"&amp;" there are pending issues when he was MTC Minister, agreements that were NEVER fulfilled.")</f>
        <v>For this Thursday, the Premier @saldelsol Solar in Las Bambas is announced. But it seems that the high echelons of the government do not understand that the thousands of community members DO NOT want the Head of the PCM, They want @Martín Vizcarra because there are pending issues when he was MTC Minister, agreements that were NEVER fulfilled.</v>
      </c>
      <c r="C1801" s="2" t="s">
        <v>4234</v>
      </c>
      <c r="D1801" s="1" t="s">
        <v>4232</v>
      </c>
    </row>
    <row r="1802" spans="1:4" x14ac:dyDescent="0.15">
      <c r="A1802" s="1" t="s">
        <v>4235</v>
      </c>
      <c r="B1802" s="3" t="str">
        <f ca="1">IFERROR(__xludf.DUMMYFUNCTION("GOOGLETRANSLATE(B1802,""es"",""en"")"),"@DinoLoft BAMBAS")</f>
        <v>@DinoLoft BAMBAS</v>
      </c>
      <c r="C1802" s="2" t="s">
        <v>4236</v>
      </c>
      <c r="D1802" s="1" t="s">
        <v>4237</v>
      </c>
    </row>
    <row r="1803" spans="1:4" x14ac:dyDescent="0.15">
      <c r="A1803" s="1" t="s">
        <v>1686</v>
      </c>
      <c r="B1803" s="3" t="str">
        <f ca="1">IFERROR(__xludf.DUMMYFUNCTION("GOOGLETRANSLATE(B1803,""es"",""en"")"),"RT @canalN_: THE LATEST | Government reached an agreement with community members of Fuerbamaba and the road to Las Bambas will no longer be blocked ► https://t.co/BmNsvCxwYu https://t.co/SlxDcr8ctR")</f>
        <v>RT @canalN_: THE LATEST | Government reached an agreement with community members of Fuerbamaba and the road to Las Bambas will no longer be blocked ► https://t.co/BmNsvCxwYu https://t.co/SlxDcr8ctR</v>
      </c>
      <c r="C1803" s="2" t="s">
        <v>4238</v>
      </c>
      <c r="D1803" s="1" t="s">
        <v>4239</v>
      </c>
    </row>
    <row r="1804" spans="1:4" x14ac:dyDescent="0.15">
      <c r="A1804" s="1" t="s">
        <v>4170</v>
      </c>
      <c r="B1804" s="3" t="str">
        <f ca="1">IFERROR(__xludf.DUMMYFUNCTION("GOOGLETRANSLATE(B1804,""es"",""en"")"),"RT @Dianasemi: does it seem like several people were taken for a ride last night?...... Las Bambas: the road will continue to be blocked this Monday despite the agreement with the Executive https://t.co/DkR9ZeulKO via @elcomercio_peru")</f>
        <v>RT @Dianasemi: does it seem like several people were taken for a ride last night?...... Las Bambas: the road will continue to be blocked this Monday despite the agreement with the Executive https://t.co/DkR9ZeulKO via @elcomercio_peru</v>
      </c>
      <c r="C1804" s="2" t="s">
        <v>4240</v>
      </c>
      <c r="D1804" s="1" t="s">
        <v>4241</v>
      </c>
    </row>
    <row r="1805" spans="1:4" x14ac:dyDescent="0.15">
      <c r="A1805" s="1" t="s">
        <v>4242</v>
      </c>
      <c r="B1805" s="3" t="str">
        <f ca="1">IFERROR(__xludf.DUMMYFUNCTION("GOOGLETRANSLATE(B1805,""es"",""en"")"),"RT @ilanegra: The conflict over Las Bambas follows a pattern: there is no territorial or intercultural approach, asymmetric agreements, apathy in the face of claims, forceful actions, mediation by third parties due to distrust in the State. Hopefully, the"&amp;"re is a negotiated agreement. Change demands reforms and leadership")</f>
        <v>RT @ilanegra: The conflict over Las Bambas follows a pattern: there is no territorial or intercultural approach, asymmetric agreements, apathy in the face of claims, forceful actions, mediation by third parties due to distrust in the State. Hopefully, there is a negotiated agreement. Change demands reforms and leadership</v>
      </c>
      <c r="C1805" s="2" t="s">
        <v>4243</v>
      </c>
      <c r="D1805" s="1" t="s">
        <v>4241</v>
      </c>
    </row>
    <row r="1806" spans="1:4" x14ac:dyDescent="0.15">
      <c r="A1806" s="1" t="s">
        <v>293</v>
      </c>
      <c r="B1806" s="3" t="str">
        <f ca="1">IFERROR(__xludf.DUMMYFUNCTION("GOOGLETRANSLATE(B1806,""es"",""en"")"),"RT @ilanegra: The conflict over Las Bambas follows a pattern: there is no territorial or intercultural approach, asymmetric agreements, apathy in the face of claims, forceful actions, mediation by third parties due to distrust in the State. Hopefully, the"&amp;"re is a negotiated agreement. Change demands reforms and leadership")</f>
        <v>RT @ilanegra: The conflict over Las Bambas follows a pattern: there is no territorial or intercultural approach, asymmetric agreements, apathy in the face of claims, forceful actions, mediation by third parties due to distrust in the State. Hopefully, there is a negotiated agreement. Change demands reforms and leadership</v>
      </c>
      <c r="C1806" s="2" t="s">
        <v>4244</v>
      </c>
      <c r="D1806" s="1" t="s">
        <v>4241</v>
      </c>
    </row>
    <row r="1807" spans="1:4" x14ac:dyDescent="0.15">
      <c r="A1807" s="1" t="s">
        <v>4245</v>
      </c>
      <c r="B1807" s="3" t="str">
        <f ca="1">IFERROR(__xludf.DUMMYFUNCTION("GOOGLETRANSLATE(B1807,""es"",""en"")"),"RT @canalN_: THE LATEST | Government reached an agreement with community members of Fuerbamaba and the road to Las Bambas will no longer be blocked ► https://t.co/BmNsvCxwYu https://t.co/SlxDcr8ctR")</f>
        <v>RT @canalN_: THE LATEST | Government reached an agreement with community members of Fuerbamaba and the road to Las Bambas will no longer be blocked ► https://t.co/BmNsvCxwYu https://t.co/SlxDcr8ctR</v>
      </c>
      <c r="C1807" s="2" t="s">
        <v>4246</v>
      </c>
      <c r="D1807" s="1" t="s">
        <v>4247</v>
      </c>
    </row>
    <row r="1808" spans="1:4" x14ac:dyDescent="0.15">
      <c r="A1808" s="1" t="s">
        <v>1770</v>
      </c>
      <c r="B1808" s="3" t="str">
        <f ca="1">IFERROR(__xludf.DUMMYFUNCTION("GOOGLETRANSLATE(B1808,""es"",""en"")"),"RT @xafu: FEDERICO SALAZAR
The government's role in the Las Bambas crisis gives a bad signal. It tells the entire world that this is not a good place to bring in investments of 5 or 10 billion dollars. And it is these investments that are required to grow"&amp;" and combat poverty.")</f>
        <v>RT @xafu: FEDERICO SALAZAR
The government's role in the Las Bambas crisis gives a bad signal. It tells the entire world that this is not a good place to bring in investments of 5 or 10 billion dollars. And it is these investments that are required to grow and combat poverty.</v>
      </c>
      <c r="C1808" s="2" t="s">
        <v>4248</v>
      </c>
      <c r="D1808" s="1" t="s">
        <v>4249</v>
      </c>
    </row>
    <row r="1809" spans="1:4" x14ac:dyDescent="0.15">
      <c r="A1809" s="1" t="s">
        <v>4250</v>
      </c>
      <c r="B1809" s="3" t="str">
        <f ca="1">IFERROR(__xludf.DUMMYFUNCTION("GOOGLETRANSLATE(B1809,""es"",""en"")"),"RT @1996Javi: 1) Sneakers
2) Sneakers
3) Flip flops https://t.co/8CwQSdUM5K")</f>
        <v>RT @1996Javi: 1) Sneakers
2) Sneakers
3) Flip flops https://t.co/8CwQSdUM5K</v>
      </c>
      <c r="C1809" s="2" t="s">
        <v>4251</v>
      </c>
      <c r="D1809" s="1" t="s">
        <v>4252</v>
      </c>
    </row>
    <row r="1810" spans="1:4" x14ac:dyDescent="0.15">
      <c r="A1810" s="1" t="s">
        <v>4253</v>
      </c>
      <c r="B1810" s="3" t="str">
        <f ca="1">IFERROR(__xludf.DUMMYFUNCTION("GOOGLETRANSLATE(B1810,""es"",""en"")"),"RT @1996Javi: 1) Sneakers
2) Sneakers
3) Flip flops https://t.co/8CwQSdUM5K")</f>
        <v>RT @1996Javi: 1) Sneakers
2) Sneakers
3) Flip flops https://t.co/8CwQSdUM5K</v>
      </c>
      <c r="C1810" s="2" t="s">
        <v>4254</v>
      </c>
      <c r="D1810" s="1" t="s">
        <v>4255</v>
      </c>
    </row>
    <row r="1811" spans="1:4" x14ac:dyDescent="0.15">
      <c r="A1811" s="1" t="s">
        <v>1168</v>
      </c>
      <c r="B1811" s="3" t="str">
        <f ca="1">IFERROR(__xludf.DUMMYFUNCTION("GOOGLETRANSLATE(B1811,""es"",""en"")"),"RT @eljorobado: Good for the agreement that gives a truce in Las Bambas. So, the Catholic Church is PCM's new conflict resolution unit? Will serving train religious people in conflict negotiation? Secular State already?")</f>
        <v>RT @eljorobado: Good for the agreement that gives a truce in Las Bambas. So, the Catholic Church is PCM's new conflict resolution unit? Will serving train religious people in conflict negotiation? Secular State already?</v>
      </c>
      <c r="C1811" s="2" t="s">
        <v>4256</v>
      </c>
      <c r="D1811" s="1" t="s">
        <v>4257</v>
      </c>
    </row>
    <row r="1812" spans="1:4" x14ac:dyDescent="0.15">
      <c r="A1812" s="1" t="s">
        <v>4258</v>
      </c>
      <c r="B1812" s="3" t="str">
        <f ca="1">IFERROR(__xludf.DUMMYFUNCTION("GOOGLETRANSLATE(B1812,""es"",""en"")"),"We have more faria muito até ficar com as pernas bambas se eu ***** nesse homem o firstiro que me throw de atop é o next king arthur https://t.co/CFsdD1zOoC")</f>
        <v>We have more faria muito até ficar com as pernas bambas se eu ***** nesse homem o firstiro que me throw de atop é o next king arthur https://t.co/CFsdD1zOoC</v>
      </c>
      <c r="C1812" s="2" t="s">
        <v>4259</v>
      </c>
      <c r="D1812" s="1" t="s">
        <v>4257</v>
      </c>
    </row>
    <row r="1813" spans="1:4" x14ac:dyDescent="0.15">
      <c r="A1813" s="1" t="s">
        <v>4260</v>
      </c>
      <c r="B1813" s="3" t="str">
        <f ca="1">IFERROR(__xludf.DUMMYFUNCTION("GOOGLETRANSLATE(B1813,""es"",""en"")"),"@El_Terremotillo Sneakers, espadrilles, flip flops")</f>
        <v>@El_Terremotillo Sneakers, espadrilles, flip flops</v>
      </c>
      <c r="C1813" s="2" t="s">
        <v>4261</v>
      </c>
      <c r="D1813" s="1" t="s">
        <v>4262</v>
      </c>
    </row>
    <row r="1814" spans="1:4" x14ac:dyDescent="0.15">
      <c r="A1814" s="1" t="s">
        <v>2863</v>
      </c>
      <c r="B1814" s="3" t="str">
        <f ca="1">IFERROR(__xludf.DUMMYFUNCTION("GOOGLETRANSLATE(B1814,""es"",""en"")"),"RT @eljorobado: Good for the agreement that gives a truce in Las Bambas. So, the Catholic Church is PCM's new conflict resolution unit? Will serving train religious people in conflict negotiation? Secular State already?")</f>
        <v>RT @eljorobado: Good for the agreement that gives a truce in Las Bambas. So, the Catholic Church is PCM's new conflict resolution unit? Will serving train religious people in conflict negotiation? Secular State already?</v>
      </c>
      <c r="C1814" s="2" t="s">
        <v>4263</v>
      </c>
      <c r="D1814" s="1" t="s">
        <v>4262</v>
      </c>
    </row>
    <row r="1815" spans="1:4" x14ac:dyDescent="0.15">
      <c r="A1815" s="1" t="s">
        <v>4264</v>
      </c>
      <c r="B1815" s="3" t="str">
        <f ca="1">IFERROR(__xludf.DUMMYFUNCTION("GOOGLETRANSLATE(B1815,""es"",""en"")"),"@IgnatiusFarray Some sneakers for this man!")</f>
        <v>@IgnatiusFarray Some sneakers for this man!</v>
      </c>
      <c r="C1815" s="2" t="s">
        <v>4265</v>
      </c>
      <c r="D1815" s="1" t="s">
        <v>4266</v>
      </c>
    </row>
    <row r="1816" spans="1:4" x14ac:dyDescent="0.15">
      <c r="A1816" s="1" t="s">
        <v>4267</v>
      </c>
      <c r="B1816" s="3" t="str">
        <f ca="1">IFERROR(__xludf.DUMMYFUNCTION("GOOGLETRANSLATE(B1816,""es"",""en"")"),"Las Bambas: Despite agreement in Lima, Challhuahuacho will continue with road blockade https://t.co/L23DPTVSOv")</f>
        <v>Las Bambas: Despite agreement in Lima, Challhuahuacho will continue with road blockade https://t.co/L23DPTVSOv</v>
      </c>
      <c r="C1816" s="2" t="s">
        <v>4268</v>
      </c>
      <c r="D1816" s="1" t="s">
        <v>4269</v>
      </c>
    </row>
    <row r="1817" spans="1:4" x14ac:dyDescent="0.15">
      <c r="A1817" s="1" t="s">
        <v>4270</v>
      </c>
      <c r="B1817" s="3" t="str">
        <f ca="1">IFERROR(__xludf.DUMMYFUNCTION("GOOGLETRANSLATE(B1817,""es"",""en"")"),"RT @LinceAntiTuco: INEPTO KIDNAPPED BY #TERRORISTS,, 
So Jorge Paredes Terry (the one in the jacket on the right), the one who is an ally of the luminous path façade, the Movadef, is the new “advisor” of the community members of Las Bambas. Look then, suc"&amp;"h jewels. And the government talks with those people https://t.co/xSjQ0pxHqo")</f>
        <v>RT @LinceAntiTuco: INEPTO KIDNAPPED BY #TERRORISTS,, 
So Jorge Paredes Terry (the one in the jacket on the right), the one who is an ally of the luminous path façade, the Movadef, is the new “advisor” of the community members of Las Bambas. Look then, such jewels. And the government talks with those people https://t.co/xSjQ0pxHqo</v>
      </c>
      <c r="C1817" s="2" t="s">
        <v>4271</v>
      </c>
      <c r="D1817" s="1" t="s">
        <v>4272</v>
      </c>
    </row>
    <row r="1818" spans="1:4" x14ac:dyDescent="0.15">
      <c r="A1818" s="1" t="s">
        <v>4273</v>
      </c>
      <c r="B1818" s="3" t="str">
        <f ca="1">IFERROR(__xludf.DUMMYFUNCTION("GOOGLETRANSLATE(B1818,""es"",""en"")"),"RT @Politica_LR: Las Bambas: They disseminate the agreement between mining and Fuerabamba in Quechua ►https://t.co/asykWnyWbG https://t.co/fwtrldH0JC")</f>
        <v>RT @Politica_LR: Las Bambas: They disseminate the agreement between mining and Fuerabamba in Quechua ►https://t.co/asykWnyWbG https://t.co/fwtrldH0JC</v>
      </c>
      <c r="C1818" s="2" t="s">
        <v>4274</v>
      </c>
      <c r="D1818" s="1" t="s">
        <v>4272</v>
      </c>
    </row>
    <row r="1819" spans="1:4" x14ac:dyDescent="0.15">
      <c r="A1819" s="1" t="s">
        <v>4275</v>
      </c>
      <c r="B1819" s="3" t="str">
        <f ca="1">IFERROR(__xludf.DUMMYFUNCTION("GOOGLETRANSLATE(B1819,""es"",""en"")"),"RT @jimmybussol: I was surprised that now @RPPNoticias presents a series of specialists in solving social conflicts, but where were they in the more than 60 days of the Las Bambas strike?")</f>
        <v>RT @jimmybussol: I was surprised that now @RPPNoticias presents a series of specialists in solving social conflicts, but where were they in the more than 60 days of the Las Bambas strike?</v>
      </c>
      <c r="C1819" s="2" t="s">
        <v>4276</v>
      </c>
      <c r="D1819" s="1" t="s">
        <v>4272</v>
      </c>
    </row>
    <row r="1820" spans="1:4" x14ac:dyDescent="0.15">
      <c r="A1820" s="1" t="s">
        <v>4277</v>
      </c>
      <c r="B1820" s="3" t="str">
        <f ca="1">IFERROR(__xludf.DUMMYFUNCTION("GOOGLETRANSLATE(B1820,""es"",""en"")"),"@GloriaMaza1 what does this look like...Gorritti's objective is to destroy childhood who is involved in this campaign against life
 that's why black feminists support it
...A pro-gender scam left, 
against our childhood 
against our children")</f>
        <v>@GloriaMaza1 what does this look like...Gorritti's objective is to destroy childhood who is involved in this campaign against life
 that's why black feminists support it
...A pro-gender scam left, 
against our childhood 
against our children</v>
      </c>
      <c r="C1820" s="2" t="s">
        <v>4278</v>
      </c>
      <c r="D1820" s="1" t="s">
        <v>4272</v>
      </c>
    </row>
    <row r="1821" spans="1:4" x14ac:dyDescent="0.15">
      <c r="A1821" s="1" t="s">
        <v>4279</v>
      </c>
      <c r="B1821" s="3" t="str">
        <f ca="1">IFERROR(__xludf.DUMMYFUNCTION("GOOGLETRANSLATE(B1821,""es"",""en"")"),"RT @Dianasemi: does it seem like several people were taken for a ride last night?...... Las Bambas: the road will continue to be blocked this Monday despite the agreement with the Executive https://t.co/DkR9ZeulKO via @elcomercio_peru")</f>
        <v>RT @Dianasemi: does it seem like several people were taken for a ride last night?...... Las Bambas: the road will continue to be blocked this Monday despite the agreement with the Executive https://t.co/DkR9ZeulKO via @elcomercio_peru</v>
      </c>
      <c r="C1821" s="2" t="s">
        <v>4280</v>
      </c>
      <c r="D1821" s="1" t="s">
        <v>4272</v>
      </c>
    </row>
    <row r="1822" spans="1:4" x14ac:dyDescent="0.15">
      <c r="A1822" s="1" t="s">
        <v>4281</v>
      </c>
      <c r="B1822" s="3" t="str">
        <f ca="1">IFERROR(__xludf.DUMMYFUNCTION("GOOGLETRANSLATE(B1822,""es"",""en"")"),"RT @santy19602010: INEPT KIDNAPPED
So Jorge Paredes Terry (the one in the jacket on the right), the one who is an ally of the luminous path façade, the Movadef, is the new “advisor” of the community members of Las Bambas. Look then, such jewels. And the g"&amp;"overnment talks with those people
https://t.co/5ed8jD0g5t")</f>
        <v>RT @santy19602010: INEPT KIDNAPPED
So Jorge Paredes Terry (the one in the jacket on the right), the one who is an ally of the luminous path façade, the Movadef, is the new “advisor” of the community members of Las Bambas. Look then, such jewels. And the government talks with those people
https://t.co/5ed8jD0g5t</v>
      </c>
      <c r="C1822" s="2" t="s">
        <v>4282</v>
      </c>
      <c r="D1822" s="1" t="s">
        <v>4272</v>
      </c>
    </row>
    <row r="1823" spans="1:4" x14ac:dyDescent="0.15">
      <c r="A1823" s="1" t="s">
        <v>4283</v>
      </c>
      <c r="B1823" s="3" t="str">
        <f ca="1">IFERROR(__xludf.DUMMYFUNCTION("GOOGLETRANSLATE(B1823,""es"",""en"")"),"RT @Dianasemi: does it seem like several people were taken for a ride last night?...... Las Bambas: the road will continue to be blocked this Monday despite the agreement with the Executive https://t.co/DkR9ZeulKO via @elcomercio_peru")</f>
        <v>RT @Dianasemi: does it seem like several people were taken for a ride last night?...... Las Bambas: the road will continue to be blocked this Monday despite the agreement with the Executive https://t.co/DkR9ZeulKO via @elcomercio_peru</v>
      </c>
      <c r="C1823" s="2" t="s">
        <v>4284</v>
      </c>
      <c r="D1823" s="1" t="s">
        <v>4285</v>
      </c>
    </row>
    <row r="1824" spans="1:4" x14ac:dyDescent="0.15">
      <c r="A1824" s="1" t="s">
        <v>4286</v>
      </c>
      <c r="B1824" s="3" t="str">
        <f ca="1">IFERROR(__xludf.DUMMYFUNCTION("GOOGLETRANSLATE(B1824,""es"",""en"")"),"RT @luansantana: My heart is beating fast and my legs are wearing sneakers with the latest fashion of the CD that I just heard! @fernando_zor regaçou nesse project!")</f>
        <v>RT @luansantana: My heart is beating fast and my legs are wearing sneakers with the latest fashion of the CD that I just heard! @fernando_zor regaçou nesse project!</v>
      </c>
      <c r="C1824" s="2" t="s">
        <v>4287</v>
      </c>
      <c r="D1824" s="1" t="s">
        <v>4285</v>
      </c>
    </row>
    <row r="1825" spans="1:4" x14ac:dyDescent="0.15">
      <c r="A1825" s="1" t="s">
        <v>2129</v>
      </c>
      <c r="B1825" s="3" t="str">
        <f ca="1">IFERROR(__xludf.DUMMYFUNCTION("GOOGLETRANSLATE(B1825,""es"",""en"")"),"RT @Frospigliosi: President Vizcarra's behavior is an incentive for many others who will consider themselves authorized to use violence, beat themselves up by the law and run over drunken police officers – or do something similar – without receiving the s"&amp;"lightest sanction.
 https://t.co/InHXDnb66P")</f>
        <v>RT @Frospigliosi: President Vizcarra's behavior is an incentive for many others who will consider themselves authorized to use violence, beat themselves up by the law and run over drunken police officers – or do something similar – without receiving the slightest sanction.
 https://t.co/InHXDnb66P</v>
      </c>
      <c r="C1825" s="2" t="s">
        <v>4288</v>
      </c>
      <c r="D1825" s="1" t="s">
        <v>4289</v>
      </c>
    </row>
    <row r="1826" spans="1:4" x14ac:dyDescent="0.15">
      <c r="A1826" s="1" t="s">
        <v>4290</v>
      </c>
      <c r="B1826" s="3" t="str">
        <f ca="1">IFERROR(__xludf.DUMMYFUNCTION("GOOGLETRANSLATE(B1826,""es"",""en"")"),"Unfortunately, I don't have anything I deserve, friends, work... I'm just happy with the family I have, some people I've learned to have affinities with, but it's not easy to walk in tight shoes like jugglers and... https://t.co/ KsJUBdQ1iW")</f>
        <v>Unfortunately, I don't have anything I deserve, friends, work... I'm just happy with the family I have, some people I've learned to have affinities with, but it's not easy to walk in tight shoes like jugglers and... https://t.co/ KsJUBdQ1iW</v>
      </c>
      <c r="C1826" s="2" t="s">
        <v>4291</v>
      </c>
      <c r="D1826" s="1" t="s">
        <v>4289</v>
      </c>
    </row>
    <row r="1827" spans="1:4" x14ac:dyDescent="0.15">
      <c r="A1827" s="1" t="s">
        <v>4292</v>
      </c>
      <c r="B1827" s="3" t="str">
        <f ca="1">IFERROR(__xludf.DUMMYFUNCTION("GOOGLETRANSLATE(B1827,""es"",""en"")"),"@itriedIoving this makes my sneakers mo'd")</f>
        <v>@itriedIoving this makes my sneakers mo'd</v>
      </c>
      <c r="C1827" s="2" t="s">
        <v>4293</v>
      </c>
      <c r="D1827" s="1" t="s">
        <v>4294</v>
      </c>
    </row>
    <row r="1828" spans="1:4" x14ac:dyDescent="0.15">
      <c r="A1828" s="1" t="s">
        <v>2428</v>
      </c>
      <c r="B1828" s="3" t="str">
        <f ca="1">IFERROR(__xludf.DUMMYFUNCTION("GOOGLETRANSLATE(B1828,""es"",""en"")"),"RT @xafu: FEDERICO SALAZAR
The government's role in the Las Bambas crisis gives a bad signal. It tells the entire world that this is not a good place to bring in investments of 5 or 10 billion dollars. And it is these investments that are required to grow"&amp;" and combat poverty.")</f>
        <v>RT @xafu: FEDERICO SALAZAR
The government's role in the Las Bambas crisis gives a bad signal. It tells the entire world that this is not a good place to bring in investments of 5 or 10 billion dollars. And it is these investments that are required to grow and combat poverty.</v>
      </c>
      <c r="C1828" s="2" t="s">
        <v>4295</v>
      </c>
      <c r="D1828" s="1" t="s">
        <v>4296</v>
      </c>
    </row>
    <row r="1829" spans="1:4" x14ac:dyDescent="0.15">
      <c r="A1829" s="1" t="s">
        <v>3082</v>
      </c>
      <c r="B1829" s="3" t="str">
        <f ca="1">IFERROR(__xludf.DUMMYFUNCTION("GOOGLETRANSLATE(B1829,""es"",""en"")"),"RT @santy19602010: INEPT KIDNAPPED
So Jorge Paredes Terry (the one in the jacket on the right), the one who is an ally of the luminous path façade, the Movadef, is the new “advisor” of the community members of Las Bambas. Look then, such jewels. And the g"&amp;"overnment talks with those people
https://t.co/5ed8jD0g5t")</f>
        <v>RT @santy19602010: INEPT KIDNAPPED
So Jorge Paredes Terry (the one in the jacket on the right), the one who is an ally of the luminous path façade, the Movadef, is the new “advisor” of the community members of Las Bambas. Look then, such jewels. And the government talks with those people
https://t.co/5ed8jD0g5t</v>
      </c>
      <c r="C1829" s="2" t="s">
        <v>4297</v>
      </c>
      <c r="D1829" s="1" t="s">
        <v>4296</v>
      </c>
    </row>
    <row r="1830" spans="1:4" x14ac:dyDescent="0.15">
      <c r="A1830" s="1" t="s">
        <v>4298</v>
      </c>
      <c r="B1830" s="3" t="str">
        <f ca="1">IFERROR(__xludf.DUMMYFUNCTION("GOOGLETRANSLATE(B1830,""es"",""en"")"),"THE ONLY TRUTH OF THE CONFLICT OF THE BAMBAS IS: THAT THIS CORRUPT GOVERNMENT OF VIZCARRA DOES NOT RESOLVE SOON, THEY ARE TAKING CARE OF THE PPK BUSINESS OF THEIR TRUCKS, THAT THE FIRST CONTRACT IS FULFILLED THAT REQUIRES THEY TO BUILD THE TRAIN TO THE PO"&amp;"RT, ISSUE SETTLED. https://t.co/EDRm68NIkS")</f>
        <v>THE ONLY TRUTH OF THE CONFLICT OF THE BAMBAS IS: THAT THIS CORRUPT GOVERNMENT OF VIZCARRA DOES NOT RESOLVE SOON, THEY ARE TAKING CARE OF THE PPK BUSINESS OF THEIR TRUCKS, THAT THE FIRST CONTRACT IS FULFILLED THAT REQUIRES THEY TO BUILD THE TRAIN TO THE PORT, ISSUE SETTLED. https://t.co/EDRm68NIkS</v>
      </c>
      <c r="C1830" s="2" t="s">
        <v>4299</v>
      </c>
      <c r="D1830" s="1" t="s">
        <v>4300</v>
      </c>
    </row>
    <row r="1831" spans="1:4" x14ac:dyDescent="0.15">
      <c r="A1831" s="1" t="s">
        <v>420</v>
      </c>
      <c r="B1831" s="3" t="str">
        <f ca="1">IFERROR(__xludf.DUMMYFUNCTION("GOOGLETRANSLATE(B1831,""es"",""en"")"),"RT @JorgeEs47082874: @reyconbarba There is no solution to the Bambas, only surrender, soon the government stepping on the judiciary will make them release the extortionist little brothers")</f>
        <v>RT @JorgeEs47082874: @reyconbarba There is no solution to the Bambas, only surrender, soon the government stepping on the judiciary will make them release the extortionist little brothers</v>
      </c>
      <c r="C1831" s="2" t="s">
        <v>4301</v>
      </c>
      <c r="D1831" s="1" t="s">
        <v>4302</v>
      </c>
    </row>
    <row r="1832" spans="1:4" x14ac:dyDescent="0.15">
      <c r="A1832" s="1" t="s">
        <v>4303</v>
      </c>
      <c r="B1832" s="3" t="str">
        <f ca="1">IFERROR(__xludf.DUMMYFUNCTION("GOOGLETRANSLATE(B1832,""es"",""en"")"),"RT @noticias_tvperu: LIVE | Salvador del Solar, head of @pcmperu, provides details about the agreements to end the conflict in Las Bambas ►https://t.co/Zr35UDITOq #TVPerúInforma https://t.co/xHV0bCR5jF")</f>
        <v>RT @noticias_tvperu: LIVE | Salvador del Solar, head of @pcmperu, provides details about the agreements to end the conflict in Las Bambas ►https://t.co/Zr35UDITOq #TVPerúInforma https://t.co/xHV0bCR5jF</v>
      </c>
      <c r="C1832" s="2" t="s">
        <v>4304</v>
      </c>
      <c r="D1832" s="1" t="s">
        <v>4302</v>
      </c>
    </row>
    <row r="1833" spans="1:4" x14ac:dyDescent="0.15">
      <c r="A1833" s="1" t="s">
        <v>4305</v>
      </c>
      <c r="B1833" s="3" t="str">
        <f ca="1">IFERROR(__xludf.DUMMYFUNCTION("GOOGLETRANSLATE(B1833,""es"",""en"")"),"RT @littlejunkiee: jae: meia niite no miu quarto vou te deixar com as pernas bambas
tae: ok 
#JAEHYUN #TAEYONG #NCT https://t.co/Hq71o1O9Tc")</f>
        <v>RT @littlejunkiee: jae: meia niite no miu quarto vou te deixar com as pernas bambas
tae: ok 
#JAEHYUN #TAEYONG #NCT https://t.co/Hq71o1O9Tc</v>
      </c>
      <c r="C1833" s="2" t="s">
        <v>4306</v>
      </c>
      <c r="D1833" s="1" t="s">
        <v>4302</v>
      </c>
    </row>
    <row r="1834" spans="1:4" x14ac:dyDescent="0.15">
      <c r="A1834" s="1" t="s">
        <v>4307</v>
      </c>
      <c r="B1834" s="3" t="str">
        <f ca="1">IFERROR(__xludf.DUMMYFUNCTION("GOOGLETRANSLATE(B1834,""es"",""en"")"),"Chanchamayo flooded, Las Bambas still blocked, schools that do not open, doctors who have to make a lot of money to buy instruments, North paralyzed, etc. etc
Meanwhile, in #FourthPower: Let's better do another millionth flattering report on our royal #Su"&amp;"sel.")</f>
        <v>Chanchamayo flooded, Las Bambas still blocked, schools that do not open, doctors who have to make a lot of money to buy instruments, North paralyzed, etc. etc
Meanwhile, in #FourthPower: Let's better do another millionth flattering report on our royal #Susel.</v>
      </c>
      <c r="C1834" s="2" t="s">
        <v>4308</v>
      </c>
      <c r="D1834" s="1" t="s">
        <v>4302</v>
      </c>
    </row>
    <row r="1835" spans="1:4" x14ac:dyDescent="0.15">
      <c r="A1835" s="1" t="s">
        <v>4309</v>
      </c>
      <c r="B1835" s="3" t="str">
        <f ca="1">IFERROR(__xludf.DUMMYFUNCTION("GOOGLETRANSLATE(B1835,""es"",""en"")"),"@reyconbarba Are we Limeños blind, mute and one-armed?  We have to protest for Bambas then. For the same reason, the same right, ergo we want to be millionaires")</f>
        <v>@reyconbarba Are we Limeños blind, mute and one-armed?  We have to protest for Bambas then. For the same reason, the same right, ergo we want to be millionaires</v>
      </c>
      <c r="C1835" s="2" t="s">
        <v>4310</v>
      </c>
      <c r="D1835" s="1" t="s">
        <v>4302</v>
      </c>
    </row>
    <row r="1836" spans="1:4" x14ac:dyDescent="0.15">
      <c r="A1836" s="1" t="s">
        <v>2428</v>
      </c>
      <c r="B1836" s="3" t="str">
        <f ca="1">IFERROR(__xludf.DUMMYFUNCTION("GOOGLETRANSLATE(B1836,""es"",""en"")"),"#ReyConBarba #ReyConBarbayTudela @reyreysincorona @reyconbarba Is the state of emergency maintained in the ""Las Bambas"" area?")</f>
        <v>#ReyConBarba #ReyConBarbayTudela @reyreysincorona @reyconbarba Is the state of emergency maintained in the "Las Bambas" area?</v>
      </c>
      <c r="C1836" s="2" t="s">
        <v>4311</v>
      </c>
      <c r="D1836" s="1" t="s">
        <v>4302</v>
      </c>
    </row>
    <row r="1837" spans="1:4" x14ac:dyDescent="0.15">
      <c r="A1837" s="1" t="s">
        <v>4312</v>
      </c>
      <c r="B1837" s="3" t="str">
        <f ca="1">IFERROR(__xludf.DUMMYFUNCTION("GOOGLETRANSLATE(B1837,""es"",""en"")"),"RT @TammyArimborgoG: According to del Solar, it happened RASPING because in his ""speech"" he mentioned support for the ""gender"" agenda and the issue of Prosecutor Chavarry!! False, you don't measure up!! Your ""acting"" experience is not enough! Yester"&amp;"day, for example, it was noted that you did not lead the Las Bambas affair... you were just another guest!")</f>
        <v>RT @TammyArimborgoG: According to del Solar, it happened RASPING because in his "speech" he mentioned support for the "gender" agenda and the issue of Prosecutor Chavarry!! False, you don't measure up!! Your "acting" experience is not enough! Yesterday, for example, it was noted that you did not lead the Las Bambas affair... you were just another guest!</v>
      </c>
      <c r="C1837" s="2" t="s">
        <v>4313</v>
      </c>
      <c r="D1837" s="1" t="s">
        <v>4314</v>
      </c>
    </row>
    <row r="1838" spans="1:4" x14ac:dyDescent="0.15">
      <c r="A1838" s="1" t="s">
        <v>2597</v>
      </c>
      <c r="B1838" s="3" t="str">
        <f ca="1">IFERROR(__xludf.DUMMYFUNCTION("GOOGLETRANSLATE(B1838,""es"",""en"")"),"#Edmer #Trujillo on #conflict in La Bambas: ""I'm not going to resign"" https://t.co/JW63gbWGwH")</f>
        <v>#Edmer #Trujillo on #conflict in La Bambas: "I'm not going to resign" https://t.co/JW63gbWGwH</v>
      </c>
      <c r="C1838" s="2" t="s">
        <v>4315</v>
      </c>
      <c r="D1838" s="1" t="s">
        <v>4314</v>
      </c>
    </row>
    <row r="1839" spans="1:4" x14ac:dyDescent="0.15">
      <c r="A1839" s="1" t="s">
        <v>4144</v>
      </c>
      <c r="B1839" s="3" t="str">
        <f ca="1">IFERROR(__xludf.DUMMYFUNCTION("GOOGLETRANSLATE(B1839,""es"",""en"")"),"RT @noticias_tvperu: LIVE | Salvador del Solar, head of @pcmperu, provides details about the agreements to end the conflict in Las Bambas ►https://t.co/Zr35UDITOq #TVPerúInforma https://t.co/xHV0bCR5jF")</f>
        <v>RT @noticias_tvperu: LIVE | Salvador del Solar, head of @pcmperu, provides details about the agreements to end the conflict in Las Bambas ►https://t.co/Zr35UDITOq #TVPerúInforma https://t.co/xHV0bCR5jF</v>
      </c>
      <c r="C1839" s="2" t="s">
        <v>4316</v>
      </c>
      <c r="D1839" s="1" t="s">
        <v>4317</v>
      </c>
    </row>
    <row r="1840" spans="1:4" x14ac:dyDescent="0.15">
      <c r="A1840" s="1" t="s">
        <v>4318</v>
      </c>
      <c r="B1840" s="3" t="str">
        <f ca="1">IFERROR(__xludf.DUMMYFUNCTION("GOOGLETRANSLATE(B1840,""es"",""en"")"),"RT @Politica_LR: Las Bambas: They disseminate the agreement between mining and Fuerabamba in Quechua ►https://t.co/asykWnyWbG https://t.co/fwtrldH0JC")</f>
        <v>RT @Politica_LR: Las Bambas: They disseminate the agreement between mining and Fuerabamba in Quechua ►https://t.co/asykWnyWbG https://t.co/fwtrldH0JC</v>
      </c>
      <c r="C1840" s="2" t="s">
        <v>4319</v>
      </c>
      <c r="D1840" s="1" t="s">
        <v>4320</v>
      </c>
    </row>
    <row r="1841" spans="1:4" x14ac:dyDescent="0.15">
      <c r="A1841" s="1" t="s">
        <v>4321</v>
      </c>
      <c r="B1841" s="3" t="str">
        <f ca="1">IFERROR(__xludf.DUMMYFUNCTION("GOOGLETRANSLATE(B1841,""es"",""en"")"),"RT @Dianasemi: does it seem like several people were taken for a ride last night?...... Las Bambas: the road will continue to be blocked this Monday despite the agreement with the Executive https://t.co/DkR9ZeulKO via @elcomercio_peru")</f>
        <v>RT @Dianasemi: does it seem like several people were taken for a ride last night?...... Las Bambas: the road will continue to be blocked this Monday despite the agreement with the Executive https://t.co/DkR9ZeulKO via @elcomercio_peru</v>
      </c>
      <c r="C1841" s="2" t="s">
        <v>4322</v>
      </c>
      <c r="D1841" s="1" t="s">
        <v>4320</v>
      </c>
    </row>
    <row r="1842" spans="1:4" x14ac:dyDescent="0.15">
      <c r="A1842" s="1" t="s">
        <v>4323</v>
      </c>
      <c r="B1842" s="3" t="str">
        <f ca="1">IFERROR(__xludf.DUMMYFUNCTION("GOOGLETRANSLATE(B1842,""es"",""en"")"),"@21Cordeliamar If you say you are an honest woman, first start with how much you charged for demonstrating for the BAMBAS, because until now you have not spoken out about the Villaran, because you have not given your free support either, you have also mad"&amp;"e a fool of yourself by pouting, washing your flag. GIVE MONEY.")</f>
        <v>@21Cordeliamar If you say you are an honest woman, first start with how much you charged for demonstrating for the BAMBAS, because until now you have not spoken out about the Villaran, because you have not given your free support either, you have also made a fool of yourself by pouting, washing your flag. GIVE MONEY.</v>
      </c>
      <c r="C1842" s="2" t="s">
        <v>4324</v>
      </c>
      <c r="D1842" s="1" t="s">
        <v>4325</v>
      </c>
    </row>
    <row r="1843" spans="1:4" x14ac:dyDescent="0.15">
      <c r="A1843" s="1" t="s">
        <v>4326</v>
      </c>
      <c r="B1843" s="3" t="str">
        <f ca="1">IFERROR(__xludf.DUMMYFUNCTION("GOOGLETRANSLATE(B1843,""es"",""en"")"),"people, I've never been able to outdo Emily dancing because Shay breathes and my legs are in sneakers.")</f>
        <v>people, I've never been able to outdo Emily dancing because Shay breathes and my legs are in sneakers.</v>
      </c>
      <c r="C1843" s="2" t="s">
        <v>4327</v>
      </c>
      <c r="D1843" s="1" t="s">
        <v>4325</v>
      </c>
    </row>
    <row r="1844" spans="1:4" x14ac:dyDescent="0.15">
      <c r="A1844" s="1" t="s">
        <v>4328</v>
      </c>
      <c r="B1844" s="3" t="str">
        <f ca="1">IFERROR(__xludf.DUMMYFUNCTION("GOOGLETRANSLATE(B1844,""es"",""en"")"),"RT @jimmybussol: I was surprised that now @RPPNoticias presents a series of specialists in solving social conflicts, but where were they in the more than 60 days of the Las Bambas strike?")</f>
        <v>RT @jimmybussol: I was surprised that now @RPPNoticias presents a series of specialists in solving social conflicts, but where were they in the more than 60 days of the Las Bambas strike?</v>
      </c>
      <c r="C1844" s="2" t="s">
        <v>4329</v>
      </c>
      <c r="D1844" s="1" t="s">
        <v>4325</v>
      </c>
    </row>
    <row r="1845" spans="1:4" x14ac:dyDescent="0.15">
      <c r="A1845" s="1" t="s">
        <v>2433</v>
      </c>
      <c r="B1845" s="3" t="str">
        <f ca="1">IFERROR(__xludf.DUMMYFUNCTION("GOOGLETRANSLATE(B1845,""es"",""en"")"),"RT @elcomercio_peru: Las Bambas: road will continue to be blocked this Monday despite the agreement with the Executive https://t.co/JdeGmG0SBu")</f>
        <v>RT @elcomercio_peru: Las Bambas: road will continue to be blocked this Monday despite the agreement with the Executive https://t.co/JdeGmG0SBu</v>
      </c>
      <c r="C1845" s="2" t="s">
        <v>4330</v>
      </c>
      <c r="D1845" s="1" t="s">
        <v>4331</v>
      </c>
    </row>
    <row r="1846" spans="1:4" x14ac:dyDescent="0.15">
      <c r="A1846" s="1" t="s">
        <v>4332</v>
      </c>
      <c r="B1846" s="3" t="str">
        <f ca="1">IFERROR(__xludf.DUMMYFUNCTION("GOOGLETRANSLATE(B1846,""es"",""en"")"),"RT @DialogoFe: Cardinal Cipriani: ""At this moment the role of the Church is not to be a specialist in Las Bambas. Its role is to help them talk, to not fight"" #DiálogoDeFe")</f>
        <v>RT @DialogoFe: Cardinal Cipriani: "At this moment the role of the Church is not to be a specialist in Las Bambas. Its role is to help them talk, to not fight" #DiálogoDeFe</v>
      </c>
      <c r="C1846" s="2" t="s">
        <v>4333</v>
      </c>
      <c r="D1846" s="1" t="s">
        <v>4334</v>
      </c>
    </row>
    <row r="1847" spans="1:4" x14ac:dyDescent="0.15">
      <c r="A1847" s="1" t="s">
        <v>4335</v>
      </c>
      <c r="B1847" s="3" t="str">
        <f ca="1">IFERROR(__xludf.DUMMYFUNCTION("GOOGLETRANSLATE(B1847,""es"",""en"")"),"RT @eljorobado: Good for the agreement that gives a truce in Las Bambas. So, the Catholic Church is PCM's new conflict resolution unit? Will serving train religious people in conflict negotiation? Secular State already?")</f>
        <v>RT @eljorobado: Good for the agreement that gives a truce in Las Bambas. So, the Catholic Church is PCM's new conflict resolution unit? Will serving train religious people in conflict negotiation? Secular State already?</v>
      </c>
      <c r="C1847" s="2" t="s">
        <v>4336</v>
      </c>
      <c r="D1847" s="1" t="s">
        <v>4334</v>
      </c>
    </row>
    <row r="1848" spans="1:4" x14ac:dyDescent="0.15">
      <c r="A1848" s="1" t="s">
        <v>750</v>
      </c>
      <c r="B1848" s="3" t="str">
        <f ca="1">IFERROR(__xludf.DUMMYFUNCTION("GOOGLETRANSLATE(B1848,""es"",""en"")"),"RT @MarcoAvilesH: The main guest of the last CADE makes an apology for the massacre. 
In a Peru crossed by social conflicts as is the case in Las Bambas, why do local businessmen find it interesting to listen to a luminary of state terrorism? https://t.co"&amp;"/7hEWQ1K0X2")</f>
        <v>RT @MarcoAvilesH: The main guest of the last CADE makes an apology for the massacre. 
In a Peru crossed by social conflicts as is the case in Las Bambas, why do local businessmen find it interesting to listen to a luminary of state terrorism? https://t.co/7hEWQ1K0X2</v>
      </c>
      <c r="C1848" s="2" t="s">
        <v>4337</v>
      </c>
      <c r="D1848" s="1" t="s">
        <v>4338</v>
      </c>
    </row>
    <row r="1849" spans="1:4" x14ac:dyDescent="0.15">
      <c r="A1849" s="1" t="s">
        <v>4339</v>
      </c>
      <c r="B1849" s="3" t="str">
        <f ca="1">IFERROR(__xludf.DUMMYFUNCTION("GOOGLETRANSLATE(B1849,""es"",""en"")"),"RT @elcomercio_peru: Las Bambas: road will continue to be blocked this Monday despite the agreement with the Executive https://t.co/JdeGmG0SBu")</f>
        <v>RT @elcomercio_peru: Las Bambas: road will continue to be blocked this Monday despite the agreement with the Executive https://t.co/JdeGmG0SBu</v>
      </c>
      <c r="C1849" s="2" t="s">
        <v>4340</v>
      </c>
      <c r="D1849" s="1" t="s">
        <v>4341</v>
      </c>
    </row>
    <row r="1850" spans="1:4" x14ac:dyDescent="0.15">
      <c r="A1850" s="1" t="s">
        <v>4342</v>
      </c>
      <c r="B1850" s="3" t="str">
        <f ca="1">IFERROR(__xludf.DUMMYFUNCTION("GOOGLETRANSLATE(B1850,""es"",""en"")"),"RT @ExpresoPeru: #ExprésateconExpreso 📣 Do you think that President Martín Vizcarra should travel to the conflict zone in Las Bambas?")</f>
        <v>RT @ExpresoPeru: #ExprésateconExpreso 📣 Do you think that President Martín Vizcarra should travel to the conflict zone in Las Bambas?</v>
      </c>
      <c r="C1850" s="2" t="s">
        <v>4343</v>
      </c>
      <c r="D1850" s="1" t="s">
        <v>4341</v>
      </c>
    </row>
    <row r="1851" spans="1:4" x14ac:dyDescent="0.15">
      <c r="A1851" s="1" t="s">
        <v>4342</v>
      </c>
      <c r="B1851" s="3" t="str">
        <f ca="1">IFERROR(__xludf.DUMMYFUNCTION("GOOGLETRANSLATE(B1851,""es"",""en"")"),"RT @xafu: FEDERICO SALAZAR
The government's role in the Las Bambas crisis gives a bad signal. It tells the entire world that this is not a good place to bring in investments of 5 or 10 billion dollars. And it is these investments that are required to grow"&amp;" and combat poverty.")</f>
        <v>RT @xafu: FEDERICO SALAZAR
The government's role in the Las Bambas crisis gives a bad signal. It tells the entire world that this is not a good place to bring in investments of 5 or 10 billion dollars. And it is these investments that are required to grow and combat poverty.</v>
      </c>
      <c r="C1851" s="2" t="s">
        <v>4344</v>
      </c>
      <c r="D1851" s="1" t="s">
        <v>4345</v>
      </c>
    </row>
    <row r="1852" spans="1:4" x14ac:dyDescent="0.15">
      <c r="A1852" s="1" t="s">
        <v>4346</v>
      </c>
      <c r="B1852" s="3" t="str">
        <f ca="1">IFERROR(__xludf.DUMMYFUNCTION("GOOGLETRANSLATE(B1852,""es"",""en"")"),"RT @canalN_: THE LATEST | Government reached an agreement with community members of Fuerbamaba and the road to Las Bambas will no longer be blocked ► https://t.co/BmNsvCxwYu https://t.co/SlxDcr8ctR")</f>
        <v>RT @canalN_: THE LATEST | Government reached an agreement with community members of Fuerbamaba and the road to Las Bambas will no longer be blocked ► https://t.co/BmNsvCxwYu https://t.co/SlxDcr8ctR</v>
      </c>
      <c r="C1852" s="2" t="s">
        <v>4347</v>
      </c>
      <c r="D1852" s="1" t="s">
        <v>4348</v>
      </c>
    </row>
    <row r="1853" spans="1:4" x14ac:dyDescent="0.15">
      <c r="A1853" s="1" t="s">
        <v>1952</v>
      </c>
      <c r="B1853" s="3" t="str">
        <f ca="1">IFERROR(__xludf.DUMMYFUNCTION("GOOGLETRANSLATE(B1853,""es"",""en"")"),"RT @jimmybussol: I was surprised that now @RPPNoticias presents a series of specialists in solving social conflicts, but where were they in the more than 60 days of the Las Bambas strike?")</f>
        <v>RT @jimmybussol: I was surprised that now @RPPNoticias presents a series of specialists in solving social conflicts, but where were they in the more than 60 days of the Las Bambas strike?</v>
      </c>
      <c r="C1853" s="2" t="s">
        <v>4349</v>
      </c>
      <c r="D1853" s="1" t="s">
        <v>4348</v>
      </c>
    </row>
    <row r="1854" spans="1:4" x14ac:dyDescent="0.15">
      <c r="A1854" s="1" t="s">
        <v>4350</v>
      </c>
      <c r="B1854" s="3" t="str">
        <f ca="1">IFERROR(__xludf.DUMMYFUNCTION("GOOGLETRANSLATE(B1854,""es"",""en"")"),"RT @edyerc: The protest of the Fuerabamba Community is lifted and the PCM, through the mediation of the Episcopal Conference, manages to get the community and the Las Bambas Mine to reach an agreement.
Tremendous achievement under the award of @saldelsol"&amp;". Excellent news for the country! https://t.co/10Sv6S2E4C")</f>
        <v>RT @edyerc: The protest of the Fuerabamba Community is lifted and the PCM, through the mediation of the Episcopal Conference, manages to get the community and the Las Bambas Mine to reach an agreement.
Tremendous achievement under the award of @saldelsol. Excellent news for the country! https://t.co/10Sv6S2E4C</v>
      </c>
      <c r="C1854" s="2" t="s">
        <v>4351</v>
      </c>
      <c r="D1854" s="1" t="s">
        <v>4348</v>
      </c>
    </row>
    <row r="1855" spans="1:4" x14ac:dyDescent="0.15">
      <c r="A1855" s="1" t="s">
        <v>4352</v>
      </c>
      <c r="B1855" s="3" t="str">
        <f ca="1">IFERROR(__xludf.DUMMYFUNCTION("GOOGLETRANSLATE(B1855,""es"",""en"")"),"@elcomercio_peru @SolCn Until the solution of the Bambas Pantaleón, if you can't resign.")</f>
        <v>@elcomercio_peru @SolCn Until the solution of the Bambas Pantaleón, if you can't resign.</v>
      </c>
      <c r="C1855" s="2" t="s">
        <v>4353</v>
      </c>
      <c r="D1855" s="1" t="s">
        <v>4348</v>
      </c>
    </row>
    <row r="1856" spans="1:4" x14ac:dyDescent="0.15">
      <c r="A1856" s="1" t="s">
        <v>1562</v>
      </c>
      <c r="B1856" s="3" t="str">
        <f ca="1">IFERROR(__xludf.DUMMYFUNCTION("GOOGLETRANSLATE(B1856,""es"",""en"")"),"RT @JorgeEs47082874: @reyconbarba Are we Limeños blind, mute and one-armed?  We have to protest for Bambas then. For the same reason, the same right, ergo we want to be millionaires")</f>
        <v>RT @JorgeEs47082874: @reyconbarba Are we Limeños blind, mute and one-armed?  We have to protest for Bambas then. For the same reason, the same right, ergo we want to be millionaires</v>
      </c>
      <c r="C1856" s="2" t="s">
        <v>4354</v>
      </c>
      <c r="D1856" s="1" t="s">
        <v>4355</v>
      </c>
    </row>
    <row r="1857" spans="1:4" x14ac:dyDescent="0.15">
      <c r="A1857" s="1" t="s">
        <v>4356</v>
      </c>
      <c r="B1857" s="3" t="str">
        <f ca="1">IFERROR(__xludf.DUMMYFUNCTION("GOOGLETRANSLATE(B1857,""es"",""en"")"),"NELSON CHUI QUESTIONED ABOUT THE BAMBAS ORDERS, AND THAT THE SUB-ACCOUNTANT WHO PURCHASED GOLD WATCHES AND PENCILS FOR OFFICIALS WAS PRISONED
According to Tax File 803-2018, in which it is... https://t.co/q5JaKiztAK")</f>
        <v>NELSON CHUI QUESTIONED ABOUT THE BAMBAS ORDERS, AND THAT THE SUB-ACCOUNTANT WHO PURCHASED GOLD WATCHES AND PENCILS FOR OFFICIALS WAS PRISONED
According to Tax File 803-2018, in which it is... https://t.co/q5JaKiztAK</v>
      </c>
      <c r="C1857" s="2" t="s">
        <v>4357</v>
      </c>
      <c r="D1857" s="1" t="s">
        <v>4358</v>
      </c>
    </row>
    <row r="1858" spans="1:4" x14ac:dyDescent="0.15">
      <c r="A1858" s="1" t="s">
        <v>2539</v>
      </c>
      <c r="B1858" s="3" t="str">
        <f ca="1">IFERROR(__xludf.DUMMYFUNCTION("GOOGLETRANSLATE(B1858,""es"",""en"")"),"RT @TammyArimborgoG: According to del Solar, it happened RASPING because in his ""speech"" he mentioned support for the ""gender"" agenda and the issue of Prosecutor Chavarry!! False, you don't measure up!! Your ""acting"" experience is not enough! Yester"&amp;"day, for example, it was noted that you did not lead the Las Bambas affair... you were just another guest!")</f>
        <v>RT @TammyArimborgoG: According to del Solar, it happened RASPING because in his "speech" he mentioned support for the "gender" agenda and the issue of Prosecutor Chavarry!! False, you don't measure up!! Your "acting" experience is not enough! Yesterday, for example, it was noted that you did not lead the Las Bambas affair... you were just another guest!</v>
      </c>
      <c r="C1858" s="2" t="s">
        <v>4359</v>
      </c>
      <c r="D1858" s="1" t="s">
        <v>4360</v>
      </c>
    </row>
    <row r="1859" spans="1:4" x14ac:dyDescent="0.15">
      <c r="A1859" s="1" t="s">
        <v>4361</v>
      </c>
      <c r="B1859" s="3" t="str">
        <f ca="1">IFERROR(__xludf.DUMMYFUNCTION("GOOGLETRANSLATE(B1859,""es"",""en"")"),"RT @bepe20: Monggo saja, drinks. Lha saya kan memang pernah main di PBR. Jangankan itu, wong orang manggil saya ""Brad Pitt"" yg jelas-jelas ngga ada huhungan sama saya saja, ndak masalah. 
Tapi kalo boleh saran, ya panggil sesuai nama saya saja, Bambas "&amp;"Pamungkang 🤭 https://t.co/KE951d8sC2")</f>
        <v>RT @bepe20: Monggo saja, drinks. Lha saya kan memang pernah main di PBR. Jangankan itu, wong orang manggil saya "Brad Pitt" yg jelas-jelas ngga ada huhungan sama saya saja, ndak masalah. 
Tapi kalo boleh saran, ya panggil sesuai nama saya saja, Bambas Pamungkang 🤭 https://t.co/KE951d8sC2</v>
      </c>
      <c r="C1859" s="2" t="s">
        <v>4362</v>
      </c>
      <c r="D1859" s="1" t="s">
        <v>4360</v>
      </c>
    </row>
    <row r="1860" spans="1:4" x14ac:dyDescent="0.15">
      <c r="A1860" s="1" t="s">
        <v>4363</v>
      </c>
      <c r="B1860" s="3" t="str">
        <f ca="1">IFERROR(__xludf.DUMMYFUNCTION("GOOGLETRANSLATE(B1860,""es"",""en"")"),"RT @bepe20: Monggo saja, drinks. Lha saya kan memang pernah main di PBR. Jangankan itu, wong orang manggil saya ""Brad Pitt"" yg jelas-jelas ngga ada huhungan sama saya saja, ndak masalah. 
Tapi kalo boleh saran, ya panggil sesuai nama saya saja, Bambas "&amp;"Pamungkang 🤭 https://t.co/KE951d8sC2")</f>
        <v>RT @bepe20: Monggo saja, drinks. Lha saya kan memang pernah main di PBR. Jangankan itu, wong orang manggil saya "Brad Pitt" yg jelas-jelas ngga ada huhungan sama saya saja, ndak masalah. 
Tapi kalo boleh saran, ya panggil sesuai nama saya saja, Bambas Pamungkang 🤭 https://t.co/KE951d8sC2</v>
      </c>
      <c r="C1860" s="2" t="s">
        <v>4364</v>
      </c>
      <c r="D1860" s="1" t="s">
        <v>4365</v>
      </c>
    </row>
    <row r="1861" spans="1:4" x14ac:dyDescent="0.15">
      <c r="A1861" s="1" t="s">
        <v>4366</v>
      </c>
      <c r="B1861" s="3" t="str">
        <f ca="1">IFERROR(__xludf.DUMMYFUNCTION("GOOGLETRANSLATE(B1861,""es"",""en"")"),"I wanted to deal with the shoes and couldn't get up.")</f>
        <v>I wanted to deal with the shoes and couldn't get up.</v>
      </c>
      <c r="C1861" s="2" t="s">
        <v>4367</v>
      </c>
      <c r="D1861" s="1" t="s">
        <v>4368</v>
      </c>
    </row>
    <row r="1862" spans="1:4" x14ac:dyDescent="0.15">
      <c r="A1862" s="1" t="s">
        <v>4369</v>
      </c>
      <c r="B1862" s="3" t="str">
        <f ca="1">IFERROR(__xludf.DUMMYFUNCTION("GOOGLETRANSLATE(B1862,""es"",""en"")"),"@la_bicha_bola @LadyTyphlosion I'm also coming out of the closet, the 1's are sneakers.")</f>
        <v>@la_bicha_bola @LadyTyphlosion I'm also coming out of the closet, the 1's are sneakers.</v>
      </c>
      <c r="C1862" s="2" t="s">
        <v>4370</v>
      </c>
      <c r="D1862" s="1" t="s">
        <v>4371</v>
      </c>
    </row>
    <row r="1863" spans="1:4" x14ac:dyDescent="0.15">
      <c r="A1863" s="1" t="s">
        <v>4372</v>
      </c>
      <c r="B1863" s="3" t="str">
        <f ca="1">IFERROR(__xludf.DUMMYFUNCTION("GOOGLETRANSLATE(B1863,""es"",""en"")"),"Las Bambas: MMG mining company speaks out on the agreement reached with the community of Fuerabamba https://t.co/4GSHr89rRi")</f>
        <v>Las Bambas: MMG mining company speaks out on the agreement reached with the community of Fuerabamba https://t.co/4GSHr89rRi</v>
      </c>
      <c r="C1863" s="2" t="s">
        <v>4373</v>
      </c>
      <c r="D1863" s="1" t="s">
        <v>4374</v>
      </c>
    </row>
    <row r="1864" spans="1:4" x14ac:dyDescent="0.15">
      <c r="A1864" s="1" t="s">
        <v>4375</v>
      </c>
      <c r="B1864" s="3" t="str">
        <f ca="1">IFERROR(__xludf.DUMMYFUNCTION("GOOGLETRANSLATE(B1864,""es"",""en"")"),"Babang Bambas Pamungkang! Hmmm lehuga.. https://t.co/2Ch9UtKmuG")</f>
        <v>Babang Bambas Pamungkang! Hmmm lehuga.. https://t.co/2Ch9UtKmuG</v>
      </c>
      <c r="C1864" s="2" t="s">
        <v>4376</v>
      </c>
      <c r="D1864" s="1" t="s">
        <v>4377</v>
      </c>
    </row>
    <row r="1865" spans="1:4" x14ac:dyDescent="0.15">
      <c r="A1865" s="1" t="s">
        <v>4378</v>
      </c>
      <c r="B1865" s="3" t="str">
        <f ca="1">IFERROR(__xludf.DUMMYFUNCTION("GOOGLETRANSLATE(B1865,""es"",""en"")"),"RT @Politica_LR: Communities reached an agreement with Las Bambas mining company and will unblock via ► https://t.co/7XV0ZP50qQ https://t.co/xp9U9vSG0Y")</f>
        <v>RT @Politica_LR: Communities reached an agreement with Las Bambas mining company and will unblock via ► https://t.co/7XV0ZP50qQ https://t.co/xp9U9vSG0Y</v>
      </c>
      <c r="C1865" s="2" t="s">
        <v>4379</v>
      </c>
      <c r="D1865" s="1" t="s">
        <v>4380</v>
      </c>
    </row>
    <row r="1866" spans="1:4" x14ac:dyDescent="0.15">
      <c r="A1866" s="1" t="s">
        <v>2028</v>
      </c>
      <c r="B1866" s="3" t="str">
        <f ca="1">IFERROR(__xludf.DUMMYFUNCTION("GOOGLETRANSLATE(B1866,""es"",""en"")"),"RT @santy19602010: INEPT KIDNAPPED
So Jorge Paredes Terry (the one in the jacket on the right), the one who is an ally of the luminous path façade, the Movadef, is the new “advisor” of the community members of Las Bambas. Look then, such jewels. And the g"&amp;"overnment talks with those people
https://t.co/5ed8jD0g5t")</f>
        <v>RT @santy19602010: INEPT KIDNAPPED
So Jorge Paredes Terry (the one in the jacket on the right), the one who is an ally of the luminous path façade, the Movadef, is the new “advisor” of the community members of Las Bambas. Look then, such jewels. And the government talks with those people
https://t.co/5ed8jD0g5t</v>
      </c>
      <c r="C1866" s="2" t="s">
        <v>4381</v>
      </c>
      <c r="D1866" s="1" t="s">
        <v>4382</v>
      </c>
    </row>
    <row r="1867" spans="1:4" x14ac:dyDescent="0.15">
      <c r="A1867" s="1" t="s">
        <v>4383</v>
      </c>
      <c r="B1867" s="3" t="str">
        <f ca="1">IFERROR(__xludf.DUMMYFUNCTION("GOOGLETRANSLATE(B1867,""es"",""en"")"),"RT @AmberMining: After mediation led by the Peruvian government, Indigenous leaders and MMG reached an agreement ending a 2-month long conflict at Las Bambas #copper mine https://t.co/0t3zGdJ09n")</f>
        <v>RT @AmberMining: After mediation led by the Peruvian government, Indigenous leaders and MMG reached an agreement ending a 2-month long conflict at Las Bambas #copper mine https://t.co/0t3zGdJ09n</v>
      </c>
      <c r="C1867" s="2" t="s">
        <v>4384</v>
      </c>
      <c r="D1867" s="1" t="s">
        <v>4382</v>
      </c>
    </row>
    <row r="1868" spans="1:4" x14ac:dyDescent="0.15">
      <c r="A1868" s="1" t="s">
        <v>4385</v>
      </c>
      <c r="B1868" s="3" t="str">
        <f ca="1">IFERROR(__xludf.DUMMYFUNCTION("GOOGLETRANSLATE(B1868,""es"",""en"")"),"@ilycloures tô com as pernas bambas")</f>
        <v>@ilycloures tô com as pernas bambas</v>
      </c>
      <c r="C1868" s="2" t="s">
        <v>4386</v>
      </c>
      <c r="D1868" s="1" t="s">
        <v>4387</v>
      </c>
    </row>
    <row r="1869" spans="1:4" x14ac:dyDescent="0.15">
      <c r="A1869" s="1" t="s">
        <v>4388</v>
      </c>
      <c r="B1869" s="3" t="str">
        <f ca="1">IFERROR(__xludf.DUMMYFUNCTION("GOOGLETRANSLATE(B1869,""es"",""en"")"),"MMG’s subsidiary in Peru reaches deal with blockaders at Las Bambas #copper mine https://t.co/iOjqavsdKC via @mining")</f>
        <v>MMG’s subsidiary in Peru reaches deal with blockaders at Las Bambas #copper mine https://t.co/iOjqavsdKC via @mining</v>
      </c>
      <c r="C1869" s="2" t="s">
        <v>4389</v>
      </c>
      <c r="D1869" s="1" t="s">
        <v>4390</v>
      </c>
    </row>
    <row r="1870" spans="1:4" x14ac:dyDescent="0.15">
      <c r="A1870" s="1" t="s">
        <v>4391</v>
      </c>
      <c r="B1870" s="3" t="str">
        <f ca="1">IFERROR(__xludf.DUMMYFUNCTION("GOOGLETRANSLATE(B1870,""es"",""en"")"),"RT @CNNEE: The road that allows the minerals that will be exported and that are extracted from Las Bambas, one of the most important mines in the country, to be transported to the port, remains blocked by the communities that are in the area: https://t .c"&amp;"o/4wZiS2uwKJ")</f>
        <v>RT @CNNEE: The road that allows the minerals that will be exported and that are extracted from Las Bambas, one of the most important mines in the country, to be transported to the port, remains blocked by the communities that are in the area: https://t .co/4wZiS2uwKJ</v>
      </c>
      <c r="C1870" s="2" t="s">
        <v>4392</v>
      </c>
      <c r="D1870" s="1" t="s">
        <v>4393</v>
      </c>
    </row>
    <row r="1871" spans="1:4" x14ac:dyDescent="0.15">
      <c r="A1871" s="1" t="s">
        <v>4394</v>
      </c>
      <c r="B1871" s="3" t="str">
        <f ca="1">IFERROR(__xludf.DUMMYFUNCTION("GOOGLETRANSLATE(B1871,""es"",""en"")"),"RT @CarlitosTete: @LadyTyphlosion 1) Sneakers
2) Sneakers
3) Flip flops")</f>
        <v>RT @CarlitosTete: @LadyTyphlosion 1) Sneakers
2) Sneakers
3) Flip flops</v>
      </c>
      <c r="C1871" s="2" t="s">
        <v>4395</v>
      </c>
      <c r="D1871" s="1" t="s">
        <v>4396</v>
      </c>
    </row>
    <row r="1872" spans="1:4" x14ac:dyDescent="0.15">
      <c r="A1872" s="1" t="s">
        <v>4397</v>
      </c>
      <c r="B1872" s="3" t="str">
        <f ca="1">IFERROR(__xludf.DUMMYFUNCTION("GOOGLETRANSLATE(B1872,""es"",""en"")"),"@bepe20 Sneakers Pamungkang ikut mas?")</f>
        <v>@bepe20 Sneakers Pamungkang ikut mas?</v>
      </c>
      <c r="C1872" s="2" t="s">
        <v>4398</v>
      </c>
      <c r="D1872" s="1" t="s">
        <v>4399</v>
      </c>
    </row>
    <row r="1873" spans="1:4" x14ac:dyDescent="0.15">
      <c r="A1873" s="1" t="s">
        <v>1917</v>
      </c>
      <c r="B1873" s="3" t="str">
        <f ca="1">IFERROR(__xludf.DUMMYFUNCTION("GOOGLETRANSLATE(B1873,""es"",""en"")"),"RT @TammyArimborgoG: According to del Solar, it happened RASPING because in his ""speech"" he mentioned support for the ""gender"" agenda and the issue of Prosecutor Chavarry!! False, you don't measure up!! Your ""acting"" experience is not enough! Yester"&amp;"day, for example, it was noted that you did not lead the Las Bambas affair... you were just another guest!")</f>
        <v>RT @TammyArimborgoG: According to del Solar, it happened RASPING because in his "speech" he mentioned support for the "gender" agenda and the issue of Prosecutor Chavarry!! False, you don't measure up!! Your "acting" experience is not enough! Yesterday, for example, it was noted that you did not lead the Las Bambas affair... you were just another guest!</v>
      </c>
      <c r="C1873" s="2" t="s">
        <v>4400</v>
      </c>
      <c r="D1873" s="1" t="s">
        <v>4401</v>
      </c>
    </row>
    <row r="1874" spans="1:4" x14ac:dyDescent="0.15">
      <c r="A1874" s="1" t="s">
        <v>2455</v>
      </c>
      <c r="B1874" s="3" t="str">
        <f ca="1">IFERROR(__xludf.DUMMYFUNCTION("GOOGLETRANSLATE(B1874,""es"",""en"")"),"RT @Dianasemi: does it seem like several people were taken for a ride last night?...... Las Bambas: the road will continue to be blocked this Monday despite the agreement with the Executive https://t.co/DkR9ZeulKO via @elcomercio_peru")</f>
        <v>RT @Dianasemi: does it seem like several people were taken for a ride last night?...... Las Bambas: the road will continue to be blocked this Monday despite the agreement with the Executive https://t.co/DkR9ZeulKO via @elcomercio_peru</v>
      </c>
      <c r="C1874" s="2" t="s">
        <v>4402</v>
      </c>
      <c r="D1874" s="1" t="s">
        <v>4403</v>
      </c>
    </row>
    <row r="1875" spans="1:4" x14ac:dyDescent="0.15">
      <c r="A1875" s="1" t="s">
        <v>4404</v>
      </c>
      <c r="B1875" s="3" t="str">
        <f ca="1">IFERROR(__xludf.DUMMYFUNCTION("GOOGLETRANSLATE(B1875,""es"",""en"")"),"1) Sneakers, Sneakers.
2) Slippers (hilarious word for me, by the way) or espadrilles according to my grandmother.
3) Flip flops, flip flops or XTRDG-319 remote-controlled missile that my mother launches. https://t.co/0UtLACuxCs")</f>
        <v>1) Sneakers, Sneakers.
2) Slippers (hilarious word for me, by the way) or espadrilles according to my grandmother.
3) Flip flops, flip flops or XTRDG-319 remote-controlled missile that my mother launches. https://t.co/0UtLACuxCs</v>
      </c>
      <c r="C1875" s="2" t="s">
        <v>4405</v>
      </c>
      <c r="D1875" s="1" t="s">
        <v>4406</v>
      </c>
    </row>
    <row r="1876" spans="1:4" x14ac:dyDescent="0.15">
      <c r="A1876" s="1" t="s">
        <v>4407</v>
      </c>
      <c r="B1876" s="3" t="str">
        <f ca="1">IFERROR(__xludf.DUMMYFUNCTION("GOOGLETRANSLATE(B1876,""es"",""en"")"),"@LVPibai Sneakers, slippers, and fucking flip flops. Man already 😤")</f>
        <v>@LVPibai Sneakers, slippers, and fucking flip flops. Man already 😤</v>
      </c>
      <c r="C1876" s="2" t="s">
        <v>4408</v>
      </c>
      <c r="D1876" s="1" t="s">
        <v>4406</v>
      </c>
    </row>
    <row r="1877" spans="1:4" x14ac:dyDescent="0.15">
      <c r="A1877" s="1" t="s">
        <v>2118</v>
      </c>
      <c r="B1877" s="3" t="str">
        <f ca="1">IFERROR(__xludf.DUMMYFUNCTION("GOOGLETRANSLATE(B1877,""es"",""en"")"),"Advisor Jorge Paredes Terry made amends to community leader Gregorio Rojas, for committing to unblock the highway without consulting the bases.
https://t.co/zqovmvXLvp")</f>
        <v>Advisor Jorge Paredes Terry made amends to community leader Gregorio Rojas, for committing to unblock the highway without consulting the bases.
https://t.co/zqovmvXLvp</v>
      </c>
      <c r="C1877" s="2" t="s">
        <v>4409</v>
      </c>
      <c r="D1877" s="1" t="s">
        <v>4410</v>
      </c>
    </row>
    <row r="1878" spans="1:4" x14ac:dyDescent="0.15">
      <c r="A1878" s="1" t="s">
        <v>2113</v>
      </c>
      <c r="B1878" s="3" t="str">
        <f ca="1">IFERROR(__xludf.DUMMYFUNCTION("GOOGLETRANSLATE(B1878,""es"",""en"")"),"RT @santy19602010: INEPT KIDNAPPED
So Jorge Paredes Terry (the one in the jacket on the right), the one who is an ally of the luminous path façade, the Movadef, is the new “advisor” of the community members of Las Bambas. Look then, such jewels. And the g"&amp;"overnment talks with those people
https://t.co/5ed8jD0g5t")</f>
        <v>RT @santy19602010: INEPT KIDNAPPED
So Jorge Paredes Terry (the one in the jacket on the right), the one who is an ally of the luminous path façade, the Movadef, is the new “advisor” of the community members of Las Bambas. Look then, such jewels. And the government talks with those people
https://t.co/5ed8jD0g5t</v>
      </c>
      <c r="C1878" s="2" t="s">
        <v>4411</v>
      </c>
      <c r="D1878" s="1" t="s">
        <v>4412</v>
      </c>
    </row>
    <row r="1879" spans="1:4" x14ac:dyDescent="0.15">
      <c r="A1879" s="1" t="s">
        <v>4413</v>
      </c>
      <c r="B1879" s="3" t="str">
        <f ca="1">IFERROR(__xludf.DUMMYFUNCTION("GOOGLETRANSLATE(B1879,""es"",""en"")"),"RT @mgarciafreundt: #LasBambas: Three years ago, the current legal advisor of Fuerabamba, Jorge Paredes Terry, tried to run for the 2016 elections alongside the Etnocacerista Party and Movadef, the political arm of Sendero Luminoso. 👇🏻https://t.co/VNJ8x"&amp;"Z0Jbh via @peru21noticias")</f>
        <v>RT @mgarciafreundt: #LasBambas: Three years ago, the current legal advisor of Fuerabamba, Jorge Paredes Terry, tried to run for the 2016 elections alongside the Etnocacerista Party and Movadef, the political arm of Sendero Luminoso. 👇🏻https://t.co/VNJ8xZ0Jbh via @peru21noticias</v>
      </c>
      <c r="C1879" s="2" t="s">
        <v>4414</v>
      </c>
      <c r="D1879" s="1" t="s">
        <v>4415</v>
      </c>
    </row>
    <row r="1880" spans="1:4" x14ac:dyDescent="0.15">
      <c r="A1880" s="1" t="s">
        <v>2028</v>
      </c>
      <c r="B1880" s="3" t="str">
        <f ca="1">IFERROR(__xludf.DUMMYFUNCTION("GOOGLETRANSLATE(B1880,""es"",""en"")"),"RT @sreateguir: Yes, the communists who incited the residents of Las Bambas; They blocked a road and the inept @MartinVizcarraC got down on his knees.
We parents also blocked the expressway and demanded that IG's ideological excrement be removed from the "&amp;"entire state. Action")</f>
        <v>RT @sreateguir: Yes, the communists who incited the residents of Las Bambas; They blocked a road and the inept @MartinVizcarraC got down on his knees.
We parents also blocked the expressway and demanded that IG's ideological excrement be removed from the entire state. Action</v>
      </c>
      <c r="C1880" s="2" t="s">
        <v>4416</v>
      </c>
      <c r="D1880" s="1" t="s">
        <v>4417</v>
      </c>
    </row>
    <row r="1881" spans="1:4" x14ac:dyDescent="0.15">
      <c r="A1881" s="1" t="s">
        <v>4418</v>
      </c>
      <c r="B1881" s="3" t="str">
        <f ca="1">IFERROR(__xludf.DUMMYFUNCTION("GOOGLETRANSLATE(B1881,""es"",""en"")"),"@la_bansheee We call him that here 🤔. Sneakers are more like sports (dressy) but for summer. Although we still call that guy more because of the brand, how he talks about them.")</f>
        <v>@la_bansheee We call him that here 🤔. Sneakers are more like sports (dressy) but for summer. Although we still call that guy more because of the brand, how he talks about them.</v>
      </c>
      <c r="C1881" s="2" t="s">
        <v>4419</v>
      </c>
      <c r="D1881" s="1" t="s">
        <v>4420</v>
      </c>
    </row>
    <row r="1882" spans="1:4" x14ac:dyDescent="0.15">
      <c r="A1882" s="1" t="s">
        <v>4421</v>
      </c>
      <c r="B1882" s="3" t="str">
        <f ca="1">IFERROR(__xludf.DUMMYFUNCTION("GOOGLETRANSLATE(B1882,""es"",""en"")"),"RT @BaseMetals: MMG’s subsidiary in Peru reaches deal with blockaders at Las Bambas #copper mine https://t.co/iOjqavsdKC via @mining")</f>
        <v>RT @BaseMetals: MMG’s subsidiary in Peru reaches deal with blockaders at Las Bambas #copper mine https://t.co/iOjqavsdKC via @mining</v>
      </c>
      <c r="C1882" s="2" t="s">
        <v>4422</v>
      </c>
      <c r="D1882" s="1" t="s">
        <v>4423</v>
      </c>
    </row>
    <row r="1883" spans="1:4" x14ac:dyDescent="0.15">
      <c r="A1883" s="1" t="s">
        <v>882</v>
      </c>
      <c r="B1883" s="3" t="str">
        <f ca="1">IFERROR(__xludf.DUMMYFUNCTION("GOOGLETRANSLATE(B1883,""es"",""en"")"),"RT @xafu: FEDERICO SALAZAR
The government's role in the Las Bambas crisis gives a bad signal. It tells the entire world that this is not a good place to bring in investments of 5 or 10 billion dollars. And it is these investments that are required to grow"&amp;" and combat poverty.")</f>
        <v>RT @xafu: FEDERICO SALAZAR
The government's role in the Las Bambas crisis gives a bad signal. It tells the entire world that this is not a good place to bring in investments of 5 or 10 billion dollars. And it is these investments that are required to grow and combat poverty.</v>
      </c>
      <c r="C1883" s="2" t="s">
        <v>4424</v>
      </c>
      <c r="D1883" s="1" t="s">
        <v>4425</v>
      </c>
    </row>
    <row r="1884" spans="1:4" x14ac:dyDescent="0.15">
      <c r="A1884" s="1" t="s">
        <v>1917</v>
      </c>
      <c r="B1884" s="3" t="str">
        <f ca="1">IFERROR(__xludf.DUMMYFUNCTION("GOOGLETRANSLATE(B1884,""es"",""en"")"),"RT @santy19602010: INEPT KIDNAPPED
So Jorge Paredes Terry (the one in the jacket on the right), the one who is an ally of the luminous path façade, the Movadef, is the new “advisor” of the community members of Las Bambas. Look then, such jewels. And the g"&amp;"overnment talks with those people
https://t.co/5ed8jD0g5t")</f>
        <v>RT @santy19602010: INEPT KIDNAPPED
So Jorge Paredes Terry (the one in the jacket on the right), the one who is an ally of the luminous path façade, the Movadef, is the new “advisor” of the community members of Las Bambas. Look then, such jewels. And the government talks with those people
https://t.co/5ed8jD0g5t</v>
      </c>
      <c r="C1884" s="2" t="s">
        <v>4426</v>
      </c>
      <c r="D1884" s="1" t="s">
        <v>4427</v>
      </c>
    </row>
    <row r="1885" spans="1:4" x14ac:dyDescent="0.15">
      <c r="A1885" s="1" t="s">
        <v>4428</v>
      </c>
      <c r="B1885" s="3" t="str">
        <f ca="1">IFERROR(__xludf.DUMMYFUNCTION("GOOGLETRANSLATE(B1885,""es"",""en"")"),"@bepe20 More sneakers? Wkwkek")</f>
        <v>@bepe20 More sneakers? Wkwkek</v>
      </c>
      <c r="C1885" s="2" t="s">
        <v>4429</v>
      </c>
      <c r="D1885" s="1" t="s">
        <v>4427</v>
      </c>
    </row>
    <row r="1886" spans="1:4" x14ac:dyDescent="0.15">
      <c r="A1886" s="1" t="s">
        <v>4430</v>
      </c>
      <c r="B1886" s="3" t="str">
        <f ca="1">IFERROR(__xludf.DUMMYFUNCTION("GOOGLETRANSLATE(B1886,""es"",""en"")"),"RT @sreateguir: Yes, the communists who incited the residents of Las Bambas; They blocked a road and the inept @MartinVizcarraC got down on his knees.
We parents also blocked the expressway and demanded that IG's ideological excrement be removed from the "&amp;"entire state. Action")</f>
        <v>RT @sreateguir: Yes, the communists who incited the residents of Las Bambas; They blocked a road and the inept @MartinVizcarraC got down on his knees.
We parents also blocked the expressway and demanded that IG's ideological excrement be removed from the entire state. Action</v>
      </c>
      <c r="C1886" s="2" t="s">
        <v>4431</v>
      </c>
      <c r="D1886" s="1" t="s">
        <v>4432</v>
      </c>
    </row>
    <row r="1887" spans="1:4" x14ac:dyDescent="0.15">
      <c r="A1887" s="1" t="s">
        <v>4433</v>
      </c>
      <c r="B1887" s="3" t="str">
        <f ca="1">IFERROR(__xludf.DUMMYFUNCTION("GOOGLETRANSLATE(B1887,""es"",""en"")"),"@LadyTyphlosion Sneakers, sneakers, and flip flops! Hahaha")</f>
        <v>@LadyTyphlosion Sneakers, sneakers, and flip flops! Hahaha</v>
      </c>
      <c r="C1887" s="2" t="s">
        <v>4434</v>
      </c>
      <c r="D1887" s="1" t="s">
        <v>4435</v>
      </c>
    </row>
    <row r="1888" spans="1:4" x14ac:dyDescent="0.15">
      <c r="A1888" s="1" t="s">
        <v>4436</v>
      </c>
      <c r="B1888" s="3" t="str">
        <f ca="1">IFERROR(__xludf.DUMMYFUNCTION("GOOGLETRANSLATE(B1888,""es"",""en"")"),"Can anyone recognize FILA sneakers as an attack on good taste?")</f>
        <v>Can anyone recognize FILA sneakers as an attack on good taste?</v>
      </c>
      <c r="C1888" s="2" t="s">
        <v>4437</v>
      </c>
      <c r="D1888" s="1" t="s">
        <v>4435</v>
      </c>
    </row>
    <row r="1889" spans="1:4" x14ac:dyDescent="0.15">
      <c r="A1889" s="1" t="s">
        <v>4438</v>
      </c>
      <c r="B1889" s="3" t="str">
        <f ca="1">IFERROR(__xludf.DUMMYFUNCTION("GOOGLETRANSLATE(B1889,""es"",""en"")"),"RT @melomoreno: 1) Sneakers
2) Sneakers
3) Flip flops https://t.co/bqmZwfT3XU")</f>
        <v>RT @melomoreno: 1) Sneakers
2) Sneakers
3) Flip flops https://t.co/bqmZwfT3XU</v>
      </c>
      <c r="C1889" s="2" t="s">
        <v>4439</v>
      </c>
      <c r="D1889" s="1" t="s">
        <v>4440</v>
      </c>
    </row>
    <row r="1890" spans="1:4" x14ac:dyDescent="0.15">
      <c r="A1890" s="1" t="s">
        <v>4441</v>
      </c>
      <c r="B1890" s="3" t="str">
        <f ca="1">IFERROR(__xludf.DUMMYFUNCTION("GOOGLETRANSLATE(B1890,""es"",""en"")"),"RT @eljorobado: Good for the agreement that gives a truce in Las Bambas. So, the Catholic Church is PCM's new conflict resolution unit? Will serving train religious people in conflict negotiation? Secular State already?")</f>
        <v>RT @eljorobado: Good for the agreement that gives a truce in Las Bambas. So, the Catholic Church is PCM's new conflict resolution unit? Will serving train religious people in conflict negotiation? Secular State already?</v>
      </c>
      <c r="C1890" s="2" t="s">
        <v>4442</v>
      </c>
      <c r="D1890" s="1" t="s">
        <v>4443</v>
      </c>
    </row>
    <row r="1891" spans="1:4" x14ac:dyDescent="0.15">
      <c r="A1891" s="1" t="s">
        <v>4444</v>
      </c>
      <c r="B1891" s="3" t="str">
        <f ca="1">IFERROR(__xludf.DUMMYFUNCTION("GOOGLETRANSLATE(B1891,""es"",""en"")"),"@LadyTyphlosion Sneakers, slippers and flip flops")</f>
        <v>@LadyTyphlosion Sneakers, slippers and flip flops</v>
      </c>
      <c r="C1891" s="2" t="s">
        <v>4445</v>
      </c>
      <c r="D1891" s="1" t="s">
        <v>4446</v>
      </c>
    </row>
    <row r="1892" spans="1:4" x14ac:dyDescent="0.15">
      <c r="A1892" s="1" t="s">
        <v>1931</v>
      </c>
      <c r="B1892" s="3" t="str">
        <f ca="1">IFERROR(__xludf.DUMMYFUNCTION("GOOGLETRANSLATE(B1892,""es"",""en"")"),"RT @Frospigliosi: President Vizcarra's behavior is an incentive for many others who will consider themselves authorized to use violence, beat themselves up by the law and run over drunken police officers – or do something similar – without receiving the s"&amp;"lightest sanction.
 https://t.co/InHXDnb66P")</f>
        <v>RT @Frospigliosi: President Vizcarra's behavior is an incentive for many others who will consider themselves authorized to use violence, beat themselves up by the law and run over drunken police officers – or do something similar – without receiving the slightest sanction.
 https://t.co/InHXDnb66P</v>
      </c>
      <c r="C1892" s="2" t="s">
        <v>4447</v>
      </c>
      <c r="D1892" s="1" t="s">
        <v>4448</v>
      </c>
    </row>
    <row r="1893" spans="1:4" x14ac:dyDescent="0.15">
      <c r="A1893" s="1" t="s">
        <v>4449</v>
      </c>
      <c r="B1893" s="3" t="str">
        <f ca="1">IFERROR(__xludf.DUMMYFUNCTION("GOOGLETRANSLATE(B1893,""es"",""en"")"),"@LadyTyphlosion sneakers, slippers and flip flops")</f>
        <v>@LadyTyphlosion sneakers, slippers and flip flops</v>
      </c>
      <c r="C1893" s="2" t="s">
        <v>4450</v>
      </c>
      <c r="D1893" s="1" t="s">
        <v>4451</v>
      </c>
    </row>
    <row r="1894" spans="1:4" x14ac:dyDescent="0.15">
      <c r="A1894" s="1" t="s">
        <v>4452</v>
      </c>
      <c r="B1894" s="3" t="str">
        <f ca="1">IFERROR(__xludf.DUMMYFUNCTION("GOOGLETRANSLATE(B1894,""es"",""en"")"),"1. Sneakers 
2. Sneakers
3. Flip flops https://t.co/sVl9s74Vb1")</f>
        <v>1. Sneakers 
2. Sneakers
3. Flip flops https://t.co/sVl9s74Vb1</v>
      </c>
      <c r="C1894" s="2" t="s">
        <v>4453</v>
      </c>
      <c r="D1894" s="1" t="s">
        <v>4454</v>
      </c>
    </row>
    <row r="1895" spans="1:4" x14ac:dyDescent="0.15">
      <c r="A1895" s="1" t="s">
        <v>2118</v>
      </c>
      <c r="B1895" s="3" t="str">
        <f ca="1">IFERROR(__xludf.DUMMYFUNCTION("GOOGLETRANSLATE(B1895,""es"",""en"")"),"Chinese transnational through a statement mentioned that they will maintain the commitment to continue working together with the communities and all interested parties.
https://t.co/5GiuFXnzQz")</f>
        <v>Chinese transnational through a statement mentioned that they will maintain the commitment to continue working together with the communities and all interested parties.
https://t.co/5GiuFXnzQz</v>
      </c>
      <c r="C1895" s="2" t="s">
        <v>4455</v>
      </c>
      <c r="D1895" s="1" t="s">
        <v>4456</v>
      </c>
    </row>
    <row r="1896" spans="1:4" x14ac:dyDescent="0.15">
      <c r="A1896" s="1" t="s">
        <v>3035</v>
      </c>
      <c r="B1896" s="3" t="str">
        <f ca="1">IFERROR(__xludf.DUMMYFUNCTION("GOOGLETRANSLATE(B1896,""es"",""en"")"),"sneakers, sneakers, flip flops https://t.co/ZxupUXO8os")</f>
        <v>sneakers, sneakers, flip flops https://t.co/ZxupUXO8os</v>
      </c>
      <c r="C1896" s="2" t="s">
        <v>4457</v>
      </c>
      <c r="D1896" s="1" t="s">
        <v>4458</v>
      </c>
    </row>
    <row r="1897" spans="1:4" x14ac:dyDescent="0.15">
      <c r="A1897" s="1" t="s">
        <v>2843</v>
      </c>
      <c r="B1897" s="3" t="str">
        <f ca="1">IFERROR(__xludf.DUMMYFUNCTION("GOOGLETRANSLATE(B1897,""es"",""en"")"),"Fuerabamba and Las Bambas mining company reach agreement to unblock access road https://t.co/e5FNorSxZ5 via @larepublica_pe")</f>
        <v>Fuerabamba and Las Bambas mining company reach agreement to unblock access road https://t.co/e5FNorSxZ5 via @larepublica_pe</v>
      </c>
      <c r="C1897" s="2" t="s">
        <v>4459</v>
      </c>
      <c r="D1897" s="1" t="s">
        <v>4460</v>
      </c>
    </row>
    <row r="1898" spans="1:4" x14ac:dyDescent="0.15">
      <c r="A1898" s="1" t="s">
        <v>4461</v>
      </c>
      <c r="B1898" s="3" t="str">
        <f ca="1">IFERROR(__xludf.DUMMYFUNCTION("GOOGLETRANSLATE(B1898,""es"",""en"")"),"@LadyTyphlosion NO. 1-Sneakers/sneakers, 2-slippers (house slippers), 3-flip-flops")</f>
        <v>@LadyTyphlosion NO. 1-Sneakers/sneakers, 2-slippers (house slippers), 3-flip-flops</v>
      </c>
      <c r="C1898" s="2" t="s">
        <v>4462</v>
      </c>
      <c r="D1898" s="1" t="s">
        <v>4463</v>
      </c>
    </row>
    <row r="1899" spans="1:4" x14ac:dyDescent="0.15">
      <c r="A1899" s="1" t="s">
        <v>4464</v>
      </c>
      <c r="B1899" s="3" t="str">
        <f ca="1">IFERROR(__xludf.DUMMYFUNCTION("GOOGLETRANSLATE(B1899,""es"",""en"")"),"RT @TammyArimborgoG: According to del Solar, it happened RASPING because in his ""speech"" he mentioned support for the ""gender"" agenda and the issue of Prosecutor Chavarry!! False, you don't measure up!! Your ""acting"" experience is not enough! Yester"&amp;"day, for example, it was noted that you did not lead the Las Bambas affair... you were just another guest!")</f>
        <v>RT @TammyArimborgoG: According to del Solar, it happened RASPING because in his "speech" he mentioned support for the "gender" agenda and the issue of Prosecutor Chavarry!! False, you don't measure up!! Your "acting" experience is not enough! Yesterday, for example, it was noted that you did not lead the Las Bambas affair... you were just another guest!</v>
      </c>
      <c r="C1899" s="2" t="s">
        <v>4465</v>
      </c>
      <c r="D1899" s="1" t="s">
        <v>4466</v>
      </c>
    </row>
    <row r="1900" spans="1:4" x14ac:dyDescent="0.15">
      <c r="A1900" s="1" t="s">
        <v>1603</v>
      </c>
      <c r="B1900" s="3" t="str">
        <f ca="1">IFERROR(__xludf.DUMMYFUNCTION("GOOGLETRANSLATE(B1900,""es"",""en"")"),"RT @Dianasemi: does it seem like several people were taken for a ride last night?...... Las Bambas: the road will continue to be blocked this Monday despite the agreement with the Executive https://t.co/DkR9ZeulKO via @elcomercio_peru")</f>
        <v>RT @Dianasemi: does it seem like several people were taken for a ride last night?...... Las Bambas: the road will continue to be blocked this Monday despite the agreement with the Executive https://t.co/DkR9ZeulKO via @elcomercio_peru</v>
      </c>
      <c r="C1900" s="2" t="s">
        <v>4467</v>
      </c>
      <c r="D1900" s="1" t="s">
        <v>4468</v>
      </c>
    </row>
    <row r="1901" spans="1:4" x14ac:dyDescent="0.15">
      <c r="A1901" s="1" t="s">
        <v>4469</v>
      </c>
      <c r="B1901" s="3" t="str">
        <f ca="1">IFERROR(__xludf.DUMMYFUNCTION("GOOGLETRANSLATE(B1901,""es"",""en"")"),"RT @TammyArimborgoG: According to del Solar, it happened RASPING because in his ""speech"" he mentioned support for the ""gender"" agenda and the issue of Prosecutor Chavarry!! False, you don't measure up!! Your ""acting"" experience is not enough! Yester"&amp;"day, for example, it was noted that you did not lead the Las Bambas affair... you were just another guest!")</f>
        <v>RT @TammyArimborgoG: According to del Solar, it happened RASPING because in his "speech" he mentioned support for the "gender" agenda and the issue of Prosecutor Chavarry!! False, you don't measure up!! Your "acting" experience is not enough! Yesterday, for example, it was noted that you did not lead the Las Bambas affair... you were just another guest!</v>
      </c>
      <c r="C1901" s="2" t="s">
        <v>4470</v>
      </c>
      <c r="D1901" s="1" t="s">
        <v>4471</v>
      </c>
    </row>
    <row r="1902" spans="1:4" x14ac:dyDescent="0.15">
      <c r="A1902" s="1" t="s">
        <v>4472</v>
      </c>
      <c r="B1902" s="3" t="str">
        <f ca="1">IFERROR(__xludf.DUMMYFUNCTION("GOOGLETRANSLATE(B1902,""es"",""en"")"),"They are called sneakers and flip flops you can't change my mind https://t.co/TdoeyFFDU0")</f>
        <v>They are called sneakers and flip flops you can't change my mind https://t.co/TdoeyFFDU0</v>
      </c>
      <c r="C1902" s="2" t="s">
        <v>4473</v>
      </c>
      <c r="D1902" s="1" t="s">
        <v>4471</v>
      </c>
    </row>
    <row r="1903" spans="1:4" x14ac:dyDescent="0.15">
      <c r="A1903" s="1" t="s">
        <v>4472</v>
      </c>
      <c r="B1903" s="3" t="str">
        <f ca="1">IFERROR(__xludf.DUMMYFUNCTION("GOOGLETRANSLATE(B1903,""es"",""en"")"),"People who call sneakers sneakers......do not deserve rights")</f>
        <v>People who call sneakers sneakers......do not deserve rights</v>
      </c>
      <c r="C1903" s="2" t="s">
        <v>4474</v>
      </c>
      <c r="D1903" s="1" t="s">
        <v>4475</v>
      </c>
    </row>
    <row r="1904" spans="1:4" x14ac:dyDescent="0.15">
      <c r="A1904" s="1" t="s">
        <v>4476</v>
      </c>
      <c r="B1904" s="3" t="str">
        <f ca="1">IFERROR(__xludf.DUMMYFUNCTION("GOOGLETRANSLATE(B1904,""es"",""en"")"),"RT @bepe20: Monggo saja, drinks. Lha saya kan memang pernah main di PBR. Jangankan itu, wong orang manggil saya ""Brad Pitt"" yg jelas-jelas ngga ada huhungan sama saya saja, ndak masalah. 
Tapi kalo boleh saran, ya panggil sesuai nama saya saja, Bambas "&amp;"Pamungkang 🤭 https://t.co/KE951d8sC2")</f>
        <v>RT @bepe20: Monggo saja, drinks. Lha saya kan memang pernah main di PBR. Jangankan itu, wong orang manggil saya "Brad Pitt" yg jelas-jelas ngga ada huhungan sama saya saja, ndak masalah. 
Tapi kalo boleh saran, ya panggil sesuai nama saya saja, Bambas Pamungkang 🤭 https://t.co/KE951d8sC2</v>
      </c>
      <c r="C1904" s="2" t="s">
        <v>4477</v>
      </c>
      <c r="D1904" s="1" t="s">
        <v>4475</v>
      </c>
    </row>
    <row r="1905" spans="1:4" x14ac:dyDescent="0.15">
      <c r="A1905" s="1" t="s">
        <v>4478</v>
      </c>
      <c r="B1905" s="3" t="str">
        <f ca="1">IFERROR(__xludf.DUMMYFUNCTION("GOOGLETRANSLATE(B1905,""es"",""en"")"),"AMERIQUE/PEROU - Agreements on the mine of Las Bambas after a day of negotiations with the mediation of the President of the Episcopal Conference https://t.co/tj9B7yeFSQ https://t.co/KKhpzB0jIr")</f>
        <v>AMERIQUE/PEROU - Agreements on the mine of Las Bambas after a day of negotiations with the mediation of the President of the Episcopal Conference https://t.co/tj9B7yeFSQ https://t.co/KKhpzB0jIr</v>
      </c>
      <c r="C1905" s="2" t="s">
        <v>4479</v>
      </c>
      <c r="D1905" s="1" t="s">
        <v>4480</v>
      </c>
    </row>
    <row r="1906" spans="1:4" x14ac:dyDescent="0.15">
      <c r="A1906" s="1" t="s">
        <v>4481</v>
      </c>
      <c r="B1906" s="3" t="str">
        <f ca="1">IFERROR(__xludf.DUMMYFUNCTION("GOOGLETRANSLATE(B1906,""es"",""en"")"),"Peru: The community members of Fuerabamba reach an agreement with the mining company 'MMG Las Bambas' https://t.co/8Fk7bP7kQ5")</f>
        <v>Peru: The community members of Fuerabamba reach an agreement with the mining company 'MMG Las Bambas' https://t.co/8Fk7bP7kQ5</v>
      </c>
      <c r="C1906" s="2" t="s">
        <v>4482</v>
      </c>
      <c r="D1906" s="1" t="s">
        <v>4483</v>
      </c>
    </row>
    <row r="1907" spans="1:4" x14ac:dyDescent="0.15">
      <c r="A1907" s="1" t="s">
        <v>4484</v>
      </c>
      <c r="B1907" s="3" t="str">
        <f ca="1">IFERROR(__xludf.DUMMYFUNCTION("GOOGLETRANSLATE(B1907,""es"",""en"")"),"RT @CeciliaCM23: So Jorge Paredes Terry (the one in the jacket on the right), yes, the one who is an ally of the luminous path façade, the Movadef, is the new “advisor” of the community members of Las Bambas. Look then, such jewels. And the government tal"&amp;"ks with those people 🤐 https://t.co/z1Y7RTctV1")</f>
        <v>RT @CeciliaCM23: So Jorge Paredes Terry (the one in the jacket on the right), yes, the one who is an ally of the luminous path façade, the Movadef, is the new “advisor” of the community members of Las Bambas. Look then, such jewels. And the government talks with those people 🤐 https://t.co/z1Y7RTctV1</v>
      </c>
      <c r="C1907" s="2" t="s">
        <v>4485</v>
      </c>
      <c r="D1907" s="1" t="s">
        <v>4486</v>
      </c>
    </row>
    <row r="1908" spans="1:4" x14ac:dyDescent="0.15">
      <c r="A1908" s="1" t="s">
        <v>4484</v>
      </c>
      <c r="B1908" s="3" t="str">
        <f ca="1">IFERROR(__xludf.DUMMYFUNCTION("GOOGLETRANSLATE(B1908,""es"",""en"")"),"RT @Frospigliosi: President Vizcarra's behavior is an incentive for many others who will consider themselves authorized to use violence, beat themselves up by the law and run over drunken police officers – or do something similar – without receiving the s"&amp;"lightest sanction.
 https://t.co/InHXDnb66P")</f>
        <v>RT @Frospigliosi: President Vizcarra's behavior is an incentive for many others who will consider themselves authorized to use violence, beat themselves up by the law and run over drunken police officers – or do something similar – without receiving the slightest sanction.
 https://t.co/InHXDnb66P</v>
      </c>
      <c r="C1908" s="2" t="s">
        <v>4487</v>
      </c>
      <c r="D1908" s="1" t="s">
        <v>4488</v>
      </c>
    </row>
    <row r="1909" spans="1:4" x14ac:dyDescent="0.15">
      <c r="A1909" s="1" t="s">
        <v>4489</v>
      </c>
      <c r="B1909" s="3" t="str">
        <f ca="1">IFERROR(__xludf.DUMMYFUNCTION("GOOGLETRANSLATE(B1909,""es"",""en"")"),"RT @itsniallgrier: Sneakers 
Slippers
Flip flops https://t.co/f8jCHrar1U")</f>
        <v>RT @itsniallgrier: Sneakers 
Slippers
Flip flops https://t.co/f8jCHrar1U</v>
      </c>
      <c r="C1909" s="2" t="s">
        <v>4490</v>
      </c>
      <c r="D1909" s="1" t="s">
        <v>4488</v>
      </c>
    </row>
    <row r="1910" spans="1:4" x14ac:dyDescent="0.15">
      <c r="A1910" s="1" t="s">
        <v>4491</v>
      </c>
      <c r="B1910" s="3" t="str">
        <f ca="1">IFERROR(__xludf.DUMMYFUNCTION("GOOGLETRANSLATE(B1910,""es"",""en"")"),"Vice Minister Molina's statement on the lack of social consultation to build a highway is false - OjoBiónico | Public Eye The origin of the Las Bambas problem very well explained https://t.co/EiyEDi9DpV")</f>
        <v>Vice Minister Molina's statement on the lack of social consultation to build a highway is false - OjoBiónico | Public Eye The origin of the Las Bambas problem very well explained https://t.co/EiyEDi9DpV</v>
      </c>
      <c r="C1910" s="2" t="s">
        <v>4492</v>
      </c>
      <c r="D1910" s="1" t="s">
        <v>4493</v>
      </c>
    </row>
    <row r="1911" spans="1:4" x14ac:dyDescent="0.15">
      <c r="A1911" s="1" t="s">
        <v>4494</v>
      </c>
      <c r="B1911" s="3" t="str">
        <f ca="1">IFERROR(__xludf.DUMMYFUNCTION("GOOGLETRANSLATE(B1911,""es"",""en"")"),"RT @TammyArimborgoG: According to del Solar, it happened RASPING because in his ""speech"" he mentioned support for the ""gender"" agenda and the issue of Prosecutor Chavarry!! False, you don't measure up!! Your ""acting"" experience is not enough! Yester"&amp;"day, for example, it was noted that you did not lead the Las Bambas affair... you were just another guest!")</f>
        <v>RT @TammyArimborgoG: According to del Solar, it happened RASPING because in his "speech" he mentioned support for the "gender" agenda and the issue of Prosecutor Chavarry!! False, you don't measure up!! Your "acting" experience is not enough! Yesterday, for example, it was noted that you did not lead the Las Bambas affair... you were just another guest!</v>
      </c>
      <c r="C1911" s="2" t="s">
        <v>4495</v>
      </c>
      <c r="D1911" s="1" t="s">
        <v>4496</v>
      </c>
    </row>
    <row r="1912" spans="1:4" x14ac:dyDescent="0.15">
      <c r="A1912" s="1" t="s">
        <v>1297</v>
      </c>
      <c r="B1912" s="3" t="str">
        <f ca="1">IFERROR(__xludf.DUMMYFUNCTION("GOOGLETRANSLATE(B1912,""es"",""en"")"),"RT @LBHobsbawm: I want to see when Mulas, Uteros and Chicharrones (and their influencers®) start to back down because of Davelouis, they are still talking about Batman, about Las Bambas, but it's already 7:30 am this is not going to stop much more.")</f>
        <v>RT @LBHobsbawm: I want to see when Mulas, Uteros and Chicharrones (and their influencers®) start to back down because of Davelouis, they are still talking about Batman, about Las Bambas, but it's already 7:30 am this is not going to stop much more.</v>
      </c>
      <c r="C1912" s="2" t="s">
        <v>4497</v>
      </c>
      <c r="D1912" s="1" t="s">
        <v>4498</v>
      </c>
    </row>
    <row r="1913" spans="1:4" x14ac:dyDescent="0.15">
      <c r="A1913" s="1" t="s">
        <v>4499</v>
      </c>
      <c r="B1913" s="3" t="str">
        <f ca="1">IFERROR(__xludf.DUMMYFUNCTION("GOOGLETRANSLATE(B1913,""es"",""en"")"),"Que saudade que eu tava da Academia, de sair com las pernas bambas, no aguentar descer um degrau sem ter a sensação que vai cair no chão pois suaspernasnão aguentam mais te recarregar...")</f>
        <v>Que saudade que eu tava da Academia, de sair com las pernas bambas, no aguentar descer um degrau sem ter a sensação que vai cair no chão pois suaspernasnão aguentam mais te recarregar...</v>
      </c>
      <c r="C1913" s="2" t="s">
        <v>4500</v>
      </c>
      <c r="D1913" s="1" t="s">
        <v>4501</v>
      </c>
    </row>
    <row r="1914" spans="1:4" x14ac:dyDescent="0.15">
      <c r="A1914" s="1" t="s">
        <v>4502</v>
      </c>
      <c r="B1914" s="3" t="str">
        <f ca="1">IFERROR(__xludf.DUMMYFUNCTION("GOOGLETRANSLATE(B1914,""es"",""en"")"),"It was the responsibility of the Las Bambas company to build a mining pipeline and road. None was done and now, at a cost of US$2,000 million, the Executive will have to pave it (400 km), when its use, 99.9%, is exclusive to the mining company; says @jdee"&amp;"chave Former viceMntro Environmental Management")</f>
        <v>It was the responsibility of the Las Bambas company to build a mining pipeline and road. None was done and now, at a cost of US$2,000 million, the Executive will have to pave it (400 km), when its use, 99.9%, is exclusive to the mining company; says @jdeechave Former viceMntro Environmental Management</v>
      </c>
      <c r="C1914" s="2" t="s">
        <v>4503</v>
      </c>
      <c r="D1914" s="1" t="s">
        <v>4504</v>
      </c>
    </row>
    <row r="1915" spans="1:4" x14ac:dyDescent="0.15">
      <c r="A1915" s="1" t="s">
        <v>4505</v>
      </c>
      <c r="B1915" s="3" t="str">
        <f ca="1">IFERROR(__xludf.DUMMYFUNCTION("GOOGLETRANSLATE(B1915,""es"",""en"")"),"RT @TammyArimborgoG: According to del Solar, it happened RASPING because in his ""speech"" he mentioned support for the ""gender"" agenda and the issue of Prosecutor Chavarry!! False, you don't measure up!! Your ""acting"" experience is not enough! Yester"&amp;"day, for example, it was noted that you did not lead the Las Bambas affair... you were just another guest!")</f>
        <v>RT @TammyArimborgoG: According to del Solar, it happened RASPING because in his "speech" he mentioned support for the "gender" agenda and the issue of Prosecutor Chavarry!! False, you don't measure up!! Your "acting" experience is not enough! Yesterday, for example, it was noted that you did not lead the Las Bambas affair... you were just another guest!</v>
      </c>
      <c r="C1915" s="2" t="s">
        <v>4506</v>
      </c>
      <c r="D1915" s="1" t="s">
        <v>4507</v>
      </c>
    </row>
    <row r="1916" spans="1:4" x14ac:dyDescent="0.15">
      <c r="A1916" s="1" t="s">
        <v>1598</v>
      </c>
      <c r="B1916" s="3" t="str">
        <f ca="1">IFERROR(__xludf.DUMMYFUNCTION("GOOGLETRANSLATE(B1916,""es"",""en"")"),"Las Bambas: Del Solar considers that community members will unblock the road as Rojas promised
https://t.co/LfggWoDIQj https://t.co/AQrYjtuRx9")</f>
        <v>Las Bambas: Del Solar considers that community members will unblock the road as Rojas promised
https://t.co/LfggWoDIQj https://t.co/AQrYjtuRx9</v>
      </c>
      <c r="C1916" s="2" t="s">
        <v>4508</v>
      </c>
      <c r="D1916" s="1" t="s">
        <v>4509</v>
      </c>
    </row>
    <row r="1917" spans="1:4" x14ac:dyDescent="0.15">
      <c r="A1917" s="1" t="s">
        <v>4510</v>
      </c>
      <c r="B1917" s="3" t="str">
        <f ca="1">IFERROR(__xludf.DUMMYFUNCTION("GOOGLETRANSLATE(B1917,""es"",""en"")"),"RT @bepe20: Monggo saja, drinks. Lha saya kan memang pernah main di PBR. Jangankan itu, wong orang manggil saya ""Brad Pitt"" yg jelas-jelas ngga ada huhungan sama saya saja, ndak masalah. 
Tapi kalo boleh saran, ya panggil sesuai nama saya saja, Bambas "&amp;"Pamungkang 🤭 https://t.co/KE951d8sC2")</f>
        <v>RT @bepe20: Monggo saja, drinks. Lha saya kan memang pernah main di PBR. Jangankan itu, wong orang manggil saya "Brad Pitt" yg jelas-jelas ngga ada huhungan sama saya saja, ndak masalah. 
Tapi kalo boleh saran, ya panggil sesuai nama saya saja, Bambas Pamungkang 🤭 https://t.co/KE951d8sC2</v>
      </c>
      <c r="C1917" s="2" t="s">
        <v>4511</v>
      </c>
      <c r="D1917" s="1" t="s">
        <v>4512</v>
      </c>
    </row>
    <row r="1918" spans="1:4" x14ac:dyDescent="0.15">
      <c r="A1918" s="1" t="s">
        <v>3316</v>
      </c>
      <c r="B1918" s="3" t="str">
        <f ca="1">IFERROR(__xludf.DUMMYFUNCTION("GOOGLETRANSLATE(B1918,""es"",""en"")"),"RT @VivianaAusejo: It was the responsibility of the Las Bambas company to build a mining pipeline and road. None was done and now, at a cost of US$2,000 million, the Executive will have to pave it (400 km), when its use, 99.9%, is exclusive to the mining "&amp;"company; says @jdeechave Former viceMntro Environmental Management")</f>
        <v>RT @VivianaAusejo: It was the responsibility of the Las Bambas company to build a mining pipeline and road. None was done and now, at a cost of US$2,000 million, the Executive will have to pave it (400 km), when its use, 99.9%, is exclusive to the mining company; says @jdeechave Former viceMntro Environmental Management</v>
      </c>
      <c r="C1918" s="2" t="s">
        <v>4513</v>
      </c>
      <c r="D1918" s="1" t="s">
        <v>4512</v>
      </c>
    </row>
    <row r="1919" spans="1:4" x14ac:dyDescent="0.15">
      <c r="A1919" s="1" t="s">
        <v>4514</v>
      </c>
      <c r="B1919" s="3" t="str">
        <f ca="1">IFERROR(__xludf.DUMMYFUNCTION("GOOGLETRANSLATE(B1919,""es"",""en"")"),"It's like the sneakers they brought out broken and full of shit. Many people wear them like this because they don't have money for others. Having money and pretending to be poor is the lowest thing I have ever seen.")</f>
        <v>It's like the sneakers they brought out broken and full of shit. Many people wear them like this because they don't have money for others. Having money and pretending to be poor is the lowest thing I have ever seen.</v>
      </c>
      <c r="C1919" s="2" t="s">
        <v>4515</v>
      </c>
      <c r="D1919" s="1" t="s">
        <v>4512</v>
      </c>
    </row>
    <row r="1920" spans="1:4" x14ac:dyDescent="0.15">
      <c r="A1920" s="1" t="s">
        <v>2379</v>
      </c>
      <c r="B1920" s="3" t="str">
        <f ca="1">IFERROR(__xludf.DUMMYFUNCTION("GOOGLETRANSLATE(B1920,""es"",""en"")"),"RT @mlrvb: The State cannot NOT supervise the informal sector. The laws are for everyone and the State must apply them that way. If they don't work for everyone, you need to think about what's wrong with those public policies. Meanwhile, Fiori, Bambas, tr"&amp;"ansport strike and so on, they will continue!")</f>
        <v>RT @mlrvb: The State cannot NOT supervise the informal sector. The laws are for everyone and the State must apply them that way. If they don't work for everyone, you need to think about what's wrong with those public policies. Meanwhile, Fiori, Bambas, transport strike and so on, they will continue!</v>
      </c>
      <c r="C1920" s="2" t="s">
        <v>4516</v>
      </c>
      <c r="D1920" s="1" t="s">
        <v>4512</v>
      </c>
    </row>
    <row r="1921" spans="1:4" x14ac:dyDescent="0.15">
      <c r="A1921" s="1" t="s">
        <v>4517</v>
      </c>
      <c r="B1921" s="3" t="str">
        <f ca="1">IFERROR(__xludf.DUMMYFUNCTION("GOOGLETRANSLATE(B1921,""es"",""en"")"),"Mestre Crocodile and Nega Cordel Verde from the Maré dos Bambas group. Axé Capoeira 🇧🇴📿❤️🍀 https://t.co/icNB8kr7Tn")</f>
        <v>Mestre Crocodile and Nega Cordel Verde from the Maré dos Bambas group. Axé Capoeira 🇧🇴📿❤️🍀 https://t.co/icNB8kr7Tn</v>
      </c>
      <c r="C1921" s="2" t="s">
        <v>4518</v>
      </c>
      <c r="D1921" s="1" t="s">
        <v>4512</v>
      </c>
    </row>
    <row r="1922" spans="1:4" x14ac:dyDescent="0.15">
      <c r="A1922" s="1" t="s">
        <v>4519</v>
      </c>
      <c r="B1922" s="3" t="str">
        <f ca="1">IFERROR(__xludf.DUMMYFUNCTION("GOOGLETRANSLATE(B1922,""es"",""en"")"),"@DjMaRiiO_90 @hectorpanzon Or sneakers XD @DjMaRiiO_90")</f>
        <v>@DjMaRiiO_90 @hectorpanzon Or sneakers XD @DjMaRiiO_90</v>
      </c>
      <c r="C1922" s="2" t="s">
        <v>4520</v>
      </c>
      <c r="D1922" s="1" t="s">
        <v>4521</v>
      </c>
    </row>
    <row r="1923" spans="1:4" x14ac:dyDescent="0.15">
      <c r="A1923" s="1" t="s">
        <v>4522</v>
      </c>
      <c r="B1923" s="3" t="str">
        <f ca="1">IFERROR(__xludf.DUMMYFUNCTION("GOOGLETRANSLATE(B1923,""es"",""en"")"),"@RPPNoticias What the lot is committing irresponsible errors against the communities of Fuerabamba and other communities near the Las Bambas mine, making President Gregorio Rojas sign the document, without the knowledge of the community members, is very d"&amp;"elicate")</f>
        <v>@RPPNoticias What the lot is committing irresponsible errors against the communities of Fuerabamba and other communities near the Las Bambas mine, making President Gregorio Rojas sign the document, without the knowledge of the community members, is very delicate</v>
      </c>
      <c r="C1923" s="2" t="s">
        <v>4523</v>
      </c>
      <c r="D1923" s="1" t="s">
        <v>4521</v>
      </c>
    </row>
    <row r="1924" spans="1:4" x14ac:dyDescent="0.15">
      <c r="A1924" s="1" t="s">
        <v>4524</v>
      </c>
      <c r="B1924" s="3" t="str">
        <f ca="1">IFERROR(__xludf.DUMMYFUNCTION("GOOGLETRANSLATE(B1924,""es"",""en"")"),"Las Bambas: After the 'post-extractivism', a chronicle by Fernando Vivas https://t.co/VI4nIGb9MQ via @elcomercio_peru")</f>
        <v>Las Bambas: After the 'post-extractivism', a chronicle by Fernando Vivas https://t.co/VI4nIGb9MQ via @elcomercio_peru</v>
      </c>
      <c r="C1924" s="2" t="s">
        <v>4525</v>
      </c>
      <c r="D1924" s="1" t="s">
        <v>4521</v>
      </c>
    </row>
    <row r="1925" spans="1:4" x14ac:dyDescent="0.15">
      <c r="A1925" s="1" t="s">
        <v>4526</v>
      </c>
      <c r="B1925" s="3" t="str">
        <f ca="1">IFERROR(__xludf.DUMMYFUNCTION("GOOGLETRANSLATE(B1925,""es"",""en"")"),"@ExpresoPeru Don't miss the next episode of Pantaleón in the firm and the sneakers")</f>
        <v>@ExpresoPeru Don't miss the next episode of Pantaleón in the firm and the sneakers</v>
      </c>
      <c r="C1925" s="2" t="s">
        <v>4527</v>
      </c>
      <c r="D1925" s="1" t="s">
        <v>4528</v>
      </c>
    </row>
    <row r="1926" spans="1:4" x14ac:dyDescent="0.15">
      <c r="A1926" s="1" t="s">
        <v>4524</v>
      </c>
      <c r="B1926" s="3" t="str">
        <f ca="1">IFERROR(__xludf.DUMMYFUNCTION("GOOGLETRANSLATE(B1926,""es"",""en"")"),"RT @Politica_ECpe: Las Bambas: After the 'post-post-extractivism' [chronicle] ►https://t.co/qCThCI2j3e by @arkadin1 https://t.co/XTcgZAqqKF")</f>
        <v>RT @Politica_ECpe: Las Bambas: After the 'post-post-extractivism' [chronicle] ►https://t.co/qCThCI2j3e by @arkadin1 https://t.co/XTcgZAqqKF</v>
      </c>
      <c r="C1926" s="2" t="s">
        <v>4529</v>
      </c>
      <c r="D1926" s="1" t="s">
        <v>4530</v>
      </c>
    </row>
    <row r="1927" spans="1:4" x14ac:dyDescent="0.15">
      <c r="A1927" s="1" t="s">
        <v>2359</v>
      </c>
      <c r="B1927" s="3" t="str">
        <f ca="1">IFERROR(__xludf.DUMMYFUNCTION("GOOGLETRANSLATE(B1927,""es"",""en"")"),"RT @pulsonoticias_G: #LasBambas #GregorioRojas #ChavezSotelo #MartinVizcarra
Act on conflict in Las Bambas causes divisions among community members. They reject the agreement signed by Gregorio Rojas and demand the presence of Martín Vizcarra in Challhuah"&amp;"uacho and the release of the Chávez Sotelo family. https://t.co/08K35dGgCh")</f>
        <v>RT @pulsonoticias_G: #LasBambas #GregorioRojas #ChavezSotelo #MartinVizcarra
Act on conflict in Las Bambas causes divisions among community members. They reject the agreement signed by Gregorio Rojas and demand the presence of Martín Vizcarra in Challhuahuacho and the release of the Chávez Sotelo family. https://t.co/08K35dGgCh</v>
      </c>
      <c r="C1927" s="2" t="s">
        <v>4531</v>
      </c>
      <c r="D1927" s="1" t="s">
        <v>4530</v>
      </c>
    </row>
    <row r="1928" spans="1:4" x14ac:dyDescent="0.15">
      <c r="A1928" s="1" t="s">
        <v>200</v>
      </c>
      <c r="B1928" s="3" t="str">
        <f ca="1">IFERROR(__xludf.DUMMYFUNCTION("GOOGLETRANSLATE(B1928,""es"",""en"")"),"RT @TammyArimborgoG: According to del Solar, it happened RASPING because in his ""speech"" he mentioned support for the ""gender"" agenda and the issue of Prosecutor Chavarry!! False, you don't measure up!! Your ""acting"" experience is not enough! Yester"&amp;"day, for example, it was noted that you did not lead the Las Bambas affair... you were just another guest!")</f>
        <v>RT @TammyArimborgoG: According to del Solar, it happened RASPING because in his "speech" he mentioned support for the "gender" agenda and the issue of Prosecutor Chavarry!! False, you don't measure up!! Your "acting" experience is not enough! Yesterday, for example, it was noted that you did not lead the Las Bambas affair... you were just another guest!</v>
      </c>
      <c r="C1928" s="2" t="s">
        <v>4532</v>
      </c>
      <c r="D1928" s="1" t="s">
        <v>4533</v>
      </c>
    </row>
    <row r="1929" spans="1:4" x14ac:dyDescent="0.15">
      <c r="A1929" s="1" t="s">
        <v>4534</v>
      </c>
      <c r="B1929" s="3" t="str">
        <f ca="1">IFERROR(__xludf.DUMMYFUNCTION("GOOGLETRANSLATE(B1929,""es"",""en"")"),"RT @noticias_tvperu: Despite the fact that the Executive and Gregorio Rojas, president of Fuerabamba, reached an agreement to end the Las Bambas conflict, there is a sector that insists on continuing to block the roads ►https://t.co /yukwOLT9vU #TVPerúInf"&amp;"orma https://t.co/cgnGJozFXv")</f>
        <v>RT @noticias_tvperu: Despite the fact that the Executive and Gregorio Rojas, president of Fuerabamba, reached an agreement to end the Las Bambas conflict, there is a sector that insists on continuing to block the roads ►https://t.co /yukwOLT9vU #TVPerúInforma https://t.co/cgnGJozFXv</v>
      </c>
      <c r="C1929" s="2" t="s">
        <v>4535</v>
      </c>
      <c r="D1929" s="1" t="s">
        <v>4536</v>
      </c>
    </row>
    <row r="1930" spans="1:4" x14ac:dyDescent="0.15">
      <c r="A1930" s="1" t="s">
        <v>4537</v>
      </c>
      <c r="B1930" s="3" t="str">
        <f ca="1">IFERROR(__xludf.DUMMYFUNCTION("GOOGLETRANSLATE(B1930,""es"",""en"")"),"@Mei_luj 1) Sneakers
2) Sneakers
3) Flip flop")</f>
        <v>@Mei_luj 1) Sneakers
2) Sneakers
3) Flip flop</v>
      </c>
      <c r="C1930" s="2" t="s">
        <v>4538</v>
      </c>
      <c r="D1930" s="1" t="s">
        <v>4536</v>
      </c>
    </row>
    <row r="1931" spans="1:4" x14ac:dyDescent="0.15">
      <c r="A1931" s="1" t="s">
        <v>4539</v>
      </c>
      <c r="B1931" s="3" t="str">
        <f ca="1">IFERROR(__xludf.DUMMYFUNCTION("GOOGLETRANSLATE(B1931,""es"",""en"")"),"@pulsonoticias_G They cannot release gangsters, who have done what they wanted in the sneakers")</f>
        <v>@pulsonoticias_G They cannot release gangsters, who have done what they wanted in the sneakers</v>
      </c>
      <c r="C1931" s="2" t="s">
        <v>4540</v>
      </c>
      <c r="D1931" s="1" t="s">
        <v>4536</v>
      </c>
    </row>
    <row r="1932" spans="1:4" x14ac:dyDescent="0.15">
      <c r="A1932" s="1" t="s">
        <v>769</v>
      </c>
      <c r="B1932" s="3" t="str">
        <f ca="1">IFERROR(__xludf.DUMMYFUNCTION("GOOGLETRANSLATE(B1932,""es"",""en"")"),"#BRIEF: New legal advisor to the community members of Fuerabamba, Jorge Paredes Terry, stated that the road to the Las Bambas mining company will continue to be blocked on Monday despite the agreement announced yesterday by the Government https://t.co/UOB"&amp;"xloayia https:/ /t.co/eMghnYBhZn")</f>
        <v>#BRIEF: New legal advisor to the community members of Fuerabamba, Jorge Paredes Terry, stated that the road to the Las Bambas mining company will continue to be blocked on Monday despite the agreement announced yesterday by the Government https://t.co/UOBxloayia https:/ /t.co/eMghnYBhZn</v>
      </c>
      <c r="C1932" s="2" t="s">
        <v>4541</v>
      </c>
      <c r="D1932" s="1" t="s">
        <v>4542</v>
      </c>
    </row>
    <row r="1933" spans="1:4" x14ac:dyDescent="0.15">
      <c r="A1933" s="1" t="s">
        <v>4543</v>
      </c>
      <c r="B1933" s="3" t="str">
        <f ca="1">IFERROR(__xludf.DUMMYFUNCTION("GOOGLETRANSLATE(B1933,""es"",""en"")"),"@RPPNoticias Now you are ignorant???... With 1.8 million that the mine gave you for your plot + luxury house in Fuera bambas, I couldn't get you to study... Liar!!!...")</f>
        <v>@RPPNoticias Now you are ignorant???... With 1.8 million that the mine gave you for your plot + luxury house in Fuera bambas, I couldn't get you to study... Liar!!!...</v>
      </c>
      <c r="C1933" s="2" t="s">
        <v>4544</v>
      </c>
      <c r="D1933" s="1" t="s">
        <v>4542</v>
      </c>
    </row>
    <row r="1934" spans="1:4" x14ac:dyDescent="0.15">
      <c r="A1934" s="1" t="s">
        <v>4545</v>
      </c>
      <c r="B1934" s="3" t="str">
        <f ca="1">IFERROR(__xludf.DUMMYFUNCTION("GOOGLETRANSLATE(B1934,""es"",""en"")"),"RT @JaimeSerra: Paredes Terry is a community advisor and signs as such. However, in 2015 he was a political partner of the late Manuel Fajardo, one of the founders of the Movement for Amnesty and Fundamental Rights (Movadef), political front for Sendero L"&amp;"uminoso ... https://t.co/a2p6uoiqc4")</f>
        <v>RT @JaimeSerra: Paredes Terry is a community advisor and signs as such. However, in 2015 he was a political partner of the late Manuel Fajardo, one of the founders of the Movement for Amnesty and Fundamental Rights (Movadef), political front for Sendero Luminoso ... https://t.co/a2p6uoiqc4</v>
      </c>
      <c r="C1934" s="2" t="s">
        <v>4546</v>
      </c>
      <c r="D1934" s="1" t="s">
        <v>4542</v>
      </c>
    </row>
    <row r="1935" spans="1:4" x14ac:dyDescent="0.15">
      <c r="A1935" s="1" t="s">
        <v>4547</v>
      </c>
      <c r="B1935" s="3" t="str">
        <f ca="1">IFERROR(__xludf.DUMMYFUNCTION("GOOGLETRANSLATE(B1935,""es"",""en"")"),"@DjMaRiiO_90 The first are traditional sneakers")</f>
        <v>@DjMaRiiO_90 The first are traditional sneakers</v>
      </c>
      <c r="C1935" s="2" t="s">
        <v>4548</v>
      </c>
      <c r="D1935" s="1" t="s">
        <v>4542</v>
      </c>
    </row>
    <row r="1936" spans="1:4" x14ac:dyDescent="0.15">
      <c r="A1936" s="1" t="s">
        <v>544</v>
      </c>
      <c r="B1936" s="3" t="str">
        <f ca="1">IFERROR(__xludf.DUMMYFUNCTION("GOOGLETRANSLATE(B1936,""es"",""en"")"),"RT @eudmed: After seeing the outcome of the Las Bambas episode, I come to the conclusion that it is not the social conflict that stops us as a country, but the lack of determination of those who manage the State.")</f>
        <v>RT @eudmed: After seeing the outcome of the Las Bambas episode, I come to the conclusion that it is not the social conflict that stops us as a country, but the lack of determination of those who manage the State.</v>
      </c>
      <c r="C1936" s="2" t="s">
        <v>4549</v>
      </c>
      <c r="D1936" s="1" t="s">
        <v>4542</v>
      </c>
    </row>
    <row r="1937" spans="1:4" x14ac:dyDescent="0.15">
      <c r="A1937" s="1" t="s">
        <v>4550</v>
      </c>
      <c r="B1937" s="3" t="str">
        <f ca="1">IFERROR(__xludf.DUMMYFUNCTION("GOOGLETRANSLATE(B1937,""es"",""en"")"),"@fmruben @BarbarieAbsolut Nooo.
1. Sneakers
2. boomerang level 1
3. Boomerang PRO (for experienced mothers)")</f>
        <v>@fmruben @BarbarieAbsolut Nooo.
1. Sneakers
2. boomerang level 1
3. Boomerang PRO (for experienced mothers)</v>
      </c>
      <c r="C1937" s="2" t="s">
        <v>4551</v>
      </c>
      <c r="D1937" s="1" t="s">
        <v>4552</v>
      </c>
    </row>
    <row r="1938" spans="1:4" x14ac:dyDescent="0.15">
      <c r="A1938" s="1" t="s">
        <v>4553</v>
      </c>
      <c r="B1938" s="3" t="str">
        <f ca="1">IFERROR(__xludf.DUMMYFUNCTION("GOOGLETRANSLATE(B1938,""es"",""en"")"),"RT @alvarosarco: Road to Las Bambas mine remains blocked. @MartinVizcarraC and @saldelsol have looked like two idiots. That means sitting down to negotiate without first demanding that the road be unblocked. Inept and cowardly government #MineduSinMoral #"&amp;"GéneroNoVa")</f>
        <v>RT @alvarosarco: Road to Las Bambas mine remains blocked. @MartinVizcarraC and @saldelsol have looked like two idiots. That means sitting down to negotiate without first demanding that the road be unblocked. Inept and cowardly government #MineduSinMoral #GéneroNoVa</v>
      </c>
      <c r="C1938" s="2" t="s">
        <v>4554</v>
      </c>
      <c r="D1938" s="1" t="s">
        <v>4552</v>
      </c>
    </row>
    <row r="1939" spans="1:4" x14ac:dyDescent="0.15">
      <c r="A1939" s="1" t="s">
        <v>3567</v>
      </c>
      <c r="B1939" s="3" t="str">
        <f ca="1">IFERROR(__xludf.DUMMYFUNCTION("GOOGLETRANSLATE(B1939,""es"",""en"")"),"RT @ConvocaPe: #THELAST Gregorio Rojas, president of the Fuerabamba community: ""Tomorrow an assembly will be held with the owners of Yavi Yavi to seek approval for the unblocking of the road as was the agreement."" Remember the dark areas of the #LasBamb"&amp;"as EIA: https://t.co/wsfDrMAspK")</f>
        <v>RT @ConvocaPe: #THELAST Gregorio Rojas, president of the Fuerabamba community: "Tomorrow an assembly will be held with the owners of Yavi Yavi to seek approval for the unblocking of the road as was the agreement." Remember the dark areas of the #LasBambas EIA: https://t.co/wsfDrMAspK</v>
      </c>
      <c r="C1939" s="2" t="s">
        <v>4555</v>
      </c>
      <c r="D1939" s="1" t="s">
        <v>4556</v>
      </c>
    </row>
    <row r="1940" spans="1:4" x14ac:dyDescent="0.15">
      <c r="A1940" s="1" t="s">
        <v>4557</v>
      </c>
      <c r="B1940" s="3" t="str">
        <f ca="1">IFERROR(__xludf.DUMMYFUNCTION("GOOGLETRANSLATE(B1940,""es"",""en"")"),"@csantaengracia They have little of sneakers!!!! Why wouldn't you go running or have a paddle with that ;))))… What: … ""Escort"", piquer, give me air with your fan, 
""I ALSO wear Barcelona clothes and are very hot ;)))) the sneakers are the ones for pla"&amp;"ying sports ""neng""...jjjj")</f>
        <v>@csantaengracia They have little of sneakers!!!! Why wouldn't you go running or have a paddle with that ;))))… What: … "Escort", piquer, give me air with your fan, 
"I ALSO wear Barcelona clothes and are very hot ;)))) the sneakers are the ones for playing sports "neng"...jjjj</v>
      </c>
      <c r="C1940" s="2" t="s">
        <v>4558</v>
      </c>
      <c r="D1940" s="1" t="s">
        <v>4556</v>
      </c>
    </row>
    <row r="1941" spans="1:4" x14ac:dyDescent="0.15">
      <c r="A1941" s="1" t="s">
        <v>4559</v>
      </c>
      <c r="B1941" s="3" t="str">
        <f ca="1">IFERROR(__xludf.DUMMYFUNCTION("GOOGLETRANSLATE(B1941,""es"",""en"")"),"RT @alvarosarco: Road to Las Bambas mine remains blocked. @MartinVizcarraC and @saldelsol have looked like two idiots. That means sitting down to negotiate without first demanding that the road be unblocked. Inept and cowardly government #MineduSinMoral #"&amp;"GéneroNoVa")</f>
        <v>RT @alvarosarco: Road to Las Bambas mine remains blocked. @MartinVizcarraC and @saldelsol have looked like two idiots. That means sitting down to negotiate without first demanding that the road be unblocked. Inept and cowardly government #MineduSinMoral #GéneroNoVa</v>
      </c>
      <c r="C1941" s="2" t="s">
        <v>4560</v>
      </c>
      <c r="D1941" s="1" t="s">
        <v>4556</v>
      </c>
    </row>
    <row r="1942" spans="1:4" x14ac:dyDescent="0.15">
      <c r="A1942" s="1" t="s">
        <v>4561</v>
      </c>
      <c r="B1942" s="3" t="str">
        <f ca="1">IFERROR(__xludf.DUMMYFUNCTION("GOOGLETRANSLATE(B1942,""es"",""en"")"),"@SkoOrp T-shirts or sneakers")</f>
        <v>@SkoOrp T-shirts or sneakers</v>
      </c>
      <c r="C1942" s="2" t="s">
        <v>4562</v>
      </c>
      <c r="D1942" s="1" t="s">
        <v>4563</v>
      </c>
    </row>
    <row r="1943" spans="1:4" x14ac:dyDescent="0.15">
      <c r="A1943" s="1" t="s">
        <v>4564</v>
      </c>
      <c r="B1943" s="3" t="str">
        <f ca="1">IFERROR(__xludf.DUMMYFUNCTION("GOOGLETRANSLATE(B1943,""es"",""en"")"),"RT @JuanCBQp: What is a Movadef ally doing ""advising"" the communities of Las Bambas?
Hinder agreements and add fuel to make the conflict burn more.
This guy is the main operator of the insane Antauro Humalan so you already know his low nature.
https://t"&amp;".co/cgY7joO0fa")</f>
        <v>RT @JuanCBQp: What is a Movadef ally doing "advising" the communities of Las Bambas?
Hinder agreements and add fuel to make the conflict burn more.
This guy is the main operator of the insane Antauro Humalan so you already know his low nature.
https://t.co/cgY7joO0fa</v>
      </c>
      <c r="C1943" s="2" t="s">
        <v>4565</v>
      </c>
      <c r="D1943" s="1" t="s">
        <v>4566</v>
      </c>
    </row>
    <row r="1944" spans="1:4" x14ac:dyDescent="0.15">
      <c r="A1944" s="1" t="s">
        <v>4567</v>
      </c>
      <c r="B1944" s="3" t="str">
        <f ca="1">IFERROR(__xludf.DUMMYFUNCTION("GOOGLETRANSLATE(B1944,""es"",""en"")"),"Well, it turns out that my white sneakers that never failed have broken, between that and the gastroenteritis and the internal stress that I have... what a great start to the week")</f>
        <v>Well, it turns out that my white sneakers that never failed have broken, between that and the gastroenteritis and the internal stress that I have... what a great start to the week</v>
      </c>
      <c r="C1944" s="2" t="s">
        <v>4568</v>
      </c>
      <c r="D1944" s="1" t="s">
        <v>4569</v>
      </c>
    </row>
    <row r="1945" spans="1:4" x14ac:dyDescent="0.15">
      <c r="A1945" s="1" t="s">
        <v>4570</v>
      </c>
      <c r="B1945" s="3" t="str">
        <f ca="1">IFERROR(__xludf.DUMMYFUNCTION("GOOGLETRANSLATE(B1945,""es"",""en"")"),"RT @csantaengracia: 1 Sneakers 
2 Sneakers
3 Flip Flops https://t.co/Elluqr4xgJ")</f>
        <v>RT @csantaengracia: 1 Sneakers 
2 Sneakers
3 Flip Flops https://t.co/Elluqr4xgJ</v>
      </c>
      <c r="C1945" s="2" t="s">
        <v>4571</v>
      </c>
      <c r="D1945" s="1" t="s">
        <v>4569</v>
      </c>
    </row>
    <row r="1946" spans="1:4" x14ac:dyDescent="0.15">
      <c r="A1946" s="1" t="s">
        <v>4572</v>
      </c>
      <c r="B1946" s="3" t="str">
        <f ca="1">IFERROR(__xludf.DUMMYFUNCTION("GOOGLETRANSLATE(B1946,""es"",""en"")"),"RT @alvarosarco: Road to Las Bambas mine remains blocked. @MartinVizcarraC and @saldelsol have looked like two idiots. That means sitting down to negotiate without first demanding that the road be unblocked. Inept and cowardly government #MineduSinMoral #"&amp;"GéneroNoVa")</f>
        <v>RT @alvarosarco: Road to Las Bambas mine remains blocked. @MartinVizcarraC and @saldelsol have looked like two idiots. That means sitting down to negotiate without first demanding that the road be unblocked. Inept and cowardly government #MineduSinMoral #GéneroNoVa</v>
      </c>
      <c r="C1946" s="2" t="s">
        <v>4573</v>
      </c>
      <c r="D1946" s="1" t="s">
        <v>4569</v>
      </c>
    </row>
    <row r="1947" spans="1:4" x14ac:dyDescent="0.15">
      <c r="A1947" s="1" t="s">
        <v>4574</v>
      </c>
      <c r="B1947" s="3" t="str">
        <f ca="1">IFERROR(__xludf.DUMMYFUNCTION("GOOGLETRANSLATE(B1947,""es"",""en"")"),"@rmapalacios And savior presents himself as the savior of sneakers")</f>
        <v>@rmapalacios And savior presents himself as the savior of sneakers</v>
      </c>
      <c r="C1947" s="2" t="s">
        <v>4575</v>
      </c>
      <c r="D1947" s="1" t="s">
        <v>4576</v>
      </c>
    </row>
    <row r="1948" spans="1:4" x14ac:dyDescent="0.15">
      <c r="A1948" s="1" t="s">
        <v>4577</v>
      </c>
      <c r="B1948" s="3" t="str">
        <f ca="1">IFERROR(__xludf.DUMMYFUNCTION("GOOGLETRANSLATE(B1948,""es"",""en"")"),"Mercedes Aráoz highlights willingness to resolve conflict in Las Bambas https://t.co/oDXr6c0tez via @peru21noticias")</f>
        <v>Mercedes Aráoz highlights willingness to resolve conflict in Las Bambas https://t.co/oDXr6c0tez via @peru21noticias</v>
      </c>
      <c r="C1948" s="2" t="s">
        <v>4578</v>
      </c>
      <c r="D1948" s="1" t="s">
        <v>4576</v>
      </c>
    </row>
    <row r="1949" spans="1:4" x14ac:dyDescent="0.15">
      <c r="A1949" s="1" t="s">
        <v>1962</v>
      </c>
      <c r="B1949" s="3" t="str">
        <f ca="1">IFERROR(__xludf.DUMMYFUNCTION("GOOGLETRANSLATE(B1949,""es"",""en"")"),"RT @alvarosarco: Road to Las Bambas mine remains blocked. @MartinVizcarraC and @saldelsol have looked like two idiots. That means sitting down to negotiate without first demanding that the road be unblocked. Inept and cowardly government #MineduSinMoral #"&amp;"GéneroNoVa")</f>
        <v>RT @alvarosarco: Road to Las Bambas mine remains blocked. @MartinVizcarraC and @saldelsol have looked like two idiots. That means sitting down to negotiate without first demanding that the road be unblocked. Inept and cowardly government #MineduSinMoral #GéneroNoVa</v>
      </c>
      <c r="C1949" s="2" t="s">
        <v>4579</v>
      </c>
      <c r="D1949" s="1" t="s">
        <v>4580</v>
      </c>
    </row>
    <row r="1950" spans="1:4" x14ac:dyDescent="0.15">
      <c r="A1950" s="1" t="s">
        <v>3793</v>
      </c>
      <c r="B1950" s="3" t="str">
        <f ca="1">IFERROR(__xludf.DUMMYFUNCTION("GOOGLETRANSLATE(B1950,""es"",""en"")"),"#DanielSalaverry indicated that the Government 'lacked intelligence and political management' in Las Bambas
►https://t.co/jJodIXUDMn")</f>
        <v>#DanielSalaverry indicated that the Government 'lacked intelligence and political management' in Las Bambas
►https://t.co/jJodIXUDMn</v>
      </c>
      <c r="C1950" s="2" t="s">
        <v>4581</v>
      </c>
      <c r="D1950" s="1" t="s">
        <v>4582</v>
      </c>
    </row>
    <row r="1951" spans="1:4" x14ac:dyDescent="0.15">
      <c r="A1951" s="1" t="s">
        <v>4583</v>
      </c>
      <c r="B1951" s="3" t="str">
        <f ca="1">IFERROR(__xludf.DUMMYFUNCTION("GOOGLETRANSLATE(B1951,""es"",""en"")"),"RT @eudmed: After seeing the outcome of the Las Bambas episode, I come to the conclusion that it is not the social conflict that stops us as a country, but the lack of determination of those who manage the State.")</f>
        <v>RT @eudmed: After seeing the outcome of the Las Bambas episode, I come to the conclusion that it is not the social conflict that stops us as a country, but the lack of determination of those who manage the State.</v>
      </c>
      <c r="C1951" s="2" t="s">
        <v>4584</v>
      </c>
      <c r="D1951" s="1" t="s">
        <v>4585</v>
      </c>
    </row>
    <row r="1952" spans="1:4" x14ac:dyDescent="0.15">
      <c r="A1952" s="1" t="s">
        <v>4586</v>
      </c>
      <c r="B1952" s="3" t="str">
        <f ca="1">IFERROR(__xludf.DUMMYFUNCTION("GOOGLETRANSLATE(B1952,""es"",""en"")"),"https://t.co/ZSbPi3jvul
These are the agreements reached with the PCM, in the end together we will achieve development for our people, the Apurimac region progressing. Thank you brothers from Las Bambas for listening to the authorities. #LasBambas #Apurím"&amp;"ac #Chalhuahuacho #Fuerabamba")</f>
        <v>https://t.co/ZSbPi3jvul
These are the agreements reached with the PCM, in the end together we will achieve development for our people, the Apurimac region progressing. Thank you brothers from Las Bambas for listening to the authorities. #LasBambas #Apurímac #Chalhuahuacho #Fuerabamba</v>
      </c>
      <c r="C1952" s="2" t="s">
        <v>4587</v>
      </c>
      <c r="D1952" s="1" t="s">
        <v>4588</v>
      </c>
    </row>
    <row r="1953" spans="1:4" x14ac:dyDescent="0.15">
      <c r="A1953" s="1" t="s">
        <v>4589</v>
      </c>
      <c r="B1953" s="3" t="str">
        <f ca="1">IFERROR(__xludf.DUMMYFUNCTION("GOOGLETRANSLATE(B1953,""es"",""en"")"),"RT @TammyArimborgoG: According to del Solar, it happened RASPING because in his ""speech"" he mentioned support for the ""gender"" agenda and the issue of Prosecutor Chavarry!! False, you don't measure up!! Your ""acting"" experience is not enough! Yester"&amp;"day, for example, it was noted that you did not lead the Las Bambas affair... you were just another guest!")</f>
        <v>RT @TammyArimborgoG: According to del Solar, it happened RASPING because in his "speech" he mentioned support for the "gender" agenda and the issue of Prosecutor Chavarry!! False, you don't measure up!! Your "acting" experience is not enough! Yesterday, for example, it was noted that you did not lead the Las Bambas affair... you were just another guest!</v>
      </c>
      <c r="C1953" s="2" t="s">
        <v>4590</v>
      </c>
      <c r="D1953" s="1" t="s">
        <v>4591</v>
      </c>
    </row>
    <row r="1954" spans="1:4" x14ac:dyDescent="0.15">
      <c r="A1954" s="1" t="s">
        <v>4592</v>
      </c>
      <c r="B1954" s="3" t="str">
        <f ca="1">IFERROR(__xludf.DUMMYFUNCTION("GOOGLETRANSLATE(B1954,""es"",""en"")"),"@elndvr Sneakers, tennis shoes or at most sneakers. What the hell are you wearing to the beach?")</f>
        <v>@elndvr Sneakers, tennis shoes or at most sneakers. What the hell are you wearing to the beach?</v>
      </c>
      <c r="C1954" s="2" t="s">
        <v>4593</v>
      </c>
      <c r="D1954" s="1" t="s">
        <v>4594</v>
      </c>
    </row>
    <row r="1955" spans="1:4" x14ac:dyDescent="0.15">
      <c r="A1955" s="1" t="s">
        <v>4595</v>
      </c>
      <c r="B1955" s="3" t="str">
        <f ca="1">IFERROR(__xludf.DUMMYFUNCTION("GOOGLETRANSLATE(B1955,""es"",""en"")"),"[Las Bambas Case] ​​They would prohibit police from providing security services to private companies https://t.co/TFxxCBwfZx via @legispe")</f>
        <v>[Las Bambas Case] ​​They would prohibit police from providing security services to private companies https://t.co/TFxxCBwfZx via @legispe</v>
      </c>
      <c r="C1955" s="2" t="s">
        <v>4596</v>
      </c>
      <c r="D1955" s="1" t="s">
        <v>4594</v>
      </c>
    </row>
    <row r="1956" spans="1:4" x14ac:dyDescent="0.15">
      <c r="A1956" s="1" t="s">
        <v>4597</v>
      </c>
      <c r="B1956" s="3" t="str">
        <f ca="1">IFERROR(__xludf.DUMMYFUNCTION("GOOGLETRANSLATE(B1956,""es"",""en"")"),"RT @manuvilardell: 1) Sneakers
2) Sneakers
3) Flip flops
And that would be it. https://t.co/h6GciizQDg")</f>
        <v>RT @manuvilardell: 1) Sneakers
2) Sneakers
3) Flip flops
And that would be it. https://t.co/h6GciizQDg</v>
      </c>
      <c r="C1956" s="2" t="s">
        <v>4598</v>
      </c>
      <c r="D1956" s="1" t="s">
        <v>4599</v>
      </c>
    </row>
    <row r="1957" spans="1:4" x14ac:dyDescent="0.15">
      <c r="A1957" s="1" t="s">
        <v>4600</v>
      </c>
      <c r="B1957" s="4" t="str">
        <f ca="1">IFERROR(__xludf.DUMMYFUNCTION("GOOGLETRANSLATE(B1957,""es"",""en"")"),"https://t.co/nAvyBUBGxk")</f>
        <v>https://t.co/nAvyBUBGxk</v>
      </c>
      <c r="C1957" s="2" t="s">
        <v>4601</v>
      </c>
      <c r="D1957" s="1" t="s">
        <v>4599</v>
      </c>
    </row>
    <row r="1958" spans="1:4" x14ac:dyDescent="0.15">
      <c r="A1958" s="1" t="s">
        <v>4602</v>
      </c>
      <c r="B1958" s="3" t="str">
        <f ca="1">IFERROR(__xludf.DUMMYFUNCTION("GOOGLETRANSLATE(B1958,""es"",""en"")"),"RT @alvarosarco: Road to Las Bambas mine remains blocked. @MartinVizcarraC and @saldelsol have looked like two idiots. That means sitting down to negotiate without first demanding that the road be unblocked. Inept and cowardly government #MineduSinMoral #"&amp;"GéneroNoVa")</f>
        <v>RT @alvarosarco: Road to Las Bambas mine remains blocked. @MartinVizcarraC and @saldelsol have looked like two idiots. That means sitting down to negotiate without first demanding that the road be unblocked. Inept and cowardly government #MineduSinMoral #GéneroNoVa</v>
      </c>
      <c r="C1958" s="2" t="s">
        <v>4603</v>
      </c>
      <c r="D1958" s="1" t="s">
        <v>4599</v>
      </c>
    </row>
    <row r="1959" spans="1:4" x14ac:dyDescent="0.15">
      <c r="A1959" s="1" t="s">
        <v>3497</v>
      </c>
      <c r="B1959" s="3" t="str">
        <f ca="1">IFERROR(__xludf.DUMMYFUNCTION("GOOGLETRANSLATE(B1959,""es"",""en"")"),"@alvarezrodrich: “What is decided in Las Bambas is going to play an important precedent"" ► https://t.co/1FazaPoT2l https://t.co/LKvYRxT9Lk")</f>
        <v>@alvarezrodrich: “What is decided in Las Bambas is going to play an important precedent" ► https://t.co/1FazaPoT2l https://t.co/LKvYRxT9Lk</v>
      </c>
      <c r="C1959" s="2" t="s">
        <v>4604</v>
      </c>
      <c r="D1959" s="1" t="s">
        <v>4599</v>
      </c>
    </row>
    <row r="1960" spans="1:4" x14ac:dyDescent="0.15">
      <c r="A1960" s="1" t="s">
        <v>1664</v>
      </c>
      <c r="B1960" s="3" t="str">
        <f ca="1">IFERROR(__xludf.DUMMYFUNCTION("GOOGLETRANSLATE(B1960,""es"",""en"")"),"RT @Politico_pe: #BRIEF: New legal advisor to the community members of Fuerabamba, Jorge Paredes Terry, stated that the road to the Las Bambas mining company will continue to be blocked on Monday despite the agreement announced yesterday by the Government"&amp;" https://t.co/ UOBxloayia https://t.co/eMghnYBhZn")</f>
        <v>RT @Politico_pe: #BRIEF: New legal advisor to the community members of Fuerabamba, Jorge Paredes Terry, stated that the road to the Las Bambas mining company will continue to be blocked on Monday despite the agreement announced yesterday by the Government https://t.co/ UOBxloayia https://t.co/eMghnYBhZn</v>
      </c>
      <c r="C1960" s="2" t="s">
        <v>4605</v>
      </c>
      <c r="D1960" s="1" t="s">
        <v>4606</v>
      </c>
    </row>
    <row r="1961" spans="1:4" x14ac:dyDescent="0.15">
      <c r="A1961" s="1" t="s">
        <v>2597</v>
      </c>
      <c r="B1961" s="3" t="str">
        <f ca="1">IFERROR(__xludf.DUMMYFUNCTION("GOOGLETRANSLATE(B1961,""es"",""en"")"),"#Congressmen #ask to #maintain dialogue with community members due to conflict in Las Bambas https://t.co/oIyn3yo1z7")</f>
        <v>#Congressmen #ask to #maintain dialogue with community members due to conflict in Las Bambas https://t.co/oIyn3yo1z7</v>
      </c>
      <c r="C1961" s="2" t="s">
        <v>4607</v>
      </c>
      <c r="D1961" s="1" t="s">
        <v>4606</v>
      </c>
    </row>
    <row r="1962" spans="1:4" x14ac:dyDescent="0.15">
      <c r="A1962" s="1" t="s">
        <v>4608</v>
      </c>
      <c r="B1962" s="3" t="str">
        <f ca="1">IFERROR(__xludf.DUMMYFUNCTION("GOOGLETRANSLATE(B1962,""es"",""en"")"),"Pdte. from Congress Daniel Salaverry:
✔️Announced Project to allow effective collaboration in investigation and constitutional accusation
✔️Revealed that Spokespersons do not support changes to representation week
✔️He considered that there was a lack of "&amp;"intelligence and political management in the ""Las Bambas"" issue https://t.co/t5pgKKFcrz")</f>
        <v>Pdte. from Congress Daniel Salaverry:
✔️Announced Project to allow effective collaboration in investigation and constitutional accusation
✔️Revealed that Spokespersons do not support changes to representation week
✔️He considered that there was a lack of intelligence and political management in the "Las Bambas" issue https://t.co/t5pgKKFcrz</v>
      </c>
      <c r="C1962" s="2" t="s">
        <v>4609</v>
      </c>
      <c r="D1962" s="1" t="s">
        <v>4610</v>
      </c>
    </row>
    <row r="1963" spans="1:4" x14ac:dyDescent="0.15">
      <c r="A1963" s="1" t="s">
        <v>4611</v>
      </c>
      <c r="B1963" s="3" t="str">
        <f ca="1">IFERROR(__xludf.DUMMYFUNCTION("GOOGLETRANSLATE(B1963,""es"",""en"")"),"RT @Politica_LR: Las Bambas: Gregorio Rojas says that they “cornered” him to sign the consensus statement [VIDEO] ► https://t.co/ips54HTMWz https://t.co/lyhmgqgKoa")</f>
        <v>RT @Politica_LR: Las Bambas: Gregorio Rojas says that they “cornered” him to sign the consensus statement [VIDEO] ► https://t.co/ips54HTMWz https://t.co/lyhmgqgKoa</v>
      </c>
      <c r="C1963" s="2" t="s">
        <v>4612</v>
      </c>
      <c r="D1963" s="1" t="s">
        <v>4610</v>
      </c>
    </row>
    <row r="1964" spans="1:4" x14ac:dyDescent="0.15">
      <c r="A1964" s="1" t="s">
        <v>4613</v>
      </c>
      <c r="B1964" s="3" t="str">
        <f ca="1">IFERROR(__xludf.DUMMYFUNCTION("GOOGLETRANSLATE(B1964,""es"",""en"")"),"A work colleague has spent 8 months working on his desk.
That piece of deliciousness wanted to be in my color.
Seriously, my heart is filled with that childhood not like that with the white legs and the eyes filled with tears until now.")</f>
        <v>A work colleague has spent 8 months working on his desk.
That piece of deliciousness wanted to be in my color.
Seriously, my heart is filled with that childhood not like that with the white legs and the eyes filled with tears until now.</v>
      </c>
      <c r="C1964" s="2" t="s">
        <v>4614</v>
      </c>
      <c r="D1964" s="1" t="s">
        <v>4615</v>
      </c>
    </row>
    <row r="1965" spans="1:4" x14ac:dyDescent="0.15">
      <c r="A1965" s="1" t="s">
        <v>4616</v>
      </c>
      <c r="B1965" s="3" t="str">
        <f ca="1">IFERROR(__xludf.DUMMYFUNCTION("GOOGLETRANSLATE(B1965,""es"",""en"")"),"Sneakers
Sneakers
Flip flops https://t.co/NXGE9SDwfG")</f>
        <v>Sneakers
Sneakers
Flip flops https://t.co/NXGE9SDwfG</v>
      </c>
      <c r="C1965" s="2" t="s">
        <v>4617</v>
      </c>
      <c r="D1965" s="1" t="s">
        <v>4615</v>
      </c>
    </row>
    <row r="1966" spans="1:4" x14ac:dyDescent="0.15">
      <c r="A1966" s="1" t="s">
        <v>4618</v>
      </c>
      <c r="B1966" s="3" t="str">
        <f ca="1">IFERROR(__xludf.DUMMYFUNCTION("GOOGLETRANSLATE(B1966,""es"",""en"")"),"#POLITICS | @dsalaverryv affirms that the government lacked intelligence to solve 'Las Bambas'
https://t.co/0dCITYIWVx https://t.co/l6TWtnTKUd")</f>
        <v>#POLITICS | @dsalaverryv affirms that the government lacked intelligence to solve 'Las Bambas'
https://t.co/0dCITYIWVx https://t.co/l6TWtnTKUd</v>
      </c>
      <c r="C1966" s="2" t="s">
        <v>4619</v>
      </c>
      <c r="D1966" s="1" t="s">
        <v>4620</v>
      </c>
    </row>
    <row r="1967" spans="1:4" x14ac:dyDescent="0.15">
      <c r="A1967" s="1" t="s">
        <v>4621</v>
      </c>
      <c r="B1967" s="3" t="str">
        <f ca="1">IFERROR(__xludf.DUMMYFUNCTION("GOOGLETRANSLATE(B1967,""es"",""en"")"),"RT @DATEROPERU: #Complaint... Jorge Romero Castro, vice president of the #Andean Parliament, uses the position for his own benefit... He earns S/ 10 thousand, receives a bonus of 7,500, has 2 tanked cars, 4 drivers and 15 workers at his disposal ...On top"&amp;" of that, he charges for events, uses Bambas titles and NGOs. https://t.co/jAxYYMu0lZ")</f>
        <v>RT @DATEROPERU: #Complaint... Jorge Romero Castro, vice president of the #Andean Parliament, uses the position for his own benefit... He earns S/ 10 thousand, receives a bonus of 7,500, has 2 tanked cars, 4 drivers and 15 workers at his disposal ...On top of that, he charges for events, uses Bambas titles and NGOs. https://t.co/jAxYYMu0lZ</v>
      </c>
      <c r="C1967" s="2" t="s">
        <v>4622</v>
      </c>
      <c r="D1967" s="1" t="s">
        <v>4620</v>
      </c>
    </row>
    <row r="1968" spans="1:4" x14ac:dyDescent="0.15">
      <c r="A1968" s="1" t="s">
        <v>4505</v>
      </c>
      <c r="B1968" s="3" t="str">
        <f ca="1">IFERROR(__xludf.DUMMYFUNCTION("GOOGLETRANSLATE(B1968,""es"",""en"")"),"RT @alvarosarco: The government should not sit down to negotiate with the people of Fuerabamba again while they keep the road to Las Bambas blocked and continue to be advised by criminals or riff-raff linked to Movadef like Jorge Paredes Terry #MineduSinM"&amp;"oral #GéneroNoVa")</f>
        <v>RT @alvarosarco: The government should not sit down to negotiate with the people of Fuerabamba again while they keep the road to Las Bambas blocked and continue to be advised by criminals or riff-raff linked to Movadef like Jorge Paredes Terry #MineduSinMoral #GéneroNoVa</v>
      </c>
      <c r="C1968" s="2" t="s">
        <v>4623</v>
      </c>
      <c r="D1968" s="1" t="s">
        <v>4620</v>
      </c>
    </row>
    <row r="1969" spans="1:4" x14ac:dyDescent="0.15">
      <c r="A1969" s="1" t="s">
        <v>4624</v>
      </c>
      <c r="B1969" s="3" t="str">
        <f ca="1">IFERROR(__xludf.DUMMYFUNCTION("GOOGLETRANSLATE(B1969,""es"",""en"")"),"@diariocorreo About Bagua, why wasn't it treated as a case of ""against humanity""? If something similar happened, in ""las Bambas"", this time, would it be treated as a crime against ""humanity""?... .")</f>
        <v>@diariocorreo About Bagua, why wasn't it treated as a case of "against humanity"? If something similar happened, in "las Bambas", this time, would it be treated as a crime against "humanity"?... .</v>
      </c>
      <c r="C1969" s="2" t="s">
        <v>4625</v>
      </c>
      <c r="D1969" s="1" t="s">
        <v>4620</v>
      </c>
    </row>
    <row r="1970" spans="1:4" x14ac:dyDescent="0.15">
      <c r="A1970" s="1" t="s">
        <v>4626</v>
      </c>
      <c r="B1970" s="3" t="str">
        <f ca="1">IFERROR(__xludf.DUMMYFUNCTION("GOOGLETRANSLATE(B1970,""es"",""en"")"),"@csantaengracia Bambas? That's my dog's name")</f>
        <v>@csantaengracia Bambas? That's my dog's name</v>
      </c>
      <c r="C1970" s="2" t="s">
        <v>4627</v>
      </c>
      <c r="D1970" s="1" t="s">
        <v>4628</v>
      </c>
    </row>
    <row r="1971" spans="1:4" x14ac:dyDescent="0.15">
      <c r="A1971" s="1" t="s">
        <v>1104</v>
      </c>
      <c r="B1971" s="3" t="str">
        <f ca="1">IFERROR(__xludf.DUMMYFUNCTION("GOOGLETRANSLATE(B1971,""es"",""en"")"),"RT @DATEROPERU: #Complaint... Jorge Romero Castro, vice president of the #Andean Parliament, uses the position for his own benefit... He earns S/ 10 thousand, receives a bonus of 7,500, has 2 tanked cars, 4 drivers and 15 workers at his disposal ...On top"&amp;" of that, he charges for events, uses Bambas titles and NGOs. https://t.co/jAxYYMu0lZ")</f>
        <v>RT @DATEROPERU: #Complaint... Jorge Romero Castro, vice president of the #Andean Parliament, uses the position for his own benefit... He earns S/ 10 thousand, receives a bonus of 7,500, has 2 tanked cars, 4 drivers and 15 workers at his disposal ...On top of that, he charges for events, uses Bambas titles and NGOs. https://t.co/jAxYYMu0lZ</v>
      </c>
      <c r="C1971" s="2" t="s">
        <v>4629</v>
      </c>
      <c r="D1971" s="1" t="s">
        <v>4630</v>
      </c>
    </row>
    <row r="1972" spans="1:4" x14ac:dyDescent="0.15">
      <c r="A1972" s="1" t="s">
        <v>4631</v>
      </c>
      <c r="B1972" s="3" t="str">
        <f ca="1">IFERROR(__xludf.DUMMYFUNCTION("GOOGLETRANSLATE(B1972,""es"",""en"")"),"1) Sneakers
2) Sneakers
3) Flip Flops / Flip Flops https://t.co/gcRwxQ9MkL")</f>
        <v>1) Sneakers
2) Sneakers
3) Flip Flops / Flip Flops https://t.co/gcRwxQ9MkL</v>
      </c>
      <c r="C1972" s="2" t="s">
        <v>4632</v>
      </c>
      <c r="D1972" s="1" t="s">
        <v>4630</v>
      </c>
    </row>
    <row r="1973" spans="1:4" x14ac:dyDescent="0.15">
      <c r="A1973" s="1" t="s">
        <v>4633</v>
      </c>
      <c r="B1973" s="3" t="str">
        <f ca="1">IFERROR(__xludf.DUMMYFUNCTION("GOOGLETRANSLATE(B1973,""es"",""en"")"),"RT @alvarosarco: Road to Las Bambas mine remains blocked. @MartinVizcarraC and @saldelsol have looked like two idiots. That means sitting down to negotiate without first demanding that the road be unblocked. Inept and cowardly government #MineduSinMoral #"&amp;"GéneroNoVa")</f>
        <v>RT @alvarosarco: Road to Las Bambas mine remains blocked. @MartinVizcarraC and @saldelsol have looked like two idiots. That means sitting down to negotiate without first demanding that the road be unblocked. Inept and cowardly government #MineduSinMoral #GéneroNoVa</v>
      </c>
      <c r="C1973" s="2" t="s">
        <v>4634</v>
      </c>
      <c r="D1973" s="1" t="s">
        <v>4635</v>
      </c>
    </row>
    <row r="1974" spans="1:4" x14ac:dyDescent="0.15">
      <c r="A1974" s="1" t="s">
        <v>4636</v>
      </c>
      <c r="B1974" s="3" t="str">
        <f ca="1">IFERROR(__xludf.DUMMYFUNCTION("GOOGLETRANSLATE(B1974,""es"",""en"")"),"RT @ereynaabogado: Terrible management of the Las Bambas conflict. Sitting @pcmperu @saldelsol with blocked roads, without having the guarantee that agreements would be fulfilled, with the presence of an extremist advisor (he does not recognize Abimael Gu"&amp;"zmán as a murderer) is clumsy. They represent the State, not just anyone.")</f>
        <v>RT @ereynaabogado: Terrible management of the Las Bambas conflict. Sitting @pcmperu @saldelsol with blocked roads, without having the guarantee that agreements would be fulfilled, with the presence of an extremist advisor (he does not recognize Abimael Guzmán as a murderer) is clumsy. They represent the State, not just anyone.</v>
      </c>
      <c r="C1974" s="2" t="s">
        <v>4637</v>
      </c>
      <c r="D1974" s="1" t="s">
        <v>4638</v>
      </c>
    </row>
    <row r="1975" spans="1:4" x14ac:dyDescent="0.15">
      <c r="A1975" s="1" t="s">
        <v>4639</v>
      </c>
      <c r="B1975" s="3" t="str">
        <f ca="1">IFERROR(__xludf.DUMMYFUNCTION("GOOGLETRANSLATE(B1975,""es"",""en"")"),"@ReformedAdri @mrhnmjnna ....they are classic sneakers....")</f>
        <v>@ReformedAdri @mrhnmjnna ....they are classic sneakers....</v>
      </c>
      <c r="C1975" s="2" t="s">
        <v>4640</v>
      </c>
      <c r="D1975" s="1" t="s">
        <v>4641</v>
      </c>
    </row>
    <row r="1976" spans="1:4" x14ac:dyDescent="0.15">
      <c r="A1976" s="1" t="s">
        <v>4642</v>
      </c>
      <c r="B1976" s="3" t="str">
        <f ca="1">IFERROR(__xludf.DUMMYFUNCTION("GOOGLETRANSLATE(B1976,""es"",""en"")"),"I saw them as soon as I entered the store among all the sneakers and they are the ones who saw me and not I them.")</f>
        <v>I saw them as soon as I entered the store among all the sneakers and they are the ones who saw me and not I them.</v>
      </c>
      <c r="C1976" s="2" t="s">
        <v>4643</v>
      </c>
      <c r="D1976" s="1" t="s">
        <v>4641</v>
      </c>
    </row>
    <row r="1977" spans="1:4" x14ac:dyDescent="0.15">
      <c r="A1977" s="1" t="s">
        <v>4644</v>
      </c>
      <c r="B1977" s="3" t="str">
        <f ca="1">IFERROR(__xludf.DUMMYFUNCTION("GOOGLETRANSLATE(B1977,""es"",""en"")"),"#POLITICS | Salaverry pointed out that the agreements signed between the president of the Council of Ministers, Salvador del Solar, and the president of Fuerabamba, Gregorio Rojas, ""are a dead letter.""
https://t.co/h6iYXgyTOk https://t.co/h6iYXgyTOk")</f>
        <v>#POLITICS | Salaverry pointed out that the agreements signed between the president of the Council of Ministers, Salvador del Solar, and the president of Fuerabamba, Gregorio Rojas, "are a dead letter."
https://t.co/h6iYXgyTOk https://t.co/h6iYXgyTOk</v>
      </c>
      <c r="C1977" s="2" t="s">
        <v>4645</v>
      </c>
      <c r="D1977" s="1" t="s">
        <v>4646</v>
      </c>
    </row>
    <row r="1978" spans="1:4" x14ac:dyDescent="0.15">
      <c r="A1978" s="1" t="s">
        <v>1322</v>
      </c>
      <c r="B1978" s="3" t="str">
        <f ca="1">IFERROR(__xludf.DUMMYFUNCTION("GOOGLETRANSLATE(B1978,""es"",""en"")"),"RT @DATEROPERU: #Complaint... Jorge Romero Castro, vice president of the #Andean Parliament, uses the position for his own benefit... He earns S/ 10 thousand, receives a bonus of 7,500, has 2 tanked cars, 4 drivers and 15 workers at his disposal ...On top"&amp;" of that, he charges for events, uses Bambas titles and NGOs. https://t.co/jAxYYMu0lZ")</f>
        <v>RT @DATEROPERU: #Complaint... Jorge Romero Castro, vice president of the #Andean Parliament, uses the position for his own benefit... He earns S/ 10 thousand, receives a bonus of 7,500, has 2 tanked cars, 4 drivers and 15 workers at his disposal ...On top of that, he charges for events, uses Bambas titles and NGOs. https://t.co/jAxYYMu0lZ</v>
      </c>
      <c r="C1978" s="2" t="s">
        <v>4647</v>
      </c>
      <c r="D1978" s="1" t="s">
        <v>4648</v>
      </c>
    </row>
    <row r="1979" spans="1:4" x14ac:dyDescent="0.15">
      <c r="A1979" s="1" t="s">
        <v>4649</v>
      </c>
      <c r="B1979" s="3" t="str">
        <f ca="1">IFERROR(__xludf.DUMMYFUNCTION("GOOGLETRANSLATE(B1979,""es"",""en"")"),"@ketchup_de_pera Bambas? Really?🤦🤦🤦")</f>
        <v>@ketchup_de_pera Bambas? Really?🤦🤦🤦</v>
      </c>
      <c r="C1979" s="2" t="s">
        <v>4650</v>
      </c>
      <c r="D1979" s="1" t="s">
        <v>4651</v>
      </c>
    </row>
    <row r="1980" spans="1:4" x14ac:dyDescent="0.15">
      <c r="A1980" s="1" t="s">
        <v>1447</v>
      </c>
      <c r="B1980" s="3" t="str">
        <f ca="1">IFERROR(__xludf.DUMMYFUNCTION("GOOGLETRANSLATE(B1980,""es"",""en"")"),"Leaders of different communities present their proposals to resolve the conflict in Las Bambas https://t.co/z814YTcQm7")</f>
        <v>Leaders of different communities present their proposals to resolve the conflict in Las Bambas https://t.co/z814YTcQm7</v>
      </c>
      <c r="C1980" s="2" t="s">
        <v>4652</v>
      </c>
      <c r="D1980" s="1" t="s">
        <v>4653</v>
      </c>
    </row>
    <row r="1981" spans="1:4" x14ac:dyDescent="0.15">
      <c r="A1981" s="1" t="s">
        <v>1186</v>
      </c>
      <c r="B1981" s="3" t="str">
        <f ca="1">IFERROR(__xludf.DUMMYFUNCTION("GOOGLETRANSLATE(B1981,""es"",""en"")"),"RT @Politica_LR: Congressmen reject third-party intervention due to conflict in Las Bambas ► https://t.co/xuK1lXVPl0 https://t.co/6TsCcHhcss")</f>
        <v>RT @Politica_LR: Congressmen reject third-party intervention due to conflict in Las Bambas ► https://t.co/xuK1lXVPl0 https://t.co/6TsCcHhcss</v>
      </c>
      <c r="C1981" s="2" t="s">
        <v>4654</v>
      </c>
      <c r="D1981" s="1" t="s">
        <v>4653</v>
      </c>
    </row>
    <row r="1982" spans="1:4" x14ac:dyDescent="0.15">
      <c r="A1982" s="1" t="s">
        <v>1157</v>
      </c>
      <c r="B1982" s="3" t="str">
        <f ca="1">IFERROR(__xludf.DUMMYFUNCTION("GOOGLETRANSLATE(B1982,""es"",""en"")"),"RT @ereynaabogado: Terrible management of the Las Bambas conflict. Sitting @pcmperu @saldelsol with blocked roads, without having the guarantee that agreements would be fulfilled, with the presence of an extremist advisor (he does not recognize Abimael Gu"&amp;"zmán as a murderer) is clumsy. They represent the State, not just anyone.")</f>
        <v>RT @ereynaabogado: Terrible management of the Las Bambas conflict. Sitting @pcmperu @saldelsol with blocked roads, without having the guarantee that agreements would be fulfilled, with the presence of an extremist advisor (he does not recognize Abimael Guzmán as a murderer) is clumsy. They represent the State, not just anyone.</v>
      </c>
      <c r="C1982" s="2" t="s">
        <v>4655</v>
      </c>
      <c r="D1982" s="1" t="s">
        <v>4653</v>
      </c>
    </row>
    <row r="1983" spans="1:4" x14ac:dyDescent="0.15">
      <c r="A1983" s="1" t="s">
        <v>2703</v>
      </c>
      <c r="B1983" s="3" t="str">
        <f ca="1">IFERROR(__xludf.DUMMYFUNCTION("GOOGLETRANSLATE(B1983,""es"",""en"")"),"RT @alvarosarco: The government should not sit down to negotiate with the people of Fuerabamba again while they keep the road to Las Bambas blocked and continue to be advised by criminals or riff-raff linked to Movadef like Jorge Paredes Terry #MineduSinM"&amp;"oral #GéneroNoVa")</f>
        <v>RT @alvarosarco: The government should not sit down to negotiate with the people of Fuerabamba again while they keep the road to Las Bambas blocked and continue to be advised by criminals or riff-raff linked to Movadef like Jorge Paredes Terry #MineduSinMoral #GéneroNoVa</v>
      </c>
      <c r="C1983" s="2" t="s">
        <v>4656</v>
      </c>
      <c r="D1983" s="1" t="s">
        <v>4653</v>
      </c>
    </row>
    <row r="1984" spans="1:4" x14ac:dyDescent="0.15">
      <c r="A1984" s="1" t="s">
        <v>2959</v>
      </c>
      <c r="B1984" s="3" t="str">
        <f ca="1">IFERROR(__xludf.DUMMYFUNCTION("GOOGLETRANSLATE(B1984,""es"",""en"")"),"RT @eudmed: After seeing the outcome of the Las Bambas episode, I come to the conclusion that it is not the social conflict that stops us as a country, but the lack of determination of those who manage the State.")</f>
        <v>RT @eudmed: After seeing the outcome of the Las Bambas episode, I come to the conclusion that it is not the social conflict that stops us as a country, but the lack of determination of those who manage the State.</v>
      </c>
      <c r="C1984" s="2" t="s">
        <v>4657</v>
      </c>
      <c r="D1984" s="1" t="s">
        <v>4653</v>
      </c>
    </row>
    <row r="1985" spans="1:4" x14ac:dyDescent="0.15">
      <c r="A1985" s="1" t="s">
        <v>1186</v>
      </c>
      <c r="B1985" s="3" t="str">
        <f ca="1">IFERROR(__xludf.DUMMYFUNCTION("GOOGLETRANSLATE(B1985,""es"",""en"")"),"RT @elmontonero_pe: #PoliticaEM #ElMontonero
The State recognizes its responsibility in the conflict
Follow us on:
FB: https://t.co/8BN6IGbDMU
Youtube: https://t.co/x2WH9DgOHF
More Articles: https://t.co/4sbQL4kPSo
#CorredorMineroDelSur #MMG #PeruvianEpis"&amp;"copalConference 
https://t.co/Q4Lqe1aTDy")</f>
        <v>RT @elmontonero_pe: #PoliticaEM #ElMontonero
The State recognizes its responsibility in the conflict
Follow us on:
FB: https://t.co/8BN6IGbDMU
Youtube: https://t.co/x2WH9DgOHF
More Articles: https://t.co/4sbQL4kPSo
#CorredorMineroDelSur #MMG #PeruvianEpiscopalConference 
https://t.co/Q4Lqe1aTDy</v>
      </c>
      <c r="C1985" s="2" t="s">
        <v>4658</v>
      </c>
      <c r="D1985" s="1" t="s">
        <v>4653</v>
      </c>
    </row>
    <row r="1986" spans="1:4" x14ac:dyDescent="0.15">
      <c r="A1986" s="1" t="s">
        <v>3968</v>
      </c>
      <c r="B1986" s="3" t="str">
        <f ca="1">IFERROR(__xludf.DUMMYFUNCTION("GOOGLETRANSLATE(B1986,""es"",""en"")"),"RT @Ojo_Publico: #OjoAlDato Four communities that were advised by the Chávez Sotelo appeared in the preliminary registry of indigenous peoples prepared by the Ministry of Culture but were later removed in the publication of the official database in 2015. "&amp;"https://t .co/DqPEBj2iRk")</f>
        <v>RT @Ojo_Publico: #OjoAlDato Four communities that were advised by the Chávez Sotelo appeared in the preliminary registry of indigenous peoples prepared by the Ministry of Culture but were later removed in the publication of the official database in 2015. https://t .co/DqPEBj2iRk</v>
      </c>
      <c r="C1986" s="2" t="s">
        <v>4659</v>
      </c>
      <c r="D1986" s="1" t="s">
        <v>4660</v>
      </c>
    </row>
    <row r="1987" spans="1:4" x14ac:dyDescent="0.15">
      <c r="A1987" s="1" t="s">
        <v>4661</v>
      </c>
      <c r="B1987" s="3" t="str">
        <f ca="1">IFERROR(__xludf.DUMMYFUNCTION("GOOGLETRANSLATE(B1987,""es"",""en"")"),"RT @alvarosarco: Road to Las Bambas mine remains blocked. @MartinVizcarraC and @saldelsol have looked like two idiots. That means sitting down to negotiate without first demanding that the road be unblocked. Inept and cowardly government #MineduSinMoral #"&amp;"GéneroNoVa")</f>
        <v>RT @alvarosarco: Road to Las Bambas mine remains blocked. @MartinVizcarraC and @saldelsol have looked like two idiots. That means sitting down to negotiate without first demanding that the road be unblocked. Inept and cowardly government #MineduSinMoral #GéneroNoVa</v>
      </c>
      <c r="C1987" s="2" t="s">
        <v>4662</v>
      </c>
      <c r="D1987" s="1" t="s">
        <v>4660</v>
      </c>
    </row>
    <row r="1988" spans="1:4" x14ac:dyDescent="0.15">
      <c r="A1988" s="1" t="s">
        <v>2028</v>
      </c>
      <c r="B1988" s="3" t="str">
        <f ca="1">IFERROR(__xludf.DUMMYFUNCTION("GOOGLETRANSLATE(B1988,""es"",""en"")"),"RT @meiermq: Ayayay, one of the reasons why you should NOT ""talk"" in Lima 👉🏽https://t.co/LjDqV5ZglS")</f>
        <v>RT @meiermq: Ayayay, one of the reasons why you should NOT "talk" in Lima 👉🏽https://t.co/LjDqV5ZglS</v>
      </c>
      <c r="C1988" s="2" t="s">
        <v>4663</v>
      </c>
      <c r="D1988" s="1" t="s">
        <v>4660</v>
      </c>
    </row>
    <row r="1989" spans="1:4" x14ac:dyDescent="0.15">
      <c r="A1989" s="1" t="s">
        <v>4664</v>
      </c>
      <c r="B1989" s="3" t="str">
        <f ca="1">IFERROR(__xludf.DUMMYFUNCTION("GOOGLETRANSLATE(B1989,""es"",""en"")"),"While Las Bambas and other places wait, President Vizcarra removes space for the ministers to fulfill their functions. FIGURETISM OR SIMPLY CARE OF A RADISH WHAT HAPPENS DUE TO THE ABSENCE OF GOVERNMENT IN THE COUNTRY? https://t.co/SrSKWQuibI")</f>
        <v>While Las Bambas and other places wait, President Vizcarra removes space for the ministers to fulfill their functions. FIGURETISM OR SIMPLY CARE OF A RADISH WHAT HAPPENS DUE TO THE ABSENCE OF GOVERNMENT IN THE COUNTRY? https://t.co/SrSKWQuibI</v>
      </c>
      <c r="C1989" s="2" t="s">
        <v>4665</v>
      </c>
      <c r="D1989" s="1" t="s">
        <v>4666</v>
      </c>
    </row>
    <row r="1990" spans="1:4" x14ac:dyDescent="0.15">
      <c r="A1990" s="1" t="s">
        <v>1451</v>
      </c>
      <c r="B1990" s="3" t="str">
        <f ca="1">IFERROR(__xludf.DUMMYFUNCTION("GOOGLETRANSLATE(B1990,""es"",""en"")"),"RT @Pedro_vrae: #Bambas: before the arrest of the brothers. Chávez Sotelo, Paredes Terry interviewed one of these lawyers and reported an alleged police persecution. Then Paredes Terry became an ""advisor"" to Fuerabamba due to the imposition of 'Los Chav"&amp;"elos' https://t.co/xU9hUTV87a")</f>
        <v>RT @Pedro_vrae: #Bambas: before the arrest of the brothers. Chávez Sotelo, Paredes Terry interviewed one of these lawyers and reported an alleged police persecution. Then Paredes Terry became an "advisor" to Fuerabamba due to the imposition of 'Los Chavelos' https://t.co/xU9hUTV87a</v>
      </c>
      <c r="C1990" s="2" t="s">
        <v>4667</v>
      </c>
      <c r="D1990" s="1" t="s">
        <v>4668</v>
      </c>
    </row>
    <row r="1991" spans="1:4" x14ac:dyDescent="0.15">
      <c r="A1991" s="1" t="s">
        <v>4669</v>
      </c>
      <c r="B1991" s="3" t="str">
        <f ca="1">IFERROR(__xludf.DUMMYFUNCTION("GOOGLETRANSLATE(B1991,""es"",""en"")"),"RT @alvarosarco: Road to Las Bambas mine remains blocked. @MartinVizcarraC and @saldelsol have looked like two idiots. That means sitting down to negotiate without first demanding that the road be unblocked. Inept and cowardly government #MineduSinMoral #"&amp;"GéneroNoVa")</f>
        <v>RT @alvarosarco: Road to Las Bambas mine remains blocked. @MartinVizcarraC and @saldelsol have looked like two idiots. That means sitting down to negotiate without first demanding that the road be unblocked. Inept and cowardly government #MineduSinMoral #GéneroNoVa</v>
      </c>
      <c r="C1991" s="2" t="s">
        <v>4670</v>
      </c>
      <c r="D1991" s="1" t="s">
        <v>4671</v>
      </c>
    </row>
    <row r="1992" spans="1:4" x14ac:dyDescent="0.15">
      <c r="A1992" s="1" t="s">
        <v>4672</v>
      </c>
      <c r="B1992" s="3" t="str">
        <f ca="1">IFERROR(__xludf.DUMMYFUNCTION("GOOGLETRANSLATE(B1992,""es"",""en"")"),"RT @Gregorio_Goyo: #LasBambas. The fields of Pumamarca, an area of ​​direct influence of Las Bambas, are filled with tear gas. The representatives of the neoliberal State have no way out. Today the dialogue broke down in Chumbivilcas. The resistance begin"&amp;"s to become indefinite. https://t.co/2jm69UeTar")</f>
        <v>RT @Gregorio_Goyo: #LasBambas. The fields of Pumamarca, an area of ​​direct influence of Las Bambas, are filled with tear gas. The representatives of the neoliberal State have no way out. Today the dialogue broke down in Chumbivilcas. The resistance begins to become indefinite. https://t.co/2jm69UeTar</v>
      </c>
      <c r="C1992" s="2" t="s">
        <v>4673</v>
      </c>
      <c r="D1992" s="1" t="s">
        <v>4671</v>
      </c>
    </row>
    <row r="1993" spans="1:4" x14ac:dyDescent="0.15">
      <c r="A1993" s="1" t="s">
        <v>4674</v>
      </c>
      <c r="B1993" s="3" t="str">
        <f ca="1">IFERROR(__xludf.DUMMYFUNCTION("GOOGLETRANSLATE(B1993,""es"",""en"")"),"RT @Latina_Noticias: 🔴 #90Central LIVE | @JulianaOxenford interviews @RichardArcePeru, congressman of @NuevoPeruGP for Apurímac, about unblocking access to Las Bambas ▶ https://t.co/gSqqNy81oY https://t.co/PPo1ZkTIBd")</f>
        <v>RT @Latina_Noticias: 🔴 #90Central LIVE | @JulianaOxenford interviews @RichardArcePeru, congressman of @NuevoPeruGP for Apurímac, about unblocking access to Las Bambas ▶ https://t.co/gSqqNy81oY https://t.co/PPo1ZkTIBd</v>
      </c>
      <c r="C1993" s="2" t="s">
        <v>4675</v>
      </c>
      <c r="D1993" s="1" t="s">
        <v>4676</v>
      </c>
    </row>
    <row r="1994" spans="1:4" x14ac:dyDescent="0.15">
      <c r="A1994" s="1" t="s">
        <v>1666</v>
      </c>
      <c r="B1994" s="3" t="str">
        <f ca="1">IFERROR(__xludf.DUMMYFUNCTION("GOOGLETRANSLATE(B1994,""es"",""en"")"),"RT @alfonsobaella: Hernando de Soto on Las Bambas: ""This problem is an opportunity to start a real revolution"" @ReadingSignals @saldelsol @LasBambasPeru https://t.co/1SrC3uTtxH")</f>
        <v>RT @alfonsobaella: Hernando de Soto on Las Bambas: "This problem is an opportunity to start a real revolution" @ReadingSignals @saldelsol @LasBambasPeru https://t.co/1SrC3uTtxH</v>
      </c>
      <c r="C1994" s="2" t="s">
        <v>4677</v>
      </c>
      <c r="D1994" s="1" t="s">
        <v>4678</v>
      </c>
    </row>
    <row r="1995" spans="1:4" x14ac:dyDescent="0.15">
      <c r="A1995" s="1" t="s">
        <v>4679</v>
      </c>
      <c r="B1995" s="3" t="str">
        <f ca="1">IFERROR(__xludf.DUMMYFUNCTION("GOOGLETRANSLATE(B1995,""es"",""en"")"),"RT @JulianaOxenford: Live on @Latina_pe. If you want to know what is happening in Las Bambas and what could happen, don't miss the program.")</f>
        <v>RT @JulianaOxenford: Live on @Latina_pe. If you want to know what is happening in Las Bambas and what could happen, don't miss the program.</v>
      </c>
      <c r="C1995" s="2" t="s">
        <v>4680</v>
      </c>
      <c r="D1995" s="1" t="s">
        <v>4678</v>
      </c>
    </row>
    <row r="1996" spans="1:4" x14ac:dyDescent="0.15">
      <c r="A1996" s="1" t="s">
        <v>4681</v>
      </c>
      <c r="B1996" s="3" t="str">
        <f ca="1">IFERROR(__xludf.DUMMYFUNCTION("GOOGLETRANSLATE(B1996,""es"",""en"")"),"RT @DATEROPERU: #Complaint... Jorge Romero Castro, vice president of the #Andean Parliament, uses the position for his own benefit... He earns S/ 10 thousand, receives a bonus of 7,500, has 2 tanked cars, 4 drivers and 15 workers at his disposal ...On top"&amp;" of that, he charges for events, uses Bambas titles and NGOs. https://t.co/jAxYYMu0lZ")</f>
        <v>RT @DATEROPERU: #Complaint... Jorge Romero Castro, vice president of the #Andean Parliament, uses the position for his own benefit... He earns S/ 10 thousand, receives a bonus of 7,500, has 2 tanked cars, 4 drivers and 15 workers at his disposal ...On top of that, he charges for events, uses Bambas titles and NGOs. https://t.co/jAxYYMu0lZ</v>
      </c>
      <c r="C1996" s="2" t="s">
        <v>4682</v>
      </c>
      <c r="D1996" s="1" t="s">
        <v>4678</v>
      </c>
    </row>
    <row r="1997" spans="1:4" x14ac:dyDescent="0.15">
      <c r="A1997" s="1" t="s">
        <v>4683</v>
      </c>
      <c r="B1997" s="3" t="str">
        <f ca="1">IFERROR(__xludf.DUMMYFUNCTION("GOOGLETRANSLATE(B1997,""es"",""en"")"),"RT @alvarosarco: Road to Las Bambas mine remains blocked. @MartinVizcarraC and @saldelsol have looked like two idiots. That means sitting down to negotiate without first demanding that the road be unblocked. Inept and cowardly government #MineduSinMoral #"&amp;"GéneroNoVa")</f>
        <v>RT @alvarosarco: Road to Las Bambas mine remains blocked. @MartinVizcarraC and @saldelsol have looked like two idiots. That means sitting down to negotiate without first demanding that the road be unblocked. Inept and cowardly government #MineduSinMoral #GéneroNoVa</v>
      </c>
      <c r="C1997" s="2" t="s">
        <v>4684</v>
      </c>
      <c r="D1997" s="1" t="s">
        <v>4685</v>
      </c>
    </row>
    <row r="1998" spans="1:4" x14ac:dyDescent="0.15">
      <c r="A1998" s="1" t="s">
        <v>4686</v>
      </c>
      <c r="B1998" s="3" t="str">
        <f ca="1">IFERROR(__xludf.DUMMYFUNCTION("GOOGLETRANSLATE(B1998,""es"",""en"")"),"#luiszeamed I salute Juliana Oxenford's position, regarding the Bambas and the right of the peasant-original communities of Apurímac, objective, humanist, inclusive, Peru needs changes in the mentality of its rulers, without going to extremes, it leads to"&amp;" reflection")</f>
        <v>#luiszeamed I salute Juliana Oxenford's position, regarding the Bambas and the right of the peasant-original communities of Apurímac, objective, humanist, inclusive, Peru needs changes in the mentality of its rulers, without going to extremes, it leads to reflection</v>
      </c>
      <c r="C1998" s="2" t="s">
        <v>4687</v>
      </c>
      <c r="D1998" s="1" t="s">
        <v>4688</v>
      </c>
    </row>
    <row r="1999" spans="1:4" x14ac:dyDescent="0.15">
      <c r="A1999" s="1" t="s">
        <v>231</v>
      </c>
      <c r="B1999" s="3" t="str">
        <f ca="1">IFERROR(__xludf.DUMMYFUNCTION("GOOGLETRANSLATE(B1999,""es"",""en"")"),"RT @alfonsobaella: Hernando de Soto on Las Bambas: ""This problem is an opportunity to start a real revolution"" @ReadingSignals @saldelsol @LasBambasPeru https://t.co/1SrC3uTtxH")</f>
        <v>RT @alfonsobaella: Hernando de Soto on Las Bambas: "This problem is an opportunity to start a real revolution" @ReadingSignals @saldelsol @LasBambasPeru https://t.co/1SrC3uTtxH</v>
      </c>
      <c r="C1999" s="2" t="s">
        <v>4689</v>
      </c>
      <c r="D1999" s="1" t="s">
        <v>4688</v>
      </c>
    </row>
    <row r="2000" spans="1:4" x14ac:dyDescent="0.15">
      <c r="A2000" s="1" t="s">
        <v>4690</v>
      </c>
      <c r="B2000" s="3" t="str">
        <f ca="1">IFERROR(__xludf.DUMMYFUNCTION("GOOGLETRANSLATE(B2000,""es"",""en"")"),"RT @SalvadorHeresi: Ministers of @MineduPeru and @MTC_GobPeru showing disastrous efforts in the midst of deaths and garbage books that our children read. While Minister of @MimpPeru wastes Peruvians' time defending gay marriage. And in the Bambas they mak"&amp;"e fun of @pcmperu #DesgobiernoTotal https://t.co/KzJNm8sRk5")</f>
        <v>RT @SalvadorHeresi: Ministers of @MineduPeru and @MTC_GobPeru showing disastrous efforts in the midst of deaths and garbage books that our children read. While Minister of @MimpPeru wastes Peruvians' time defending gay marriage. And in the Bambas they make fun of @pcmperu #DesgobiernoTotal https://t.co/KzJNm8sRk5</v>
      </c>
      <c r="C2000" s="2" t="s">
        <v>4691</v>
      </c>
      <c r="D2000" s="1" t="s">
        <v>4692</v>
      </c>
    </row>
  </sheetData>
  <hyperlinks>
    <hyperlink ref="C1" r:id="rId1" xr:uid="{00000000-0004-0000-0100-000000000000}"/>
    <hyperlink ref="C2" r:id="rId2" xr:uid="{00000000-0004-0000-0100-000001000000}"/>
    <hyperlink ref="C3" r:id="rId3" xr:uid="{00000000-0004-0000-0100-000002000000}"/>
    <hyperlink ref="C4" r:id="rId4" xr:uid="{00000000-0004-0000-0100-000003000000}"/>
    <hyperlink ref="C5" r:id="rId5" xr:uid="{00000000-0004-0000-0100-000004000000}"/>
    <hyperlink ref="C6" r:id="rId6" xr:uid="{00000000-0004-0000-0100-000005000000}"/>
    <hyperlink ref="C7" r:id="rId7" xr:uid="{00000000-0004-0000-0100-000006000000}"/>
    <hyperlink ref="C8" r:id="rId8" xr:uid="{00000000-0004-0000-0100-000007000000}"/>
    <hyperlink ref="C9" r:id="rId9" xr:uid="{00000000-0004-0000-0100-000008000000}"/>
    <hyperlink ref="C10" r:id="rId10" xr:uid="{00000000-0004-0000-0100-000009000000}"/>
    <hyperlink ref="C11" r:id="rId11" xr:uid="{00000000-0004-0000-0100-00000A000000}"/>
    <hyperlink ref="C12" r:id="rId12" xr:uid="{00000000-0004-0000-0100-00000B000000}"/>
    <hyperlink ref="C13" r:id="rId13" xr:uid="{00000000-0004-0000-0100-00000C000000}"/>
    <hyperlink ref="C14" r:id="rId14" xr:uid="{00000000-0004-0000-0100-00000D000000}"/>
    <hyperlink ref="C15" r:id="rId15" xr:uid="{00000000-0004-0000-0100-00000E000000}"/>
    <hyperlink ref="C16" r:id="rId16" xr:uid="{00000000-0004-0000-0100-00000F000000}"/>
    <hyperlink ref="C17" r:id="rId17" xr:uid="{00000000-0004-0000-0100-000010000000}"/>
    <hyperlink ref="C18" r:id="rId18" xr:uid="{00000000-0004-0000-0100-000011000000}"/>
    <hyperlink ref="C19" r:id="rId19" xr:uid="{00000000-0004-0000-0100-000012000000}"/>
    <hyperlink ref="C20" r:id="rId20" xr:uid="{00000000-0004-0000-0100-000013000000}"/>
    <hyperlink ref="C21" r:id="rId21" xr:uid="{00000000-0004-0000-0100-000014000000}"/>
    <hyperlink ref="C22" r:id="rId22" xr:uid="{00000000-0004-0000-0100-000015000000}"/>
    <hyperlink ref="C23" r:id="rId23" xr:uid="{00000000-0004-0000-0100-000016000000}"/>
    <hyperlink ref="C24" r:id="rId24" xr:uid="{00000000-0004-0000-0100-000017000000}"/>
    <hyperlink ref="C25" r:id="rId25" xr:uid="{00000000-0004-0000-0100-000018000000}"/>
    <hyperlink ref="C26" r:id="rId26" xr:uid="{00000000-0004-0000-0100-000019000000}"/>
    <hyperlink ref="C27" r:id="rId27" xr:uid="{00000000-0004-0000-0100-00001A000000}"/>
    <hyperlink ref="C28" r:id="rId28" xr:uid="{00000000-0004-0000-0100-00001B000000}"/>
    <hyperlink ref="C29" r:id="rId29" xr:uid="{00000000-0004-0000-0100-00001C000000}"/>
    <hyperlink ref="C30" r:id="rId30" xr:uid="{00000000-0004-0000-0100-00001D000000}"/>
    <hyperlink ref="C31" r:id="rId31" xr:uid="{00000000-0004-0000-0100-00001E000000}"/>
    <hyperlink ref="C32" r:id="rId32" xr:uid="{00000000-0004-0000-0100-00001F000000}"/>
    <hyperlink ref="C33" r:id="rId33" xr:uid="{00000000-0004-0000-0100-000020000000}"/>
    <hyperlink ref="C34" r:id="rId34" xr:uid="{00000000-0004-0000-0100-000021000000}"/>
    <hyperlink ref="C35" r:id="rId35" xr:uid="{00000000-0004-0000-0100-000022000000}"/>
    <hyperlink ref="C36" r:id="rId36" xr:uid="{00000000-0004-0000-0100-000023000000}"/>
    <hyperlink ref="C37" r:id="rId37" xr:uid="{00000000-0004-0000-0100-000024000000}"/>
    <hyperlink ref="C38" r:id="rId38" xr:uid="{00000000-0004-0000-0100-000025000000}"/>
    <hyperlink ref="C39" r:id="rId39" xr:uid="{00000000-0004-0000-0100-000026000000}"/>
    <hyperlink ref="C40" r:id="rId40" xr:uid="{00000000-0004-0000-0100-000027000000}"/>
    <hyperlink ref="C41" r:id="rId41" xr:uid="{00000000-0004-0000-0100-000028000000}"/>
    <hyperlink ref="C42" r:id="rId42" xr:uid="{00000000-0004-0000-0100-000029000000}"/>
    <hyperlink ref="C43" r:id="rId43" xr:uid="{00000000-0004-0000-0100-00002A000000}"/>
    <hyperlink ref="C44" r:id="rId44" xr:uid="{00000000-0004-0000-0100-00002B000000}"/>
    <hyperlink ref="C45" r:id="rId45" xr:uid="{00000000-0004-0000-0100-00002C000000}"/>
    <hyperlink ref="C46" r:id="rId46" xr:uid="{00000000-0004-0000-0100-00002D000000}"/>
    <hyperlink ref="C47" r:id="rId47" xr:uid="{00000000-0004-0000-0100-00002E000000}"/>
    <hyperlink ref="C48" r:id="rId48" xr:uid="{00000000-0004-0000-0100-00002F000000}"/>
    <hyperlink ref="C49" r:id="rId49" xr:uid="{00000000-0004-0000-0100-000030000000}"/>
    <hyperlink ref="C50" r:id="rId50" xr:uid="{00000000-0004-0000-0100-000031000000}"/>
    <hyperlink ref="C51" r:id="rId51" xr:uid="{00000000-0004-0000-0100-000032000000}"/>
    <hyperlink ref="C52" r:id="rId52" xr:uid="{00000000-0004-0000-0100-000033000000}"/>
    <hyperlink ref="C53" r:id="rId53" xr:uid="{00000000-0004-0000-0100-000034000000}"/>
    <hyperlink ref="C54" r:id="rId54" xr:uid="{00000000-0004-0000-0100-000035000000}"/>
    <hyperlink ref="C55" r:id="rId55" xr:uid="{00000000-0004-0000-0100-000036000000}"/>
    <hyperlink ref="C56" r:id="rId56" xr:uid="{00000000-0004-0000-0100-000037000000}"/>
    <hyperlink ref="C57" r:id="rId57" xr:uid="{00000000-0004-0000-0100-000038000000}"/>
    <hyperlink ref="C58" r:id="rId58" xr:uid="{00000000-0004-0000-0100-000039000000}"/>
    <hyperlink ref="C59" r:id="rId59" xr:uid="{00000000-0004-0000-0100-00003A000000}"/>
    <hyperlink ref="C60" r:id="rId60" xr:uid="{00000000-0004-0000-0100-00003B000000}"/>
    <hyperlink ref="C61" r:id="rId61" xr:uid="{00000000-0004-0000-0100-00003C000000}"/>
    <hyperlink ref="C62" r:id="rId62" xr:uid="{00000000-0004-0000-0100-00003D000000}"/>
    <hyperlink ref="C63" r:id="rId63" xr:uid="{00000000-0004-0000-0100-00003E000000}"/>
    <hyperlink ref="C64" r:id="rId64" xr:uid="{00000000-0004-0000-0100-00003F000000}"/>
    <hyperlink ref="C65" r:id="rId65" xr:uid="{00000000-0004-0000-0100-000040000000}"/>
    <hyperlink ref="C66" r:id="rId66" xr:uid="{00000000-0004-0000-0100-000041000000}"/>
    <hyperlink ref="C67" r:id="rId67" xr:uid="{00000000-0004-0000-0100-000042000000}"/>
    <hyperlink ref="C68" r:id="rId68" xr:uid="{00000000-0004-0000-0100-000043000000}"/>
    <hyperlink ref="C69" r:id="rId69" xr:uid="{00000000-0004-0000-0100-000044000000}"/>
    <hyperlink ref="C70" r:id="rId70" xr:uid="{00000000-0004-0000-0100-000045000000}"/>
    <hyperlink ref="C71" r:id="rId71" xr:uid="{00000000-0004-0000-0100-000046000000}"/>
    <hyperlink ref="C72" r:id="rId72" xr:uid="{00000000-0004-0000-0100-000047000000}"/>
    <hyperlink ref="C73" r:id="rId73" xr:uid="{00000000-0004-0000-0100-000048000000}"/>
    <hyperlink ref="C74" r:id="rId74" xr:uid="{00000000-0004-0000-0100-000049000000}"/>
    <hyperlink ref="C75" r:id="rId75" xr:uid="{00000000-0004-0000-0100-00004A000000}"/>
    <hyperlink ref="C76" r:id="rId76" xr:uid="{00000000-0004-0000-0100-00004B000000}"/>
    <hyperlink ref="C77" r:id="rId77" xr:uid="{00000000-0004-0000-0100-00004C000000}"/>
    <hyperlink ref="C78" r:id="rId78" xr:uid="{00000000-0004-0000-0100-00004D000000}"/>
    <hyperlink ref="C79" r:id="rId79" xr:uid="{00000000-0004-0000-0100-00004E000000}"/>
    <hyperlink ref="C80" r:id="rId80" xr:uid="{00000000-0004-0000-0100-00004F000000}"/>
    <hyperlink ref="C81" r:id="rId81" xr:uid="{00000000-0004-0000-0100-000050000000}"/>
    <hyperlink ref="C82" r:id="rId82" xr:uid="{00000000-0004-0000-0100-000051000000}"/>
    <hyperlink ref="C83" r:id="rId83" xr:uid="{00000000-0004-0000-0100-000052000000}"/>
    <hyperlink ref="C84" r:id="rId84" xr:uid="{00000000-0004-0000-0100-000053000000}"/>
    <hyperlink ref="C85" r:id="rId85" xr:uid="{00000000-0004-0000-0100-000054000000}"/>
    <hyperlink ref="C86" r:id="rId86" xr:uid="{00000000-0004-0000-0100-000055000000}"/>
    <hyperlink ref="C87" r:id="rId87" xr:uid="{00000000-0004-0000-0100-000056000000}"/>
    <hyperlink ref="C88" r:id="rId88" xr:uid="{00000000-0004-0000-0100-000057000000}"/>
    <hyperlink ref="C89" r:id="rId89" xr:uid="{00000000-0004-0000-0100-000058000000}"/>
    <hyperlink ref="C90" r:id="rId90" xr:uid="{00000000-0004-0000-0100-000059000000}"/>
    <hyperlink ref="C91" r:id="rId91" xr:uid="{00000000-0004-0000-0100-00005A000000}"/>
    <hyperlink ref="C92" r:id="rId92" xr:uid="{00000000-0004-0000-0100-00005B000000}"/>
    <hyperlink ref="C93" r:id="rId93" xr:uid="{00000000-0004-0000-0100-00005C000000}"/>
    <hyperlink ref="C94" r:id="rId94" xr:uid="{00000000-0004-0000-0100-00005D000000}"/>
    <hyperlink ref="C95" r:id="rId95" xr:uid="{00000000-0004-0000-0100-00005E000000}"/>
    <hyperlink ref="C96" r:id="rId96" xr:uid="{00000000-0004-0000-0100-00005F000000}"/>
    <hyperlink ref="C97" r:id="rId97" xr:uid="{00000000-0004-0000-0100-000060000000}"/>
    <hyperlink ref="C98" r:id="rId98" xr:uid="{00000000-0004-0000-0100-000061000000}"/>
    <hyperlink ref="C99" r:id="rId99" xr:uid="{00000000-0004-0000-0100-000062000000}"/>
    <hyperlink ref="C100" r:id="rId100" xr:uid="{00000000-0004-0000-0100-000063000000}"/>
    <hyperlink ref="C101" r:id="rId101" xr:uid="{00000000-0004-0000-0100-000064000000}"/>
    <hyperlink ref="C102" r:id="rId102" xr:uid="{00000000-0004-0000-0100-000065000000}"/>
    <hyperlink ref="C103" r:id="rId103" xr:uid="{00000000-0004-0000-0100-000066000000}"/>
    <hyperlink ref="C104" r:id="rId104" xr:uid="{00000000-0004-0000-0100-000067000000}"/>
    <hyperlink ref="C105" r:id="rId105" xr:uid="{00000000-0004-0000-0100-000068000000}"/>
    <hyperlink ref="C106" r:id="rId106" xr:uid="{00000000-0004-0000-0100-000069000000}"/>
    <hyperlink ref="C107" r:id="rId107" xr:uid="{00000000-0004-0000-0100-00006A000000}"/>
    <hyperlink ref="C108" r:id="rId108" xr:uid="{00000000-0004-0000-0100-00006B000000}"/>
    <hyperlink ref="C109" r:id="rId109" xr:uid="{00000000-0004-0000-0100-00006C000000}"/>
    <hyperlink ref="C110" r:id="rId110" xr:uid="{00000000-0004-0000-0100-00006D000000}"/>
    <hyperlink ref="C111" r:id="rId111" xr:uid="{00000000-0004-0000-0100-00006E000000}"/>
    <hyperlink ref="C112" r:id="rId112" xr:uid="{00000000-0004-0000-0100-00006F000000}"/>
    <hyperlink ref="C113" r:id="rId113" xr:uid="{00000000-0004-0000-0100-000070000000}"/>
    <hyperlink ref="C114" r:id="rId114" xr:uid="{00000000-0004-0000-0100-000071000000}"/>
    <hyperlink ref="C115" r:id="rId115" xr:uid="{00000000-0004-0000-0100-000072000000}"/>
    <hyperlink ref="C116" r:id="rId116" xr:uid="{00000000-0004-0000-0100-000073000000}"/>
    <hyperlink ref="C117" r:id="rId117" xr:uid="{00000000-0004-0000-0100-000074000000}"/>
    <hyperlink ref="C118" r:id="rId118" xr:uid="{00000000-0004-0000-0100-000075000000}"/>
    <hyperlink ref="C119" r:id="rId119" xr:uid="{00000000-0004-0000-0100-000076000000}"/>
    <hyperlink ref="C120" r:id="rId120" xr:uid="{00000000-0004-0000-0100-000077000000}"/>
    <hyperlink ref="C121" r:id="rId121" xr:uid="{00000000-0004-0000-0100-000078000000}"/>
    <hyperlink ref="C122" r:id="rId122" xr:uid="{00000000-0004-0000-0100-000079000000}"/>
    <hyperlink ref="C123" r:id="rId123" xr:uid="{00000000-0004-0000-0100-00007A000000}"/>
    <hyperlink ref="C124" r:id="rId124" xr:uid="{00000000-0004-0000-0100-00007B000000}"/>
    <hyperlink ref="C125" r:id="rId125" xr:uid="{00000000-0004-0000-0100-00007C000000}"/>
    <hyperlink ref="C126" r:id="rId126" xr:uid="{00000000-0004-0000-0100-00007D000000}"/>
    <hyperlink ref="C127" r:id="rId127" xr:uid="{00000000-0004-0000-0100-00007E000000}"/>
    <hyperlink ref="C128" r:id="rId128" xr:uid="{00000000-0004-0000-0100-00007F000000}"/>
    <hyperlink ref="C129" r:id="rId129" xr:uid="{00000000-0004-0000-0100-000080000000}"/>
    <hyperlink ref="C130" r:id="rId130" xr:uid="{00000000-0004-0000-0100-000081000000}"/>
    <hyperlink ref="C131" r:id="rId131" xr:uid="{00000000-0004-0000-0100-000082000000}"/>
    <hyperlink ref="C132" r:id="rId132" xr:uid="{00000000-0004-0000-0100-000083000000}"/>
    <hyperlink ref="C133" r:id="rId133" xr:uid="{00000000-0004-0000-0100-000084000000}"/>
    <hyperlink ref="C134" r:id="rId134" xr:uid="{00000000-0004-0000-0100-000085000000}"/>
    <hyperlink ref="C135" r:id="rId135" xr:uid="{00000000-0004-0000-0100-000086000000}"/>
    <hyperlink ref="C136" r:id="rId136" xr:uid="{00000000-0004-0000-0100-000087000000}"/>
    <hyperlink ref="C137" r:id="rId137" xr:uid="{00000000-0004-0000-0100-000088000000}"/>
    <hyperlink ref="C138" r:id="rId138" xr:uid="{00000000-0004-0000-0100-000089000000}"/>
    <hyperlink ref="C139" r:id="rId139" xr:uid="{00000000-0004-0000-0100-00008A000000}"/>
    <hyperlink ref="C140" r:id="rId140" xr:uid="{00000000-0004-0000-0100-00008B000000}"/>
    <hyperlink ref="C141" r:id="rId141" xr:uid="{00000000-0004-0000-0100-00008C000000}"/>
    <hyperlink ref="C142" r:id="rId142" xr:uid="{00000000-0004-0000-0100-00008D000000}"/>
    <hyperlink ref="C143" r:id="rId143" xr:uid="{00000000-0004-0000-0100-00008E000000}"/>
    <hyperlink ref="C144" r:id="rId144" xr:uid="{00000000-0004-0000-0100-00008F000000}"/>
    <hyperlink ref="C145" r:id="rId145" xr:uid="{00000000-0004-0000-0100-000090000000}"/>
    <hyperlink ref="C146" r:id="rId146" xr:uid="{00000000-0004-0000-0100-000091000000}"/>
    <hyperlink ref="C147" r:id="rId147" xr:uid="{00000000-0004-0000-0100-000092000000}"/>
    <hyperlink ref="C148" r:id="rId148" xr:uid="{00000000-0004-0000-0100-000093000000}"/>
    <hyperlink ref="C149" r:id="rId149" xr:uid="{00000000-0004-0000-0100-000094000000}"/>
    <hyperlink ref="C150" r:id="rId150" xr:uid="{00000000-0004-0000-0100-000095000000}"/>
    <hyperlink ref="C151" r:id="rId151" xr:uid="{00000000-0004-0000-0100-000096000000}"/>
    <hyperlink ref="C152" r:id="rId152" xr:uid="{00000000-0004-0000-0100-000097000000}"/>
    <hyperlink ref="C153" r:id="rId153" xr:uid="{00000000-0004-0000-0100-000098000000}"/>
    <hyperlink ref="C154" r:id="rId154" xr:uid="{00000000-0004-0000-0100-000099000000}"/>
    <hyperlink ref="C155" r:id="rId155" xr:uid="{00000000-0004-0000-0100-00009A000000}"/>
    <hyperlink ref="C156" r:id="rId156" xr:uid="{00000000-0004-0000-0100-00009B000000}"/>
    <hyperlink ref="C157" r:id="rId157" xr:uid="{00000000-0004-0000-0100-00009C000000}"/>
    <hyperlink ref="C158" r:id="rId158" xr:uid="{00000000-0004-0000-0100-00009D000000}"/>
    <hyperlink ref="C159" r:id="rId159" xr:uid="{00000000-0004-0000-0100-00009E000000}"/>
    <hyperlink ref="C160" r:id="rId160" xr:uid="{00000000-0004-0000-0100-00009F000000}"/>
    <hyperlink ref="C161" r:id="rId161" xr:uid="{00000000-0004-0000-0100-0000A0000000}"/>
    <hyperlink ref="C162" r:id="rId162" xr:uid="{00000000-0004-0000-0100-0000A1000000}"/>
    <hyperlink ref="C163" r:id="rId163" xr:uid="{00000000-0004-0000-0100-0000A2000000}"/>
    <hyperlink ref="C164" r:id="rId164" xr:uid="{00000000-0004-0000-0100-0000A3000000}"/>
    <hyperlink ref="C165" r:id="rId165" xr:uid="{00000000-0004-0000-0100-0000A4000000}"/>
    <hyperlink ref="C166" r:id="rId166" xr:uid="{00000000-0004-0000-0100-0000A5000000}"/>
    <hyperlink ref="C167" r:id="rId167" xr:uid="{00000000-0004-0000-0100-0000A6000000}"/>
    <hyperlink ref="C168" r:id="rId168" xr:uid="{00000000-0004-0000-0100-0000A7000000}"/>
    <hyperlink ref="C169" r:id="rId169" xr:uid="{00000000-0004-0000-0100-0000A8000000}"/>
    <hyperlink ref="C170" r:id="rId170" xr:uid="{00000000-0004-0000-0100-0000A9000000}"/>
    <hyperlink ref="C171" r:id="rId171" xr:uid="{00000000-0004-0000-0100-0000AA000000}"/>
    <hyperlink ref="C172" r:id="rId172" xr:uid="{00000000-0004-0000-0100-0000AB000000}"/>
    <hyperlink ref="C173" r:id="rId173" xr:uid="{00000000-0004-0000-0100-0000AC000000}"/>
    <hyperlink ref="C174" r:id="rId174" xr:uid="{00000000-0004-0000-0100-0000AD000000}"/>
    <hyperlink ref="C175" r:id="rId175" xr:uid="{00000000-0004-0000-0100-0000AE000000}"/>
    <hyperlink ref="C176" r:id="rId176" xr:uid="{00000000-0004-0000-0100-0000AF000000}"/>
    <hyperlink ref="C177" r:id="rId177" xr:uid="{00000000-0004-0000-0100-0000B0000000}"/>
    <hyperlink ref="C178" r:id="rId178" xr:uid="{00000000-0004-0000-0100-0000B1000000}"/>
    <hyperlink ref="C179" r:id="rId179" xr:uid="{00000000-0004-0000-0100-0000B2000000}"/>
    <hyperlink ref="C180" r:id="rId180" xr:uid="{00000000-0004-0000-0100-0000B3000000}"/>
    <hyperlink ref="C181" r:id="rId181" xr:uid="{00000000-0004-0000-0100-0000B4000000}"/>
    <hyperlink ref="C182" r:id="rId182" xr:uid="{00000000-0004-0000-0100-0000B5000000}"/>
    <hyperlink ref="C183" r:id="rId183" xr:uid="{00000000-0004-0000-0100-0000B6000000}"/>
    <hyperlink ref="C184" r:id="rId184" xr:uid="{00000000-0004-0000-0100-0000B7000000}"/>
    <hyperlink ref="C185" r:id="rId185" xr:uid="{00000000-0004-0000-0100-0000B8000000}"/>
    <hyperlink ref="C186" r:id="rId186" xr:uid="{00000000-0004-0000-0100-0000B9000000}"/>
    <hyperlink ref="C187" r:id="rId187" xr:uid="{00000000-0004-0000-0100-0000BA000000}"/>
    <hyperlink ref="C188" r:id="rId188" xr:uid="{00000000-0004-0000-0100-0000BB000000}"/>
    <hyperlink ref="C189" r:id="rId189" xr:uid="{00000000-0004-0000-0100-0000BC000000}"/>
    <hyperlink ref="C190" r:id="rId190" xr:uid="{00000000-0004-0000-0100-0000BD000000}"/>
    <hyperlink ref="C191" r:id="rId191" xr:uid="{00000000-0004-0000-0100-0000BE000000}"/>
    <hyperlink ref="C192" r:id="rId192" xr:uid="{00000000-0004-0000-0100-0000BF000000}"/>
    <hyperlink ref="C193" r:id="rId193" xr:uid="{00000000-0004-0000-0100-0000C0000000}"/>
    <hyperlink ref="C194" r:id="rId194" xr:uid="{00000000-0004-0000-0100-0000C1000000}"/>
    <hyperlink ref="C195" r:id="rId195" xr:uid="{00000000-0004-0000-0100-0000C2000000}"/>
    <hyperlink ref="C196" r:id="rId196" xr:uid="{00000000-0004-0000-0100-0000C3000000}"/>
    <hyperlink ref="C197" r:id="rId197" xr:uid="{00000000-0004-0000-0100-0000C4000000}"/>
    <hyperlink ref="C198" r:id="rId198" xr:uid="{00000000-0004-0000-0100-0000C5000000}"/>
    <hyperlink ref="C199" r:id="rId199" xr:uid="{00000000-0004-0000-0100-0000C6000000}"/>
    <hyperlink ref="C200" r:id="rId200" xr:uid="{00000000-0004-0000-0100-0000C7000000}"/>
    <hyperlink ref="C201" r:id="rId201" xr:uid="{00000000-0004-0000-0100-0000C8000000}"/>
    <hyperlink ref="C202" r:id="rId202" xr:uid="{00000000-0004-0000-0100-0000C9000000}"/>
    <hyperlink ref="C203" r:id="rId203" xr:uid="{00000000-0004-0000-0100-0000CA000000}"/>
    <hyperlink ref="C204" r:id="rId204" xr:uid="{00000000-0004-0000-0100-0000CB000000}"/>
    <hyperlink ref="C205" r:id="rId205" xr:uid="{00000000-0004-0000-0100-0000CC000000}"/>
    <hyperlink ref="C206" r:id="rId206" xr:uid="{00000000-0004-0000-0100-0000CD000000}"/>
    <hyperlink ref="C207" r:id="rId207" xr:uid="{00000000-0004-0000-0100-0000CE000000}"/>
    <hyperlink ref="C208" r:id="rId208" xr:uid="{00000000-0004-0000-0100-0000CF000000}"/>
    <hyperlink ref="C209" r:id="rId209" xr:uid="{00000000-0004-0000-0100-0000D0000000}"/>
    <hyperlink ref="C210" r:id="rId210" xr:uid="{00000000-0004-0000-0100-0000D1000000}"/>
    <hyperlink ref="C211" r:id="rId211" xr:uid="{00000000-0004-0000-0100-0000D2000000}"/>
    <hyperlink ref="C212" r:id="rId212" xr:uid="{00000000-0004-0000-0100-0000D3000000}"/>
    <hyperlink ref="C213" r:id="rId213" xr:uid="{00000000-0004-0000-0100-0000D4000000}"/>
    <hyperlink ref="C214" r:id="rId214" xr:uid="{00000000-0004-0000-0100-0000D5000000}"/>
    <hyperlink ref="C215" r:id="rId215" xr:uid="{00000000-0004-0000-0100-0000D6000000}"/>
    <hyperlink ref="C216" r:id="rId216" xr:uid="{00000000-0004-0000-0100-0000D7000000}"/>
    <hyperlink ref="C217" r:id="rId217" xr:uid="{00000000-0004-0000-0100-0000D8000000}"/>
    <hyperlink ref="C218" r:id="rId218" xr:uid="{00000000-0004-0000-0100-0000D9000000}"/>
    <hyperlink ref="C219" r:id="rId219" xr:uid="{00000000-0004-0000-0100-0000DA000000}"/>
    <hyperlink ref="C220" r:id="rId220" xr:uid="{00000000-0004-0000-0100-0000DB000000}"/>
    <hyperlink ref="C221" r:id="rId221" xr:uid="{00000000-0004-0000-0100-0000DC000000}"/>
    <hyperlink ref="C222" r:id="rId222" xr:uid="{00000000-0004-0000-0100-0000DD000000}"/>
    <hyperlink ref="C223" r:id="rId223" xr:uid="{00000000-0004-0000-0100-0000DE000000}"/>
    <hyperlink ref="C224" r:id="rId224" xr:uid="{00000000-0004-0000-0100-0000DF000000}"/>
    <hyperlink ref="C225" r:id="rId225" xr:uid="{00000000-0004-0000-0100-0000E0000000}"/>
    <hyperlink ref="C226" r:id="rId226" xr:uid="{00000000-0004-0000-0100-0000E1000000}"/>
    <hyperlink ref="C227" r:id="rId227" xr:uid="{00000000-0004-0000-0100-0000E2000000}"/>
    <hyperlink ref="C228" r:id="rId228" xr:uid="{00000000-0004-0000-0100-0000E3000000}"/>
    <hyperlink ref="C229" r:id="rId229" xr:uid="{00000000-0004-0000-0100-0000E4000000}"/>
    <hyperlink ref="C230" r:id="rId230" xr:uid="{00000000-0004-0000-0100-0000E5000000}"/>
    <hyperlink ref="C231" r:id="rId231" xr:uid="{00000000-0004-0000-0100-0000E6000000}"/>
    <hyperlink ref="C232" r:id="rId232" xr:uid="{00000000-0004-0000-0100-0000E7000000}"/>
    <hyperlink ref="C233" r:id="rId233" xr:uid="{00000000-0004-0000-0100-0000E8000000}"/>
    <hyperlink ref="C234" r:id="rId234" xr:uid="{00000000-0004-0000-0100-0000E9000000}"/>
    <hyperlink ref="C235" r:id="rId235" xr:uid="{00000000-0004-0000-0100-0000EA000000}"/>
    <hyperlink ref="C236" r:id="rId236" xr:uid="{00000000-0004-0000-0100-0000EB000000}"/>
    <hyperlink ref="C237" r:id="rId237" xr:uid="{00000000-0004-0000-0100-0000EC000000}"/>
    <hyperlink ref="C238" r:id="rId238" xr:uid="{00000000-0004-0000-0100-0000ED000000}"/>
    <hyperlink ref="C239" r:id="rId239" xr:uid="{00000000-0004-0000-0100-0000EE000000}"/>
    <hyperlink ref="C240" r:id="rId240" xr:uid="{00000000-0004-0000-0100-0000EF000000}"/>
    <hyperlink ref="C241" r:id="rId241" xr:uid="{00000000-0004-0000-0100-0000F0000000}"/>
    <hyperlink ref="C242" r:id="rId242" xr:uid="{00000000-0004-0000-0100-0000F1000000}"/>
    <hyperlink ref="C243" r:id="rId243" xr:uid="{00000000-0004-0000-0100-0000F2000000}"/>
    <hyperlink ref="C244" r:id="rId244" xr:uid="{00000000-0004-0000-0100-0000F3000000}"/>
    <hyperlink ref="C245" r:id="rId245" xr:uid="{00000000-0004-0000-0100-0000F4000000}"/>
    <hyperlink ref="C246" r:id="rId246" xr:uid="{00000000-0004-0000-0100-0000F5000000}"/>
    <hyperlink ref="C247" r:id="rId247" xr:uid="{00000000-0004-0000-0100-0000F6000000}"/>
    <hyperlink ref="C248" r:id="rId248" xr:uid="{00000000-0004-0000-0100-0000F7000000}"/>
    <hyperlink ref="C249" r:id="rId249" xr:uid="{00000000-0004-0000-0100-0000F8000000}"/>
    <hyperlink ref="C250" r:id="rId250" xr:uid="{00000000-0004-0000-0100-0000F9000000}"/>
    <hyperlink ref="C251" r:id="rId251" xr:uid="{00000000-0004-0000-0100-0000FA000000}"/>
    <hyperlink ref="C252" r:id="rId252" xr:uid="{00000000-0004-0000-0100-0000FB000000}"/>
    <hyperlink ref="C253" r:id="rId253" xr:uid="{00000000-0004-0000-0100-0000FC000000}"/>
    <hyperlink ref="C254" r:id="rId254" xr:uid="{00000000-0004-0000-0100-0000FD000000}"/>
    <hyperlink ref="C255" r:id="rId255" xr:uid="{00000000-0004-0000-0100-0000FE000000}"/>
    <hyperlink ref="C256" r:id="rId256" xr:uid="{00000000-0004-0000-0100-0000FF000000}"/>
    <hyperlink ref="C257" r:id="rId257" xr:uid="{00000000-0004-0000-0100-000000010000}"/>
    <hyperlink ref="C258" r:id="rId258" xr:uid="{00000000-0004-0000-0100-000001010000}"/>
    <hyperlink ref="C259" r:id="rId259" xr:uid="{00000000-0004-0000-0100-000002010000}"/>
    <hyperlink ref="C260" r:id="rId260" xr:uid="{00000000-0004-0000-0100-000003010000}"/>
    <hyperlink ref="C261" r:id="rId261" xr:uid="{00000000-0004-0000-0100-000004010000}"/>
    <hyperlink ref="C262" r:id="rId262" xr:uid="{00000000-0004-0000-0100-000005010000}"/>
    <hyperlink ref="C263" r:id="rId263" xr:uid="{00000000-0004-0000-0100-000006010000}"/>
    <hyperlink ref="C264" r:id="rId264" xr:uid="{00000000-0004-0000-0100-000007010000}"/>
    <hyperlink ref="C265" r:id="rId265" xr:uid="{00000000-0004-0000-0100-000008010000}"/>
    <hyperlink ref="C266" r:id="rId266" xr:uid="{00000000-0004-0000-0100-000009010000}"/>
    <hyperlink ref="C267" r:id="rId267" xr:uid="{00000000-0004-0000-0100-00000A010000}"/>
    <hyperlink ref="C268" r:id="rId268" xr:uid="{00000000-0004-0000-0100-00000B010000}"/>
    <hyperlink ref="C269" r:id="rId269" xr:uid="{00000000-0004-0000-0100-00000C010000}"/>
    <hyperlink ref="C270" r:id="rId270" xr:uid="{00000000-0004-0000-0100-00000D010000}"/>
    <hyperlink ref="C271" r:id="rId271" xr:uid="{00000000-0004-0000-0100-00000E010000}"/>
    <hyperlink ref="C272" r:id="rId272" xr:uid="{00000000-0004-0000-0100-00000F010000}"/>
    <hyperlink ref="C273" r:id="rId273" xr:uid="{00000000-0004-0000-0100-000010010000}"/>
    <hyperlink ref="C274" r:id="rId274" xr:uid="{00000000-0004-0000-0100-000011010000}"/>
    <hyperlink ref="C275" r:id="rId275" xr:uid="{00000000-0004-0000-0100-000012010000}"/>
    <hyperlink ref="C276" r:id="rId276" xr:uid="{00000000-0004-0000-0100-000013010000}"/>
    <hyperlink ref="C277" r:id="rId277" xr:uid="{00000000-0004-0000-0100-000014010000}"/>
    <hyperlink ref="C278" r:id="rId278" xr:uid="{00000000-0004-0000-0100-000015010000}"/>
    <hyperlink ref="C279" r:id="rId279" xr:uid="{00000000-0004-0000-0100-000016010000}"/>
    <hyperlink ref="C280" r:id="rId280" xr:uid="{00000000-0004-0000-0100-000017010000}"/>
    <hyperlink ref="C281" r:id="rId281" xr:uid="{00000000-0004-0000-0100-000018010000}"/>
    <hyperlink ref="C282" r:id="rId282" xr:uid="{00000000-0004-0000-0100-000019010000}"/>
    <hyperlink ref="C283" r:id="rId283" xr:uid="{00000000-0004-0000-0100-00001A010000}"/>
    <hyperlink ref="C284" r:id="rId284" xr:uid="{00000000-0004-0000-0100-00001B010000}"/>
    <hyperlink ref="C285" r:id="rId285" xr:uid="{00000000-0004-0000-0100-00001C010000}"/>
    <hyperlink ref="C286" r:id="rId286" xr:uid="{00000000-0004-0000-0100-00001D010000}"/>
    <hyperlink ref="C287" r:id="rId287" xr:uid="{00000000-0004-0000-0100-00001E010000}"/>
    <hyperlink ref="C288" r:id="rId288" xr:uid="{00000000-0004-0000-0100-00001F010000}"/>
    <hyperlink ref="C289" r:id="rId289" xr:uid="{00000000-0004-0000-0100-000020010000}"/>
    <hyperlink ref="C290" r:id="rId290" xr:uid="{00000000-0004-0000-0100-000021010000}"/>
    <hyperlink ref="C291" r:id="rId291" xr:uid="{00000000-0004-0000-0100-000022010000}"/>
    <hyperlink ref="C292" r:id="rId292" xr:uid="{00000000-0004-0000-0100-000023010000}"/>
    <hyperlink ref="C293" r:id="rId293" xr:uid="{00000000-0004-0000-0100-000024010000}"/>
    <hyperlink ref="C294" r:id="rId294" xr:uid="{00000000-0004-0000-0100-000025010000}"/>
    <hyperlink ref="C295" r:id="rId295" xr:uid="{00000000-0004-0000-0100-000026010000}"/>
    <hyperlink ref="C296" r:id="rId296" xr:uid="{00000000-0004-0000-0100-000027010000}"/>
    <hyperlink ref="C297" r:id="rId297" xr:uid="{00000000-0004-0000-0100-000028010000}"/>
    <hyperlink ref="C298" r:id="rId298" xr:uid="{00000000-0004-0000-0100-000029010000}"/>
    <hyperlink ref="C299" r:id="rId299" xr:uid="{00000000-0004-0000-0100-00002A010000}"/>
    <hyperlink ref="C300" r:id="rId300" xr:uid="{00000000-0004-0000-0100-00002B010000}"/>
    <hyperlink ref="C301" r:id="rId301" xr:uid="{00000000-0004-0000-0100-00002C010000}"/>
    <hyperlink ref="C302" r:id="rId302" xr:uid="{00000000-0004-0000-0100-00002D010000}"/>
    <hyperlink ref="C303" r:id="rId303" xr:uid="{00000000-0004-0000-0100-00002E010000}"/>
    <hyperlink ref="C304" r:id="rId304" xr:uid="{00000000-0004-0000-0100-00002F010000}"/>
    <hyperlink ref="C305" r:id="rId305" xr:uid="{00000000-0004-0000-0100-000030010000}"/>
    <hyperlink ref="C306" r:id="rId306" xr:uid="{00000000-0004-0000-0100-000031010000}"/>
    <hyperlink ref="C307" r:id="rId307" xr:uid="{00000000-0004-0000-0100-000032010000}"/>
    <hyperlink ref="C308" r:id="rId308" xr:uid="{00000000-0004-0000-0100-000033010000}"/>
    <hyperlink ref="C309" r:id="rId309" xr:uid="{00000000-0004-0000-0100-000034010000}"/>
    <hyperlink ref="C310" r:id="rId310" xr:uid="{00000000-0004-0000-0100-000035010000}"/>
    <hyperlink ref="C311" r:id="rId311" xr:uid="{00000000-0004-0000-0100-000036010000}"/>
    <hyperlink ref="C312" r:id="rId312" xr:uid="{00000000-0004-0000-0100-000037010000}"/>
    <hyperlink ref="C313" r:id="rId313" xr:uid="{00000000-0004-0000-0100-000038010000}"/>
    <hyperlink ref="C314" r:id="rId314" xr:uid="{00000000-0004-0000-0100-000039010000}"/>
    <hyperlink ref="C315" r:id="rId315" xr:uid="{00000000-0004-0000-0100-00003A010000}"/>
    <hyperlink ref="C316" r:id="rId316" xr:uid="{00000000-0004-0000-0100-00003B010000}"/>
    <hyperlink ref="C317" r:id="rId317" xr:uid="{00000000-0004-0000-0100-00003C010000}"/>
    <hyperlink ref="C318" r:id="rId318" xr:uid="{00000000-0004-0000-0100-00003D010000}"/>
    <hyperlink ref="C319" r:id="rId319" xr:uid="{00000000-0004-0000-0100-00003E010000}"/>
    <hyperlink ref="C320" r:id="rId320" xr:uid="{00000000-0004-0000-0100-00003F010000}"/>
    <hyperlink ref="C321" r:id="rId321" xr:uid="{00000000-0004-0000-0100-000040010000}"/>
    <hyperlink ref="C322" r:id="rId322" xr:uid="{00000000-0004-0000-0100-000041010000}"/>
    <hyperlink ref="C323" r:id="rId323" xr:uid="{00000000-0004-0000-0100-000042010000}"/>
    <hyperlink ref="C324" r:id="rId324" xr:uid="{00000000-0004-0000-0100-000043010000}"/>
    <hyperlink ref="C325" r:id="rId325" xr:uid="{00000000-0004-0000-0100-000044010000}"/>
    <hyperlink ref="C326" r:id="rId326" xr:uid="{00000000-0004-0000-0100-000045010000}"/>
    <hyperlink ref="C327" r:id="rId327" xr:uid="{00000000-0004-0000-0100-000046010000}"/>
    <hyperlink ref="C328" r:id="rId328" xr:uid="{00000000-0004-0000-0100-000047010000}"/>
    <hyperlink ref="C329" r:id="rId329" xr:uid="{00000000-0004-0000-0100-000048010000}"/>
    <hyperlink ref="C330" r:id="rId330" xr:uid="{00000000-0004-0000-0100-000049010000}"/>
    <hyperlink ref="C331" r:id="rId331" xr:uid="{00000000-0004-0000-0100-00004A010000}"/>
    <hyperlink ref="C332" r:id="rId332" xr:uid="{00000000-0004-0000-0100-00004B010000}"/>
    <hyperlink ref="C333" r:id="rId333" xr:uid="{00000000-0004-0000-0100-00004C010000}"/>
    <hyperlink ref="C334" r:id="rId334" xr:uid="{00000000-0004-0000-0100-00004D010000}"/>
    <hyperlink ref="C335" r:id="rId335" xr:uid="{00000000-0004-0000-0100-00004E010000}"/>
    <hyperlink ref="C336" r:id="rId336" xr:uid="{00000000-0004-0000-0100-00004F010000}"/>
    <hyperlink ref="C337" r:id="rId337" xr:uid="{00000000-0004-0000-0100-000050010000}"/>
    <hyperlink ref="C338" r:id="rId338" xr:uid="{00000000-0004-0000-0100-000051010000}"/>
    <hyperlink ref="C339" r:id="rId339" xr:uid="{00000000-0004-0000-0100-000052010000}"/>
    <hyperlink ref="C340" r:id="rId340" xr:uid="{00000000-0004-0000-0100-000053010000}"/>
    <hyperlink ref="C341" r:id="rId341" xr:uid="{00000000-0004-0000-0100-000054010000}"/>
    <hyperlink ref="C342" r:id="rId342" xr:uid="{00000000-0004-0000-0100-000055010000}"/>
    <hyperlink ref="C343" r:id="rId343" xr:uid="{00000000-0004-0000-0100-000056010000}"/>
    <hyperlink ref="C344" r:id="rId344" xr:uid="{00000000-0004-0000-0100-000057010000}"/>
    <hyperlink ref="C345" r:id="rId345" xr:uid="{00000000-0004-0000-0100-000058010000}"/>
    <hyperlink ref="C346" r:id="rId346" xr:uid="{00000000-0004-0000-0100-000059010000}"/>
    <hyperlink ref="C347" r:id="rId347" xr:uid="{00000000-0004-0000-0100-00005A010000}"/>
    <hyperlink ref="C348" r:id="rId348" xr:uid="{00000000-0004-0000-0100-00005B010000}"/>
    <hyperlink ref="C349" r:id="rId349" xr:uid="{00000000-0004-0000-0100-00005C010000}"/>
    <hyperlink ref="C350" r:id="rId350" xr:uid="{00000000-0004-0000-0100-00005D010000}"/>
    <hyperlink ref="C351" r:id="rId351" xr:uid="{00000000-0004-0000-0100-00005E010000}"/>
    <hyperlink ref="C352" r:id="rId352" xr:uid="{00000000-0004-0000-0100-00005F010000}"/>
    <hyperlink ref="C353" r:id="rId353" xr:uid="{00000000-0004-0000-0100-000060010000}"/>
    <hyperlink ref="C354" r:id="rId354" xr:uid="{00000000-0004-0000-0100-000061010000}"/>
    <hyperlink ref="C355" r:id="rId355" xr:uid="{00000000-0004-0000-0100-000062010000}"/>
    <hyperlink ref="C356" r:id="rId356" xr:uid="{00000000-0004-0000-0100-000063010000}"/>
    <hyperlink ref="C357" r:id="rId357" xr:uid="{00000000-0004-0000-0100-000064010000}"/>
    <hyperlink ref="C358" r:id="rId358" xr:uid="{00000000-0004-0000-0100-000065010000}"/>
    <hyperlink ref="C359" r:id="rId359" xr:uid="{00000000-0004-0000-0100-000066010000}"/>
    <hyperlink ref="C360" r:id="rId360" xr:uid="{00000000-0004-0000-0100-000067010000}"/>
    <hyperlink ref="C361" r:id="rId361" xr:uid="{00000000-0004-0000-0100-000068010000}"/>
    <hyperlink ref="C362" r:id="rId362" xr:uid="{00000000-0004-0000-0100-000069010000}"/>
    <hyperlink ref="C363" r:id="rId363" xr:uid="{00000000-0004-0000-0100-00006A010000}"/>
    <hyperlink ref="C364" r:id="rId364" xr:uid="{00000000-0004-0000-0100-00006B010000}"/>
    <hyperlink ref="C365" r:id="rId365" xr:uid="{00000000-0004-0000-0100-00006C010000}"/>
    <hyperlink ref="C366" r:id="rId366" xr:uid="{00000000-0004-0000-0100-00006D010000}"/>
    <hyperlink ref="C367" r:id="rId367" xr:uid="{00000000-0004-0000-0100-00006E010000}"/>
    <hyperlink ref="C368" r:id="rId368" xr:uid="{00000000-0004-0000-0100-00006F010000}"/>
    <hyperlink ref="C369" r:id="rId369" xr:uid="{00000000-0004-0000-0100-000070010000}"/>
    <hyperlink ref="C370" r:id="rId370" xr:uid="{00000000-0004-0000-0100-000071010000}"/>
    <hyperlink ref="C371" r:id="rId371" xr:uid="{00000000-0004-0000-0100-000072010000}"/>
    <hyperlink ref="C372" r:id="rId372" xr:uid="{00000000-0004-0000-0100-000073010000}"/>
    <hyperlink ref="C373" r:id="rId373" xr:uid="{00000000-0004-0000-0100-000074010000}"/>
    <hyperlink ref="C374" r:id="rId374" xr:uid="{00000000-0004-0000-0100-000075010000}"/>
    <hyperlink ref="C375" r:id="rId375" xr:uid="{00000000-0004-0000-0100-000076010000}"/>
    <hyperlink ref="C376" r:id="rId376" xr:uid="{00000000-0004-0000-0100-000077010000}"/>
    <hyperlink ref="C377" r:id="rId377" xr:uid="{00000000-0004-0000-0100-000078010000}"/>
    <hyperlink ref="C378" r:id="rId378" xr:uid="{00000000-0004-0000-0100-000079010000}"/>
    <hyperlink ref="C379" r:id="rId379" xr:uid="{00000000-0004-0000-0100-00007A010000}"/>
    <hyperlink ref="C380" r:id="rId380" xr:uid="{00000000-0004-0000-0100-00007B010000}"/>
    <hyperlink ref="C381" r:id="rId381" xr:uid="{00000000-0004-0000-0100-00007C010000}"/>
    <hyperlink ref="C382" r:id="rId382" xr:uid="{00000000-0004-0000-0100-00007D010000}"/>
    <hyperlink ref="C383" r:id="rId383" xr:uid="{00000000-0004-0000-0100-00007E010000}"/>
    <hyperlink ref="C384" r:id="rId384" xr:uid="{00000000-0004-0000-0100-00007F010000}"/>
    <hyperlink ref="C385" r:id="rId385" xr:uid="{00000000-0004-0000-0100-000080010000}"/>
    <hyperlink ref="C386" r:id="rId386" xr:uid="{00000000-0004-0000-0100-000081010000}"/>
    <hyperlink ref="C387" r:id="rId387" xr:uid="{00000000-0004-0000-0100-000082010000}"/>
    <hyperlink ref="C388" r:id="rId388" xr:uid="{00000000-0004-0000-0100-000083010000}"/>
    <hyperlink ref="C389" r:id="rId389" xr:uid="{00000000-0004-0000-0100-000084010000}"/>
    <hyperlink ref="C390" r:id="rId390" xr:uid="{00000000-0004-0000-0100-000085010000}"/>
    <hyperlink ref="C391" r:id="rId391" xr:uid="{00000000-0004-0000-0100-000086010000}"/>
    <hyperlink ref="C392" r:id="rId392" xr:uid="{00000000-0004-0000-0100-000087010000}"/>
    <hyperlink ref="C393" r:id="rId393" xr:uid="{00000000-0004-0000-0100-000088010000}"/>
    <hyperlink ref="C394" r:id="rId394" xr:uid="{00000000-0004-0000-0100-000089010000}"/>
    <hyperlink ref="C395" r:id="rId395" xr:uid="{00000000-0004-0000-0100-00008A010000}"/>
    <hyperlink ref="C396" r:id="rId396" xr:uid="{00000000-0004-0000-0100-00008B010000}"/>
    <hyperlink ref="C397" r:id="rId397" xr:uid="{00000000-0004-0000-0100-00008C010000}"/>
    <hyperlink ref="C398" r:id="rId398" xr:uid="{00000000-0004-0000-0100-00008D010000}"/>
    <hyperlink ref="C399" r:id="rId399" xr:uid="{00000000-0004-0000-0100-00008E010000}"/>
    <hyperlink ref="C400" r:id="rId400" xr:uid="{00000000-0004-0000-0100-00008F010000}"/>
    <hyperlink ref="C401" r:id="rId401" xr:uid="{00000000-0004-0000-0100-000090010000}"/>
    <hyperlink ref="C402" r:id="rId402" xr:uid="{00000000-0004-0000-0100-000091010000}"/>
    <hyperlink ref="C403" r:id="rId403" xr:uid="{00000000-0004-0000-0100-000092010000}"/>
    <hyperlink ref="C404" r:id="rId404" xr:uid="{00000000-0004-0000-0100-000093010000}"/>
    <hyperlink ref="C405" r:id="rId405" xr:uid="{00000000-0004-0000-0100-000094010000}"/>
    <hyperlink ref="C406" r:id="rId406" xr:uid="{00000000-0004-0000-0100-000095010000}"/>
    <hyperlink ref="C407" r:id="rId407" xr:uid="{00000000-0004-0000-0100-000096010000}"/>
    <hyperlink ref="C408" r:id="rId408" xr:uid="{00000000-0004-0000-0100-000097010000}"/>
    <hyperlink ref="C409" r:id="rId409" xr:uid="{00000000-0004-0000-0100-000098010000}"/>
    <hyperlink ref="C410" r:id="rId410" xr:uid="{00000000-0004-0000-0100-000099010000}"/>
    <hyperlink ref="C411" r:id="rId411" xr:uid="{00000000-0004-0000-0100-00009A010000}"/>
    <hyperlink ref="C412" r:id="rId412" xr:uid="{00000000-0004-0000-0100-00009B010000}"/>
    <hyperlink ref="C413" r:id="rId413" xr:uid="{00000000-0004-0000-0100-00009C010000}"/>
    <hyperlink ref="C414" r:id="rId414" xr:uid="{00000000-0004-0000-0100-00009D010000}"/>
    <hyperlink ref="C415" r:id="rId415" xr:uid="{00000000-0004-0000-0100-00009E010000}"/>
    <hyperlink ref="C416" r:id="rId416" xr:uid="{00000000-0004-0000-0100-00009F010000}"/>
    <hyperlink ref="C417" r:id="rId417" xr:uid="{00000000-0004-0000-0100-0000A0010000}"/>
    <hyperlink ref="C418" r:id="rId418" xr:uid="{00000000-0004-0000-0100-0000A1010000}"/>
    <hyperlink ref="C419" r:id="rId419" xr:uid="{00000000-0004-0000-0100-0000A2010000}"/>
    <hyperlink ref="C420" r:id="rId420" xr:uid="{00000000-0004-0000-0100-0000A3010000}"/>
    <hyperlink ref="C421" r:id="rId421" xr:uid="{00000000-0004-0000-0100-0000A4010000}"/>
    <hyperlink ref="C422" r:id="rId422" xr:uid="{00000000-0004-0000-0100-0000A5010000}"/>
    <hyperlink ref="C423" r:id="rId423" xr:uid="{00000000-0004-0000-0100-0000A6010000}"/>
    <hyperlink ref="C424" r:id="rId424" xr:uid="{00000000-0004-0000-0100-0000A7010000}"/>
    <hyperlink ref="C425" r:id="rId425" xr:uid="{00000000-0004-0000-0100-0000A8010000}"/>
    <hyperlink ref="C426" r:id="rId426" xr:uid="{00000000-0004-0000-0100-0000A9010000}"/>
    <hyperlink ref="C427" r:id="rId427" xr:uid="{00000000-0004-0000-0100-0000AA010000}"/>
    <hyperlink ref="C428" r:id="rId428" xr:uid="{00000000-0004-0000-0100-0000AB010000}"/>
    <hyperlink ref="C429" r:id="rId429" xr:uid="{00000000-0004-0000-0100-0000AC010000}"/>
    <hyperlink ref="C430" r:id="rId430" xr:uid="{00000000-0004-0000-0100-0000AD010000}"/>
    <hyperlink ref="C431" r:id="rId431" xr:uid="{00000000-0004-0000-0100-0000AE010000}"/>
    <hyperlink ref="C432" r:id="rId432" xr:uid="{00000000-0004-0000-0100-0000AF010000}"/>
    <hyperlink ref="C433" r:id="rId433" xr:uid="{00000000-0004-0000-0100-0000B0010000}"/>
    <hyperlink ref="C434" r:id="rId434" xr:uid="{00000000-0004-0000-0100-0000B1010000}"/>
    <hyperlink ref="C435" r:id="rId435" xr:uid="{00000000-0004-0000-0100-0000B2010000}"/>
    <hyperlink ref="C436" r:id="rId436" xr:uid="{00000000-0004-0000-0100-0000B3010000}"/>
    <hyperlink ref="C437" r:id="rId437" xr:uid="{00000000-0004-0000-0100-0000B4010000}"/>
    <hyperlink ref="C438" r:id="rId438" xr:uid="{00000000-0004-0000-0100-0000B5010000}"/>
    <hyperlink ref="C439" r:id="rId439" xr:uid="{00000000-0004-0000-0100-0000B6010000}"/>
    <hyperlink ref="C440" r:id="rId440" xr:uid="{00000000-0004-0000-0100-0000B7010000}"/>
    <hyperlink ref="C441" r:id="rId441" xr:uid="{00000000-0004-0000-0100-0000B8010000}"/>
    <hyperlink ref="C442" r:id="rId442" xr:uid="{00000000-0004-0000-0100-0000B9010000}"/>
    <hyperlink ref="C443" r:id="rId443" xr:uid="{00000000-0004-0000-0100-0000BA010000}"/>
    <hyperlink ref="C444" r:id="rId444" xr:uid="{00000000-0004-0000-0100-0000BB010000}"/>
    <hyperlink ref="C445" r:id="rId445" xr:uid="{00000000-0004-0000-0100-0000BC010000}"/>
    <hyperlink ref="C446" r:id="rId446" xr:uid="{00000000-0004-0000-0100-0000BD010000}"/>
    <hyperlink ref="C447" r:id="rId447" xr:uid="{00000000-0004-0000-0100-0000BE010000}"/>
    <hyperlink ref="C448" r:id="rId448" xr:uid="{00000000-0004-0000-0100-0000BF010000}"/>
    <hyperlink ref="C449" r:id="rId449" xr:uid="{00000000-0004-0000-0100-0000C0010000}"/>
    <hyperlink ref="C450" r:id="rId450" xr:uid="{00000000-0004-0000-0100-0000C1010000}"/>
    <hyperlink ref="C451" r:id="rId451" xr:uid="{00000000-0004-0000-0100-0000C2010000}"/>
    <hyperlink ref="C452" r:id="rId452" xr:uid="{00000000-0004-0000-0100-0000C3010000}"/>
    <hyperlink ref="C453" r:id="rId453" xr:uid="{00000000-0004-0000-0100-0000C4010000}"/>
    <hyperlink ref="C454" r:id="rId454" xr:uid="{00000000-0004-0000-0100-0000C5010000}"/>
    <hyperlink ref="C455" r:id="rId455" xr:uid="{00000000-0004-0000-0100-0000C6010000}"/>
    <hyperlink ref="C456" r:id="rId456" xr:uid="{00000000-0004-0000-0100-0000C7010000}"/>
    <hyperlink ref="C457" r:id="rId457" xr:uid="{00000000-0004-0000-0100-0000C8010000}"/>
    <hyperlink ref="C458" r:id="rId458" xr:uid="{00000000-0004-0000-0100-0000C9010000}"/>
    <hyperlink ref="C459" r:id="rId459" xr:uid="{00000000-0004-0000-0100-0000CA010000}"/>
    <hyperlink ref="C460" r:id="rId460" xr:uid="{00000000-0004-0000-0100-0000CB010000}"/>
    <hyperlink ref="C461" r:id="rId461" xr:uid="{00000000-0004-0000-0100-0000CC010000}"/>
    <hyperlink ref="C462" r:id="rId462" xr:uid="{00000000-0004-0000-0100-0000CD010000}"/>
    <hyperlink ref="C463" r:id="rId463" xr:uid="{00000000-0004-0000-0100-0000CE010000}"/>
    <hyperlink ref="C464" r:id="rId464" xr:uid="{00000000-0004-0000-0100-0000CF010000}"/>
    <hyperlink ref="C465" r:id="rId465" xr:uid="{00000000-0004-0000-0100-0000D0010000}"/>
    <hyperlink ref="C466" r:id="rId466" xr:uid="{00000000-0004-0000-0100-0000D1010000}"/>
    <hyperlink ref="C467" r:id="rId467" xr:uid="{00000000-0004-0000-0100-0000D2010000}"/>
    <hyperlink ref="C468" r:id="rId468" xr:uid="{00000000-0004-0000-0100-0000D3010000}"/>
    <hyperlink ref="C469" r:id="rId469" xr:uid="{00000000-0004-0000-0100-0000D4010000}"/>
    <hyperlink ref="C470" r:id="rId470" xr:uid="{00000000-0004-0000-0100-0000D5010000}"/>
    <hyperlink ref="C471" r:id="rId471" xr:uid="{00000000-0004-0000-0100-0000D6010000}"/>
    <hyperlink ref="C472" r:id="rId472" xr:uid="{00000000-0004-0000-0100-0000D7010000}"/>
    <hyperlink ref="C473" r:id="rId473" xr:uid="{00000000-0004-0000-0100-0000D8010000}"/>
    <hyperlink ref="C474" r:id="rId474" xr:uid="{00000000-0004-0000-0100-0000D9010000}"/>
    <hyperlink ref="C475" r:id="rId475" xr:uid="{00000000-0004-0000-0100-0000DA010000}"/>
    <hyperlink ref="C476" r:id="rId476" xr:uid="{00000000-0004-0000-0100-0000DB010000}"/>
    <hyperlink ref="C477" r:id="rId477" xr:uid="{00000000-0004-0000-0100-0000DC010000}"/>
    <hyperlink ref="C478" r:id="rId478" xr:uid="{00000000-0004-0000-0100-0000DD010000}"/>
    <hyperlink ref="C479" r:id="rId479" xr:uid="{00000000-0004-0000-0100-0000DE010000}"/>
    <hyperlink ref="C480" r:id="rId480" xr:uid="{00000000-0004-0000-0100-0000DF010000}"/>
    <hyperlink ref="C481" r:id="rId481" xr:uid="{00000000-0004-0000-0100-0000E0010000}"/>
    <hyperlink ref="C482" r:id="rId482" xr:uid="{00000000-0004-0000-0100-0000E1010000}"/>
    <hyperlink ref="C483" r:id="rId483" xr:uid="{00000000-0004-0000-0100-0000E2010000}"/>
    <hyperlink ref="C484" r:id="rId484" xr:uid="{00000000-0004-0000-0100-0000E3010000}"/>
    <hyperlink ref="C485" r:id="rId485" xr:uid="{00000000-0004-0000-0100-0000E4010000}"/>
    <hyperlink ref="C486" r:id="rId486" xr:uid="{00000000-0004-0000-0100-0000E5010000}"/>
    <hyperlink ref="C487" r:id="rId487" xr:uid="{00000000-0004-0000-0100-0000E6010000}"/>
    <hyperlink ref="C488" r:id="rId488" xr:uid="{00000000-0004-0000-0100-0000E7010000}"/>
    <hyperlink ref="C489" r:id="rId489" xr:uid="{00000000-0004-0000-0100-0000E8010000}"/>
    <hyperlink ref="C490" r:id="rId490" xr:uid="{00000000-0004-0000-0100-0000E9010000}"/>
    <hyperlink ref="C491" r:id="rId491" xr:uid="{00000000-0004-0000-0100-0000EA010000}"/>
    <hyperlink ref="C492" r:id="rId492" xr:uid="{00000000-0004-0000-0100-0000EB010000}"/>
    <hyperlink ref="C493" r:id="rId493" xr:uid="{00000000-0004-0000-0100-0000EC010000}"/>
    <hyperlink ref="C494" r:id="rId494" xr:uid="{00000000-0004-0000-0100-0000ED010000}"/>
    <hyperlink ref="C495" r:id="rId495" xr:uid="{00000000-0004-0000-0100-0000EE010000}"/>
    <hyperlink ref="C496" r:id="rId496" xr:uid="{00000000-0004-0000-0100-0000EF010000}"/>
    <hyperlink ref="C497" r:id="rId497" xr:uid="{00000000-0004-0000-0100-0000F0010000}"/>
    <hyperlink ref="C498" r:id="rId498" xr:uid="{00000000-0004-0000-0100-0000F1010000}"/>
    <hyperlink ref="C499" r:id="rId499" xr:uid="{00000000-0004-0000-0100-0000F2010000}"/>
    <hyperlink ref="C500" r:id="rId500" xr:uid="{00000000-0004-0000-0100-0000F3010000}"/>
    <hyperlink ref="C501" r:id="rId501" xr:uid="{00000000-0004-0000-0100-0000F4010000}"/>
    <hyperlink ref="C502" r:id="rId502" xr:uid="{00000000-0004-0000-0100-0000F5010000}"/>
    <hyperlink ref="C503" r:id="rId503" xr:uid="{00000000-0004-0000-0100-0000F6010000}"/>
    <hyperlink ref="C504" r:id="rId504" xr:uid="{00000000-0004-0000-0100-0000F7010000}"/>
    <hyperlink ref="C505" r:id="rId505" xr:uid="{00000000-0004-0000-0100-0000F8010000}"/>
    <hyperlink ref="C506" r:id="rId506" xr:uid="{00000000-0004-0000-0100-0000F9010000}"/>
    <hyperlink ref="C507" r:id="rId507" xr:uid="{00000000-0004-0000-0100-0000FA010000}"/>
    <hyperlink ref="C508" r:id="rId508" xr:uid="{00000000-0004-0000-0100-0000FB010000}"/>
    <hyperlink ref="C509" r:id="rId509" xr:uid="{00000000-0004-0000-0100-0000FC010000}"/>
    <hyperlink ref="C510" r:id="rId510" xr:uid="{00000000-0004-0000-0100-0000FD010000}"/>
    <hyperlink ref="C511" r:id="rId511" xr:uid="{00000000-0004-0000-0100-0000FE010000}"/>
    <hyperlink ref="C512" r:id="rId512" xr:uid="{00000000-0004-0000-0100-0000FF010000}"/>
    <hyperlink ref="C513" r:id="rId513" xr:uid="{00000000-0004-0000-0100-000000020000}"/>
    <hyperlink ref="C514" r:id="rId514" xr:uid="{00000000-0004-0000-0100-000001020000}"/>
    <hyperlink ref="C515" r:id="rId515" xr:uid="{00000000-0004-0000-0100-000002020000}"/>
    <hyperlink ref="C516" r:id="rId516" xr:uid="{00000000-0004-0000-0100-000003020000}"/>
    <hyperlink ref="C517" r:id="rId517" xr:uid="{00000000-0004-0000-0100-000004020000}"/>
    <hyperlink ref="C518" r:id="rId518" xr:uid="{00000000-0004-0000-0100-000005020000}"/>
    <hyperlink ref="C519" r:id="rId519" xr:uid="{00000000-0004-0000-0100-000006020000}"/>
    <hyperlink ref="C520" r:id="rId520" xr:uid="{00000000-0004-0000-0100-000007020000}"/>
    <hyperlink ref="C521" r:id="rId521" xr:uid="{00000000-0004-0000-0100-000008020000}"/>
    <hyperlink ref="C522" r:id="rId522" xr:uid="{00000000-0004-0000-0100-000009020000}"/>
    <hyperlink ref="C523" r:id="rId523" xr:uid="{00000000-0004-0000-0100-00000A020000}"/>
    <hyperlink ref="C524" r:id="rId524" xr:uid="{00000000-0004-0000-0100-00000B020000}"/>
    <hyperlink ref="C525" r:id="rId525" xr:uid="{00000000-0004-0000-0100-00000C020000}"/>
    <hyperlink ref="C526" r:id="rId526" xr:uid="{00000000-0004-0000-0100-00000D020000}"/>
    <hyperlink ref="C527" r:id="rId527" xr:uid="{00000000-0004-0000-0100-00000E020000}"/>
    <hyperlink ref="C528" r:id="rId528" xr:uid="{00000000-0004-0000-0100-00000F020000}"/>
    <hyperlink ref="C529" r:id="rId529" xr:uid="{00000000-0004-0000-0100-000010020000}"/>
    <hyperlink ref="C530" r:id="rId530" xr:uid="{00000000-0004-0000-0100-000011020000}"/>
    <hyperlink ref="C531" r:id="rId531" xr:uid="{00000000-0004-0000-0100-000012020000}"/>
    <hyperlink ref="C532" r:id="rId532" xr:uid="{00000000-0004-0000-0100-000013020000}"/>
    <hyperlink ref="C533" r:id="rId533" xr:uid="{00000000-0004-0000-0100-000014020000}"/>
    <hyperlink ref="C534" r:id="rId534" xr:uid="{00000000-0004-0000-0100-000015020000}"/>
    <hyperlink ref="C535" r:id="rId535" xr:uid="{00000000-0004-0000-0100-000016020000}"/>
    <hyperlink ref="C536" r:id="rId536" xr:uid="{00000000-0004-0000-0100-000017020000}"/>
    <hyperlink ref="C537" r:id="rId537" xr:uid="{00000000-0004-0000-0100-000018020000}"/>
    <hyperlink ref="C538" r:id="rId538" xr:uid="{00000000-0004-0000-0100-000019020000}"/>
    <hyperlink ref="C539" r:id="rId539" xr:uid="{00000000-0004-0000-0100-00001A020000}"/>
    <hyperlink ref="C540" r:id="rId540" xr:uid="{00000000-0004-0000-0100-00001B020000}"/>
    <hyperlink ref="C541" r:id="rId541" xr:uid="{00000000-0004-0000-0100-00001C020000}"/>
    <hyperlink ref="C542" r:id="rId542" xr:uid="{00000000-0004-0000-0100-00001D020000}"/>
    <hyperlink ref="C543" r:id="rId543" xr:uid="{00000000-0004-0000-0100-00001E020000}"/>
    <hyperlink ref="C544" r:id="rId544" xr:uid="{00000000-0004-0000-0100-00001F020000}"/>
    <hyperlink ref="C545" r:id="rId545" xr:uid="{00000000-0004-0000-0100-000020020000}"/>
    <hyperlink ref="C546" r:id="rId546" xr:uid="{00000000-0004-0000-0100-000021020000}"/>
    <hyperlink ref="C547" r:id="rId547" xr:uid="{00000000-0004-0000-0100-000022020000}"/>
    <hyperlink ref="C548" r:id="rId548" xr:uid="{00000000-0004-0000-0100-000023020000}"/>
    <hyperlink ref="C549" r:id="rId549" xr:uid="{00000000-0004-0000-0100-000024020000}"/>
    <hyperlink ref="C550" r:id="rId550" xr:uid="{00000000-0004-0000-0100-000025020000}"/>
    <hyperlink ref="C551" r:id="rId551" xr:uid="{00000000-0004-0000-0100-000026020000}"/>
    <hyperlink ref="C552" r:id="rId552" xr:uid="{00000000-0004-0000-0100-000027020000}"/>
    <hyperlink ref="C553" r:id="rId553" xr:uid="{00000000-0004-0000-0100-000028020000}"/>
    <hyperlink ref="C554" r:id="rId554" xr:uid="{00000000-0004-0000-0100-000029020000}"/>
    <hyperlink ref="C555" r:id="rId555" xr:uid="{00000000-0004-0000-0100-00002A020000}"/>
    <hyperlink ref="C556" r:id="rId556" xr:uid="{00000000-0004-0000-0100-00002B020000}"/>
    <hyperlink ref="C557" r:id="rId557" xr:uid="{00000000-0004-0000-0100-00002C020000}"/>
    <hyperlink ref="C558" r:id="rId558" xr:uid="{00000000-0004-0000-0100-00002D020000}"/>
    <hyperlink ref="C559" r:id="rId559" xr:uid="{00000000-0004-0000-0100-00002E020000}"/>
    <hyperlink ref="C560" r:id="rId560" xr:uid="{00000000-0004-0000-0100-00002F020000}"/>
    <hyperlink ref="C561" r:id="rId561" xr:uid="{00000000-0004-0000-0100-000030020000}"/>
    <hyperlink ref="C562" r:id="rId562" xr:uid="{00000000-0004-0000-0100-000031020000}"/>
    <hyperlink ref="C563" r:id="rId563" xr:uid="{00000000-0004-0000-0100-000032020000}"/>
    <hyperlink ref="C564" r:id="rId564" xr:uid="{00000000-0004-0000-0100-000033020000}"/>
    <hyperlink ref="C565" r:id="rId565" xr:uid="{00000000-0004-0000-0100-000034020000}"/>
    <hyperlink ref="C566" r:id="rId566" xr:uid="{00000000-0004-0000-0100-000035020000}"/>
    <hyperlink ref="C567" r:id="rId567" xr:uid="{00000000-0004-0000-0100-000036020000}"/>
    <hyperlink ref="C568" r:id="rId568" xr:uid="{00000000-0004-0000-0100-000037020000}"/>
    <hyperlink ref="C569" r:id="rId569" xr:uid="{00000000-0004-0000-0100-000038020000}"/>
    <hyperlink ref="C570" r:id="rId570" xr:uid="{00000000-0004-0000-0100-000039020000}"/>
    <hyperlink ref="C571" r:id="rId571" xr:uid="{00000000-0004-0000-0100-00003A020000}"/>
    <hyperlink ref="C572" r:id="rId572" xr:uid="{00000000-0004-0000-0100-00003B020000}"/>
    <hyperlink ref="C573" r:id="rId573" xr:uid="{00000000-0004-0000-0100-00003C020000}"/>
    <hyperlink ref="C574" r:id="rId574" xr:uid="{00000000-0004-0000-0100-00003D020000}"/>
    <hyperlink ref="C575" r:id="rId575" xr:uid="{00000000-0004-0000-0100-00003E020000}"/>
    <hyperlink ref="C576" r:id="rId576" xr:uid="{00000000-0004-0000-0100-00003F020000}"/>
    <hyperlink ref="C577" r:id="rId577" xr:uid="{00000000-0004-0000-0100-000040020000}"/>
    <hyperlink ref="C578" r:id="rId578" xr:uid="{00000000-0004-0000-0100-000041020000}"/>
    <hyperlink ref="C579" r:id="rId579" xr:uid="{00000000-0004-0000-0100-000042020000}"/>
    <hyperlink ref="C580" r:id="rId580" xr:uid="{00000000-0004-0000-0100-000043020000}"/>
    <hyperlink ref="C581" r:id="rId581" xr:uid="{00000000-0004-0000-0100-000044020000}"/>
    <hyperlink ref="C582" r:id="rId582" xr:uid="{00000000-0004-0000-0100-000045020000}"/>
    <hyperlink ref="C583" r:id="rId583" xr:uid="{00000000-0004-0000-0100-000046020000}"/>
    <hyperlink ref="C584" r:id="rId584" xr:uid="{00000000-0004-0000-0100-000047020000}"/>
    <hyperlink ref="C585" r:id="rId585" xr:uid="{00000000-0004-0000-0100-000048020000}"/>
    <hyperlink ref="C586" r:id="rId586" xr:uid="{00000000-0004-0000-0100-000049020000}"/>
    <hyperlink ref="C587" r:id="rId587" xr:uid="{00000000-0004-0000-0100-00004A020000}"/>
    <hyperlink ref="C588" r:id="rId588" xr:uid="{00000000-0004-0000-0100-00004B020000}"/>
    <hyperlink ref="C589" r:id="rId589" xr:uid="{00000000-0004-0000-0100-00004C020000}"/>
    <hyperlink ref="C590" r:id="rId590" xr:uid="{00000000-0004-0000-0100-00004D020000}"/>
    <hyperlink ref="C591" r:id="rId591" xr:uid="{00000000-0004-0000-0100-00004E020000}"/>
    <hyperlink ref="C592" r:id="rId592" xr:uid="{00000000-0004-0000-0100-00004F020000}"/>
    <hyperlink ref="C593" r:id="rId593" xr:uid="{00000000-0004-0000-0100-000050020000}"/>
    <hyperlink ref="C594" r:id="rId594" xr:uid="{00000000-0004-0000-0100-000051020000}"/>
    <hyperlink ref="C595" r:id="rId595" xr:uid="{00000000-0004-0000-0100-000052020000}"/>
    <hyperlink ref="C596" r:id="rId596" xr:uid="{00000000-0004-0000-0100-000053020000}"/>
    <hyperlink ref="C597" r:id="rId597" xr:uid="{00000000-0004-0000-0100-000054020000}"/>
    <hyperlink ref="C598" r:id="rId598" xr:uid="{00000000-0004-0000-0100-000055020000}"/>
    <hyperlink ref="C599" r:id="rId599" xr:uid="{00000000-0004-0000-0100-000056020000}"/>
    <hyperlink ref="C600" r:id="rId600" xr:uid="{00000000-0004-0000-0100-000057020000}"/>
    <hyperlink ref="C601" r:id="rId601" xr:uid="{00000000-0004-0000-0100-000058020000}"/>
    <hyperlink ref="C602" r:id="rId602" xr:uid="{00000000-0004-0000-0100-000059020000}"/>
    <hyperlink ref="C603" r:id="rId603" xr:uid="{00000000-0004-0000-0100-00005A020000}"/>
    <hyperlink ref="C604" r:id="rId604" xr:uid="{00000000-0004-0000-0100-00005B020000}"/>
    <hyperlink ref="C605" r:id="rId605" xr:uid="{00000000-0004-0000-0100-00005C020000}"/>
    <hyperlink ref="C606" r:id="rId606" xr:uid="{00000000-0004-0000-0100-00005D020000}"/>
    <hyperlink ref="C607" r:id="rId607" xr:uid="{00000000-0004-0000-0100-00005E020000}"/>
    <hyperlink ref="C608" r:id="rId608" xr:uid="{00000000-0004-0000-0100-00005F020000}"/>
    <hyperlink ref="C609" r:id="rId609" xr:uid="{00000000-0004-0000-0100-000060020000}"/>
    <hyperlink ref="C610" r:id="rId610" xr:uid="{00000000-0004-0000-0100-000061020000}"/>
    <hyperlink ref="C611" r:id="rId611" xr:uid="{00000000-0004-0000-0100-000062020000}"/>
    <hyperlink ref="C612" r:id="rId612" xr:uid="{00000000-0004-0000-0100-000063020000}"/>
    <hyperlink ref="C613" r:id="rId613" xr:uid="{00000000-0004-0000-0100-000064020000}"/>
    <hyperlink ref="C614" r:id="rId614" xr:uid="{00000000-0004-0000-0100-000065020000}"/>
    <hyperlink ref="C615" r:id="rId615" xr:uid="{00000000-0004-0000-0100-000066020000}"/>
    <hyperlink ref="C616" r:id="rId616" xr:uid="{00000000-0004-0000-0100-000067020000}"/>
    <hyperlink ref="C617" r:id="rId617" xr:uid="{00000000-0004-0000-0100-000068020000}"/>
    <hyperlink ref="C618" r:id="rId618" xr:uid="{00000000-0004-0000-0100-000069020000}"/>
    <hyperlink ref="C619" r:id="rId619" xr:uid="{00000000-0004-0000-0100-00006A020000}"/>
    <hyperlink ref="C620" r:id="rId620" xr:uid="{00000000-0004-0000-0100-00006B020000}"/>
    <hyperlink ref="C621" r:id="rId621" xr:uid="{00000000-0004-0000-0100-00006C020000}"/>
    <hyperlink ref="C622" r:id="rId622" xr:uid="{00000000-0004-0000-0100-00006D020000}"/>
    <hyperlink ref="C623" r:id="rId623" xr:uid="{00000000-0004-0000-0100-00006E020000}"/>
    <hyperlink ref="C624" r:id="rId624" xr:uid="{00000000-0004-0000-0100-00006F020000}"/>
    <hyperlink ref="C625" r:id="rId625" xr:uid="{00000000-0004-0000-0100-000070020000}"/>
    <hyperlink ref="C626" r:id="rId626" xr:uid="{00000000-0004-0000-0100-000071020000}"/>
    <hyperlink ref="C627" r:id="rId627" xr:uid="{00000000-0004-0000-0100-000072020000}"/>
    <hyperlink ref="C628" r:id="rId628" xr:uid="{00000000-0004-0000-0100-000073020000}"/>
    <hyperlink ref="C629" r:id="rId629" xr:uid="{00000000-0004-0000-0100-000074020000}"/>
    <hyperlink ref="C630" r:id="rId630" xr:uid="{00000000-0004-0000-0100-000075020000}"/>
    <hyperlink ref="C631" r:id="rId631" xr:uid="{00000000-0004-0000-0100-000076020000}"/>
    <hyperlink ref="C632" r:id="rId632" xr:uid="{00000000-0004-0000-0100-000077020000}"/>
    <hyperlink ref="C633" r:id="rId633" xr:uid="{00000000-0004-0000-0100-000078020000}"/>
    <hyperlink ref="C634" r:id="rId634" xr:uid="{00000000-0004-0000-0100-000079020000}"/>
    <hyperlink ref="C635" r:id="rId635" xr:uid="{00000000-0004-0000-0100-00007A020000}"/>
    <hyperlink ref="C636" r:id="rId636" xr:uid="{00000000-0004-0000-0100-00007B020000}"/>
    <hyperlink ref="C637" r:id="rId637" xr:uid="{00000000-0004-0000-0100-00007C020000}"/>
    <hyperlink ref="C638" r:id="rId638" xr:uid="{00000000-0004-0000-0100-00007D020000}"/>
    <hyperlink ref="C639" r:id="rId639" xr:uid="{00000000-0004-0000-0100-00007E020000}"/>
    <hyperlink ref="C640" r:id="rId640" xr:uid="{00000000-0004-0000-0100-00007F020000}"/>
    <hyperlink ref="C641" r:id="rId641" xr:uid="{00000000-0004-0000-0100-000080020000}"/>
    <hyperlink ref="C642" r:id="rId642" xr:uid="{00000000-0004-0000-0100-000081020000}"/>
    <hyperlink ref="C643" r:id="rId643" xr:uid="{00000000-0004-0000-0100-000082020000}"/>
    <hyperlink ref="C644" r:id="rId644" xr:uid="{00000000-0004-0000-0100-000083020000}"/>
    <hyperlink ref="C645" r:id="rId645" xr:uid="{00000000-0004-0000-0100-000084020000}"/>
    <hyperlink ref="C646" r:id="rId646" xr:uid="{00000000-0004-0000-0100-000085020000}"/>
    <hyperlink ref="C647" r:id="rId647" xr:uid="{00000000-0004-0000-0100-000086020000}"/>
    <hyperlink ref="C648" r:id="rId648" xr:uid="{00000000-0004-0000-0100-000087020000}"/>
    <hyperlink ref="C649" r:id="rId649" xr:uid="{00000000-0004-0000-0100-000088020000}"/>
    <hyperlink ref="C650" r:id="rId650" xr:uid="{00000000-0004-0000-0100-000089020000}"/>
    <hyperlink ref="C651" r:id="rId651" xr:uid="{00000000-0004-0000-0100-00008A020000}"/>
    <hyperlink ref="C652" r:id="rId652" xr:uid="{00000000-0004-0000-0100-00008B020000}"/>
    <hyperlink ref="C653" r:id="rId653" xr:uid="{00000000-0004-0000-0100-00008C020000}"/>
    <hyperlink ref="C654" r:id="rId654" xr:uid="{00000000-0004-0000-0100-00008D020000}"/>
    <hyperlink ref="C655" r:id="rId655" xr:uid="{00000000-0004-0000-0100-00008E020000}"/>
    <hyperlink ref="C656" r:id="rId656" xr:uid="{00000000-0004-0000-0100-00008F020000}"/>
    <hyperlink ref="C657" r:id="rId657" xr:uid="{00000000-0004-0000-0100-000090020000}"/>
    <hyperlink ref="C658" r:id="rId658" xr:uid="{00000000-0004-0000-0100-000091020000}"/>
    <hyperlink ref="C659" r:id="rId659" xr:uid="{00000000-0004-0000-0100-000092020000}"/>
    <hyperlink ref="C660" r:id="rId660" xr:uid="{00000000-0004-0000-0100-000093020000}"/>
    <hyperlink ref="C661" r:id="rId661" xr:uid="{00000000-0004-0000-0100-000094020000}"/>
    <hyperlink ref="C662" r:id="rId662" xr:uid="{00000000-0004-0000-0100-000095020000}"/>
    <hyperlink ref="C663" r:id="rId663" xr:uid="{00000000-0004-0000-0100-000096020000}"/>
    <hyperlink ref="C664" r:id="rId664" xr:uid="{00000000-0004-0000-0100-000097020000}"/>
    <hyperlink ref="C665" r:id="rId665" xr:uid="{00000000-0004-0000-0100-000098020000}"/>
    <hyperlink ref="C666" r:id="rId666" xr:uid="{00000000-0004-0000-0100-000099020000}"/>
    <hyperlink ref="C667" r:id="rId667" xr:uid="{00000000-0004-0000-0100-00009A020000}"/>
    <hyperlink ref="C668" r:id="rId668" xr:uid="{00000000-0004-0000-0100-00009B020000}"/>
    <hyperlink ref="C669" r:id="rId669" xr:uid="{00000000-0004-0000-0100-00009C020000}"/>
    <hyperlink ref="C670" r:id="rId670" xr:uid="{00000000-0004-0000-0100-00009D020000}"/>
    <hyperlink ref="C671" r:id="rId671" xr:uid="{00000000-0004-0000-0100-00009E020000}"/>
    <hyperlink ref="C672" r:id="rId672" xr:uid="{00000000-0004-0000-0100-00009F020000}"/>
    <hyperlink ref="C673" r:id="rId673" xr:uid="{00000000-0004-0000-0100-0000A0020000}"/>
    <hyperlink ref="C674" r:id="rId674" xr:uid="{00000000-0004-0000-0100-0000A1020000}"/>
    <hyperlink ref="C675" r:id="rId675" xr:uid="{00000000-0004-0000-0100-0000A2020000}"/>
    <hyperlink ref="C676" r:id="rId676" xr:uid="{00000000-0004-0000-0100-0000A3020000}"/>
    <hyperlink ref="C677" r:id="rId677" xr:uid="{00000000-0004-0000-0100-0000A4020000}"/>
    <hyperlink ref="C678" r:id="rId678" xr:uid="{00000000-0004-0000-0100-0000A5020000}"/>
    <hyperlink ref="C679" r:id="rId679" xr:uid="{00000000-0004-0000-0100-0000A6020000}"/>
    <hyperlink ref="C680" r:id="rId680" xr:uid="{00000000-0004-0000-0100-0000A7020000}"/>
    <hyperlink ref="C681" r:id="rId681" xr:uid="{00000000-0004-0000-0100-0000A8020000}"/>
    <hyperlink ref="C682" r:id="rId682" xr:uid="{00000000-0004-0000-0100-0000A9020000}"/>
    <hyperlink ref="C683" r:id="rId683" xr:uid="{00000000-0004-0000-0100-0000AA020000}"/>
    <hyperlink ref="C684" r:id="rId684" xr:uid="{00000000-0004-0000-0100-0000AB020000}"/>
    <hyperlink ref="C685" r:id="rId685" xr:uid="{00000000-0004-0000-0100-0000AC020000}"/>
    <hyperlink ref="C686" r:id="rId686" xr:uid="{00000000-0004-0000-0100-0000AD020000}"/>
    <hyperlink ref="C687" r:id="rId687" xr:uid="{00000000-0004-0000-0100-0000AE020000}"/>
    <hyperlink ref="C688" r:id="rId688" xr:uid="{00000000-0004-0000-0100-0000AF020000}"/>
    <hyperlink ref="C689" r:id="rId689" xr:uid="{00000000-0004-0000-0100-0000B0020000}"/>
    <hyperlink ref="C690" r:id="rId690" xr:uid="{00000000-0004-0000-0100-0000B1020000}"/>
    <hyperlink ref="C691" r:id="rId691" xr:uid="{00000000-0004-0000-0100-0000B2020000}"/>
    <hyperlink ref="C692" r:id="rId692" xr:uid="{00000000-0004-0000-0100-0000B3020000}"/>
    <hyperlink ref="C693" r:id="rId693" xr:uid="{00000000-0004-0000-0100-0000B4020000}"/>
    <hyperlink ref="C694" r:id="rId694" xr:uid="{00000000-0004-0000-0100-0000B5020000}"/>
    <hyperlink ref="C695" r:id="rId695" xr:uid="{00000000-0004-0000-0100-0000B6020000}"/>
    <hyperlink ref="C696" r:id="rId696" xr:uid="{00000000-0004-0000-0100-0000B7020000}"/>
    <hyperlink ref="C697" r:id="rId697" xr:uid="{00000000-0004-0000-0100-0000B8020000}"/>
    <hyperlink ref="C698" r:id="rId698" xr:uid="{00000000-0004-0000-0100-0000B9020000}"/>
    <hyperlink ref="C699" r:id="rId699" xr:uid="{00000000-0004-0000-0100-0000BA020000}"/>
    <hyperlink ref="C700" r:id="rId700" xr:uid="{00000000-0004-0000-0100-0000BB020000}"/>
    <hyperlink ref="C701" r:id="rId701" xr:uid="{00000000-0004-0000-0100-0000BC020000}"/>
    <hyperlink ref="C702" r:id="rId702" xr:uid="{00000000-0004-0000-0100-0000BD020000}"/>
    <hyperlink ref="C703" r:id="rId703" xr:uid="{00000000-0004-0000-0100-0000BE020000}"/>
    <hyperlink ref="C704" r:id="rId704" xr:uid="{00000000-0004-0000-0100-0000BF020000}"/>
    <hyperlink ref="C705" r:id="rId705" xr:uid="{00000000-0004-0000-0100-0000C0020000}"/>
    <hyperlink ref="C706" r:id="rId706" xr:uid="{00000000-0004-0000-0100-0000C1020000}"/>
    <hyperlink ref="C707" r:id="rId707" xr:uid="{00000000-0004-0000-0100-0000C2020000}"/>
    <hyperlink ref="C708" r:id="rId708" xr:uid="{00000000-0004-0000-0100-0000C3020000}"/>
    <hyperlink ref="C709" r:id="rId709" xr:uid="{00000000-0004-0000-0100-0000C4020000}"/>
    <hyperlink ref="C710" r:id="rId710" xr:uid="{00000000-0004-0000-0100-0000C5020000}"/>
    <hyperlink ref="C711" r:id="rId711" xr:uid="{00000000-0004-0000-0100-0000C6020000}"/>
    <hyperlink ref="C712" r:id="rId712" xr:uid="{00000000-0004-0000-0100-0000C7020000}"/>
    <hyperlink ref="C713" r:id="rId713" xr:uid="{00000000-0004-0000-0100-0000C8020000}"/>
    <hyperlink ref="C714" r:id="rId714" xr:uid="{00000000-0004-0000-0100-0000C9020000}"/>
    <hyperlink ref="C715" r:id="rId715" xr:uid="{00000000-0004-0000-0100-0000CA020000}"/>
    <hyperlink ref="C716" r:id="rId716" xr:uid="{00000000-0004-0000-0100-0000CB020000}"/>
    <hyperlink ref="C717" r:id="rId717" xr:uid="{00000000-0004-0000-0100-0000CC020000}"/>
    <hyperlink ref="C718" r:id="rId718" xr:uid="{00000000-0004-0000-0100-0000CD020000}"/>
    <hyperlink ref="C719" r:id="rId719" xr:uid="{00000000-0004-0000-0100-0000CE020000}"/>
    <hyperlink ref="C720" r:id="rId720" xr:uid="{00000000-0004-0000-0100-0000CF020000}"/>
    <hyperlink ref="C721" r:id="rId721" xr:uid="{00000000-0004-0000-0100-0000D0020000}"/>
    <hyperlink ref="C722" r:id="rId722" xr:uid="{00000000-0004-0000-0100-0000D1020000}"/>
    <hyperlink ref="C723" r:id="rId723" xr:uid="{00000000-0004-0000-0100-0000D2020000}"/>
    <hyperlink ref="C724" r:id="rId724" xr:uid="{00000000-0004-0000-0100-0000D3020000}"/>
    <hyperlink ref="C725" r:id="rId725" xr:uid="{00000000-0004-0000-0100-0000D4020000}"/>
    <hyperlink ref="C726" r:id="rId726" xr:uid="{00000000-0004-0000-0100-0000D5020000}"/>
    <hyperlink ref="C727" r:id="rId727" xr:uid="{00000000-0004-0000-0100-0000D6020000}"/>
    <hyperlink ref="C728" r:id="rId728" xr:uid="{00000000-0004-0000-0100-0000D7020000}"/>
    <hyperlink ref="C729" r:id="rId729" xr:uid="{00000000-0004-0000-0100-0000D8020000}"/>
    <hyperlink ref="C730" r:id="rId730" xr:uid="{00000000-0004-0000-0100-0000D9020000}"/>
    <hyperlink ref="C731" r:id="rId731" xr:uid="{00000000-0004-0000-0100-0000DA020000}"/>
    <hyperlink ref="C732" r:id="rId732" xr:uid="{00000000-0004-0000-0100-0000DB020000}"/>
    <hyperlink ref="C733" r:id="rId733" xr:uid="{00000000-0004-0000-0100-0000DC020000}"/>
    <hyperlink ref="C734" r:id="rId734" xr:uid="{00000000-0004-0000-0100-0000DD020000}"/>
    <hyperlink ref="C735" r:id="rId735" xr:uid="{00000000-0004-0000-0100-0000DE020000}"/>
    <hyperlink ref="C736" r:id="rId736" xr:uid="{00000000-0004-0000-0100-0000DF020000}"/>
    <hyperlink ref="C737" r:id="rId737" xr:uid="{00000000-0004-0000-0100-0000E0020000}"/>
    <hyperlink ref="C738" r:id="rId738" xr:uid="{00000000-0004-0000-0100-0000E1020000}"/>
    <hyperlink ref="C739" r:id="rId739" xr:uid="{00000000-0004-0000-0100-0000E2020000}"/>
    <hyperlink ref="C740" r:id="rId740" xr:uid="{00000000-0004-0000-0100-0000E3020000}"/>
    <hyperlink ref="C741" r:id="rId741" xr:uid="{00000000-0004-0000-0100-0000E4020000}"/>
    <hyperlink ref="C742" r:id="rId742" xr:uid="{00000000-0004-0000-0100-0000E5020000}"/>
    <hyperlink ref="C743" r:id="rId743" xr:uid="{00000000-0004-0000-0100-0000E6020000}"/>
    <hyperlink ref="C744" r:id="rId744" xr:uid="{00000000-0004-0000-0100-0000E7020000}"/>
    <hyperlink ref="C745" r:id="rId745" xr:uid="{00000000-0004-0000-0100-0000E8020000}"/>
    <hyperlink ref="C746" r:id="rId746" xr:uid="{00000000-0004-0000-0100-0000E9020000}"/>
    <hyperlink ref="C747" r:id="rId747" xr:uid="{00000000-0004-0000-0100-0000EA020000}"/>
    <hyperlink ref="C748" r:id="rId748" xr:uid="{00000000-0004-0000-0100-0000EB020000}"/>
    <hyperlink ref="C749" r:id="rId749" xr:uid="{00000000-0004-0000-0100-0000EC020000}"/>
    <hyperlink ref="C750" r:id="rId750" xr:uid="{00000000-0004-0000-0100-0000ED020000}"/>
    <hyperlink ref="C751" r:id="rId751" xr:uid="{00000000-0004-0000-0100-0000EE020000}"/>
    <hyperlink ref="C752" r:id="rId752" xr:uid="{00000000-0004-0000-0100-0000EF020000}"/>
    <hyperlink ref="C753" r:id="rId753" xr:uid="{00000000-0004-0000-0100-0000F0020000}"/>
    <hyperlink ref="C754" r:id="rId754" xr:uid="{00000000-0004-0000-0100-0000F1020000}"/>
    <hyperlink ref="C755" r:id="rId755" xr:uid="{00000000-0004-0000-0100-0000F2020000}"/>
    <hyperlink ref="C756" r:id="rId756" xr:uid="{00000000-0004-0000-0100-0000F3020000}"/>
    <hyperlink ref="C757" r:id="rId757" xr:uid="{00000000-0004-0000-0100-0000F4020000}"/>
    <hyperlink ref="C758" r:id="rId758" xr:uid="{00000000-0004-0000-0100-0000F5020000}"/>
    <hyperlink ref="C759" r:id="rId759" xr:uid="{00000000-0004-0000-0100-0000F6020000}"/>
    <hyperlink ref="C760" r:id="rId760" xr:uid="{00000000-0004-0000-0100-0000F7020000}"/>
    <hyperlink ref="C761" r:id="rId761" xr:uid="{00000000-0004-0000-0100-0000F8020000}"/>
    <hyperlink ref="C762" r:id="rId762" xr:uid="{00000000-0004-0000-0100-0000F9020000}"/>
    <hyperlink ref="C763" r:id="rId763" xr:uid="{00000000-0004-0000-0100-0000FA020000}"/>
    <hyperlink ref="C764" r:id="rId764" xr:uid="{00000000-0004-0000-0100-0000FB020000}"/>
    <hyperlink ref="C765" r:id="rId765" xr:uid="{00000000-0004-0000-0100-0000FC020000}"/>
    <hyperlink ref="C766" r:id="rId766" xr:uid="{00000000-0004-0000-0100-0000FD020000}"/>
    <hyperlink ref="C767" r:id="rId767" xr:uid="{00000000-0004-0000-0100-0000FE020000}"/>
    <hyperlink ref="C768" r:id="rId768" xr:uid="{00000000-0004-0000-0100-0000FF020000}"/>
    <hyperlink ref="C769" r:id="rId769" xr:uid="{00000000-0004-0000-0100-000000030000}"/>
    <hyperlink ref="C770" r:id="rId770" xr:uid="{00000000-0004-0000-0100-000001030000}"/>
    <hyperlink ref="C771" r:id="rId771" xr:uid="{00000000-0004-0000-0100-000002030000}"/>
    <hyperlink ref="C772" r:id="rId772" xr:uid="{00000000-0004-0000-0100-000003030000}"/>
    <hyperlink ref="C773" r:id="rId773" xr:uid="{00000000-0004-0000-0100-000004030000}"/>
    <hyperlink ref="C774" r:id="rId774" xr:uid="{00000000-0004-0000-0100-000005030000}"/>
    <hyperlink ref="C775" r:id="rId775" xr:uid="{00000000-0004-0000-0100-000006030000}"/>
    <hyperlink ref="C776" r:id="rId776" xr:uid="{00000000-0004-0000-0100-000007030000}"/>
    <hyperlink ref="C777" r:id="rId777" xr:uid="{00000000-0004-0000-0100-000008030000}"/>
    <hyperlink ref="C778" r:id="rId778" xr:uid="{00000000-0004-0000-0100-000009030000}"/>
    <hyperlink ref="C779" r:id="rId779" xr:uid="{00000000-0004-0000-0100-00000A030000}"/>
    <hyperlink ref="C780" r:id="rId780" xr:uid="{00000000-0004-0000-0100-00000B030000}"/>
    <hyperlink ref="C781" r:id="rId781" xr:uid="{00000000-0004-0000-0100-00000C030000}"/>
    <hyperlink ref="C782" r:id="rId782" xr:uid="{00000000-0004-0000-0100-00000D030000}"/>
    <hyperlink ref="C783" r:id="rId783" xr:uid="{00000000-0004-0000-0100-00000E030000}"/>
    <hyperlink ref="C784" r:id="rId784" xr:uid="{00000000-0004-0000-0100-00000F030000}"/>
    <hyperlink ref="C785" r:id="rId785" xr:uid="{00000000-0004-0000-0100-000010030000}"/>
    <hyperlink ref="C786" r:id="rId786" xr:uid="{00000000-0004-0000-0100-000011030000}"/>
    <hyperlink ref="C787" r:id="rId787" xr:uid="{00000000-0004-0000-0100-000012030000}"/>
    <hyperlink ref="C788" r:id="rId788" xr:uid="{00000000-0004-0000-0100-000013030000}"/>
    <hyperlink ref="C789" r:id="rId789" xr:uid="{00000000-0004-0000-0100-000014030000}"/>
    <hyperlink ref="C790" r:id="rId790" xr:uid="{00000000-0004-0000-0100-000015030000}"/>
    <hyperlink ref="C791" r:id="rId791" xr:uid="{00000000-0004-0000-0100-000016030000}"/>
    <hyperlink ref="C792" r:id="rId792" xr:uid="{00000000-0004-0000-0100-000017030000}"/>
    <hyperlink ref="C793" r:id="rId793" xr:uid="{00000000-0004-0000-0100-000018030000}"/>
    <hyperlink ref="C794" r:id="rId794" xr:uid="{00000000-0004-0000-0100-000019030000}"/>
    <hyperlink ref="C795" r:id="rId795" xr:uid="{00000000-0004-0000-0100-00001A030000}"/>
    <hyperlink ref="C796" r:id="rId796" xr:uid="{00000000-0004-0000-0100-00001B030000}"/>
    <hyperlink ref="C797" r:id="rId797" xr:uid="{00000000-0004-0000-0100-00001C030000}"/>
    <hyperlink ref="C798" r:id="rId798" xr:uid="{00000000-0004-0000-0100-00001D030000}"/>
    <hyperlink ref="C799" r:id="rId799" xr:uid="{00000000-0004-0000-0100-00001E030000}"/>
    <hyperlink ref="C800" r:id="rId800" xr:uid="{00000000-0004-0000-0100-00001F030000}"/>
    <hyperlink ref="C801" r:id="rId801" xr:uid="{00000000-0004-0000-0100-000020030000}"/>
    <hyperlink ref="C802" r:id="rId802" xr:uid="{00000000-0004-0000-0100-000021030000}"/>
    <hyperlink ref="C803" r:id="rId803" xr:uid="{00000000-0004-0000-0100-000022030000}"/>
    <hyperlink ref="C804" r:id="rId804" xr:uid="{00000000-0004-0000-0100-000023030000}"/>
    <hyperlink ref="C805" r:id="rId805" xr:uid="{00000000-0004-0000-0100-000024030000}"/>
    <hyperlink ref="C806" r:id="rId806" xr:uid="{00000000-0004-0000-0100-000025030000}"/>
    <hyperlink ref="C807" r:id="rId807" xr:uid="{00000000-0004-0000-0100-000026030000}"/>
    <hyperlink ref="C808" r:id="rId808" xr:uid="{00000000-0004-0000-0100-000027030000}"/>
    <hyperlink ref="C809" r:id="rId809" xr:uid="{00000000-0004-0000-0100-000028030000}"/>
    <hyperlink ref="C810" r:id="rId810" xr:uid="{00000000-0004-0000-0100-000029030000}"/>
    <hyperlink ref="C811" r:id="rId811" xr:uid="{00000000-0004-0000-0100-00002A030000}"/>
    <hyperlink ref="C812" r:id="rId812" xr:uid="{00000000-0004-0000-0100-00002B030000}"/>
    <hyperlink ref="C813" r:id="rId813" xr:uid="{00000000-0004-0000-0100-00002C030000}"/>
    <hyperlink ref="C814" r:id="rId814" xr:uid="{00000000-0004-0000-0100-00002D030000}"/>
    <hyperlink ref="C815" r:id="rId815" xr:uid="{00000000-0004-0000-0100-00002E030000}"/>
    <hyperlink ref="C816" r:id="rId816" xr:uid="{00000000-0004-0000-0100-00002F030000}"/>
    <hyperlink ref="C817" r:id="rId817" xr:uid="{00000000-0004-0000-0100-000030030000}"/>
    <hyperlink ref="C818" r:id="rId818" xr:uid="{00000000-0004-0000-0100-000031030000}"/>
    <hyperlink ref="C819" r:id="rId819" xr:uid="{00000000-0004-0000-0100-000032030000}"/>
    <hyperlink ref="C820" r:id="rId820" xr:uid="{00000000-0004-0000-0100-000033030000}"/>
    <hyperlink ref="C821" r:id="rId821" xr:uid="{00000000-0004-0000-0100-000034030000}"/>
    <hyperlink ref="C822" r:id="rId822" xr:uid="{00000000-0004-0000-0100-000035030000}"/>
    <hyperlink ref="C823" r:id="rId823" xr:uid="{00000000-0004-0000-0100-000036030000}"/>
    <hyperlink ref="C824" r:id="rId824" xr:uid="{00000000-0004-0000-0100-000037030000}"/>
    <hyperlink ref="C825" r:id="rId825" xr:uid="{00000000-0004-0000-0100-000038030000}"/>
    <hyperlink ref="C826" r:id="rId826" xr:uid="{00000000-0004-0000-0100-000039030000}"/>
    <hyperlink ref="C827" r:id="rId827" xr:uid="{00000000-0004-0000-0100-00003A030000}"/>
    <hyperlink ref="C828" r:id="rId828" xr:uid="{00000000-0004-0000-0100-00003B030000}"/>
    <hyperlink ref="C829" r:id="rId829" xr:uid="{00000000-0004-0000-0100-00003C030000}"/>
    <hyperlink ref="C830" r:id="rId830" xr:uid="{00000000-0004-0000-0100-00003D030000}"/>
    <hyperlink ref="C831" r:id="rId831" xr:uid="{00000000-0004-0000-0100-00003E030000}"/>
    <hyperlink ref="C832" r:id="rId832" xr:uid="{00000000-0004-0000-0100-00003F030000}"/>
    <hyperlink ref="C833" r:id="rId833" xr:uid="{00000000-0004-0000-0100-000040030000}"/>
    <hyperlink ref="C834" r:id="rId834" xr:uid="{00000000-0004-0000-0100-000041030000}"/>
    <hyperlink ref="C835" r:id="rId835" xr:uid="{00000000-0004-0000-0100-000042030000}"/>
    <hyperlink ref="C836" r:id="rId836" xr:uid="{00000000-0004-0000-0100-000043030000}"/>
    <hyperlink ref="C837" r:id="rId837" xr:uid="{00000000-0004-0000-0100-000044030000}"/>
    <hyperlink ref="C838" r:id="rId838" xr:uid="{00000000-0004-0000-0100-000045030000}"/>
    <hyperlink ref="C839" r:id="rId839" xr:uid="{00000000-0004-0000-0100-000046030000}"/>
    <hyperlink ref="C840" r:id="rId840" xr:uid="{00000000-0004-0000-0100-000047030000}"/>
    <hyperlink ref="C841" r:id="rId841" xr:uid="{00000000-0004-0000-0100-000048030000}"/>
    <hyperlink ref="C842" r:id="rId842" xr:uid="{00000000-0004-0000-0100-000049030000}"/>
    <hyperlink ref="C843" r:id="rId843" xr:uid="{00000000-0004-0000-0100-00004A030000}"/>
    <hyperlink ref="C844" r:id="rId844" xr:uid="{00000000-0004-0000-0100-00004B030000}"/>
    <hyperlink ref="C845" r:id="rId845" xr:uid="{00000000-0004-0000-0100-00004C030000}"/>
    <hyperlink ref="C846" r:id="rId846" xr:uid="{00000000-0004-0000-0100-00004D030000}"/>
    <hyperlink ref="C847" r:id="rId847" xr:uid="{00000000-0004-0000-0100-00004E030000}"/>
    <hyperlink ref="C848" r:id="rId848" xr:uid="{00000000-0004-0000-0100-00004F030000}"/>
    <hyperlink ref="C849" r:id="rId849" xr:uid="{00000000-0004-0000-0100-000050030000}"/>
    <hyperlink ref="C850" r:id="rId850" xr:uid="{00000000-0004-0000-0100-000051030000}"/>
    <hyperlink ref="C851" r:id="rId851" xr:uid="{00000000-0004-0000-0100-000052030000}"/>
    <hyperlink ref="C852" r:id="rId852" xr:uid="{00000000-0004-0000-0100-000053030000}"/>
    <hyperlink ref="C853" r:id="rId853" xr:uid="{00000000-0004-0000-0100-000054030000}"/>
    <hyperlink ref="C854" r:id="rId854" xr:uid="{00000000-0004-0000-0100-000055030000}"/>
    <hyperlink ref="C855" r:id="rId855" xr:uid="{00000000-0004-0000-0100-000056030000}"/>
    <hyperlink ref="C856" r:id="rId856" xr:uid="{00000000-0004-0000-0100-000057030000}"/>
    <hyperlink ref="C857" r:id="rId857" xr:uid="{00000000-0004-0000-0100-000058030000}"/>
    <hyperlink ref="C858" r:id="rId858" xr:uid="{00000000-0004-0000-0100-000059030000}"/>
    <hyperlink ref="C859" r:id="rId859" xr:uid="{00000000-0004-0000-0100-00005A030000}"/>
    <hyperlink ref="C860" r:id="rId860" xr:uid="{00000000-0004-0000-0100-00005B030000}"/>
    <hyperlink ref="C861" r:id="rId861" xr:uid="{00000000-0004-0000-0100-00005C030000}"/>
    <hyperlink ref="C862" r:id="rId862" xr:uid="{00000000-0004-0000-0100-00005D030000}"/>
    <hyperlink ref="C863" r:id="rId863" xr:uid="{00000000-0004-0000-0100-00005E030000}"/>
    <hyperlink ref="C864" r:id="rId864" xr:uid="{00000000-0004-0000-0100-00005F030000}"/>
    <hyperlink ref="C865" r:id="rId865" xr:uid="{00000000-0004-0000-0100-000060030000}"/>
    <hyperlink ref="C866" r:id="rId866" xr:uid="{00000000-0004-0000-0100-000061030000}"/>
    <hyperlink ref="C867" r:id="rId867" xr:uid="{00000000-0004-0000-0100-000062030000}"/>
    <hyperlink ref="C868" r:id="rId868" xr:uid="{00000000-0004-0000-0100-000063030000}"/>
    <hyperlink ref="C869" r:id="rId869" xr:uid="{00000000-0004-0000-0100-000064030000}"/>
    <hyperlink ref="C870" r:id="rId870" xr:uid="{00000000-0004-0000-0100-000065030000}"/>
    <hyperlink ref="C871" r:id="rId871" xr:uid="{00000000-0004-0000-0100-000066030000}"/>
    <hyperlink ref="C872" r:id="rId872" xr:uid="{00000000-0004-0000-0100-000067030000}"/>
    <hyperlink ref="C873" r:id="rId873" xr:uid="{00000000-0004-0000-0100-000068030000}"/>
    <hyperlink ref="C874" r:id="rId874" xr:uid="{00000000-0004-0000-0100-000069030000}"/>
    <hyperlink ref="C875" r:id="rId875" xr:uid="{00000000-0004-0000-0100-00006A030000}"/>
    <hyperlink ref="C876" r:id="rId876" xr:uid="{00000000-0004-0000-0100-00006B030000}"/>
    <hyperlink ref="C877" r:id="rId877" xr:uid="{00000000-0004-0000-0100-00006C030000}"/>
    <hyperlink ref="C878" r:id="rId878" xr:uid="{00000000-0004-0000-0100-00006D030000}"/>
    <hyperlink ref="C879" r:id="rId879" xr:uid="{00000000-0004-0000-0100-00006E030000}"/>
    <hyperlink ref="C880" r:id="rId880" xr:uid="{00000000-0004-0000-0100-00006F030000}"/>
    <hyperlink ref="C881" r:id="rId881" xr:uid="{00000000-0004-0000-0100-000070030000}"/>
    <hyperlink ref="C882" r:id="rId882" xr:uid="{00000000-0004-0000-0100-000071030000}"/>
    <hyperlink ref="C883" r:id="rId883" xr:uid="{00000000-0004-0000-0100-000072030000}"/>
    <hyperlink ref="C884" r:id="rId884" xr:uid="{00000000-0004-0000-0100-000073030000}"/>
    <hyperlink ref="C885" r:id="rId885" xr:uid="{00000000-0004-0000-0100-000074030000}"/>
    <hyperlink ref="C886" r:id="rId886" xr:uid="{00000000-0004-0000-0100-000075030000}"/>
    <hyperlink ref="C887" r:id="rId887" xr:uid="{00000000-0004-0000-0100-000076030000}"/>
    <hyperlink ref="C888" r:id="rId888" xr:uid="{00000000-0004-0000-0100-000077030000}"/>
    <hyperlink ref="C889" r:id="rId889" xr:uid="{00000000-0004-0000-0100-000078030000}"/>
    <hyperlink ref="C890" r:id="rId890" xr:uid="{00000000-0004-0000-0100-000079030000}"/>
    <hyperlink ref="C891" r:id="rId891" xr:uid="{00000000-0004-0000-0100-00007A030000}"/>
    <hyperlink ref="C892" r:id="rId892" xr:uid="{00000000-0004-0000-0100-00007B030000}"/>
    <hyperlink ref="C893" r:id="rId893" xr:uid="{00000000-0004-0000-0100-00007C030000}"/>
    <hyperlink ref="C894" r:id="rId894" xr:uid="{00000000-0004-0000-0100-00007D030000}"/>
    <hyperlink ref="C895" r:id="rId895" xr:uid="{00000000-0004-0000-0100-00007E030000}"/>
    <hyperlink ref="C896" r:id="rId896" xr:uid="{00000000-0004-0000-0100-00007F030000}"/>
    <hyperlink ref="C897" r:id="rId897" xr:uid="{00000000-0004-0000-0100-000080030000}"/>
    <hyperlink ref="C898" r:id="rId898" xr:uid="{00000000-0004-0000-0100-000081030000}"/>
    <hyperlink ref="C899" r:id="rId899" xr:uid="{00000000-0004-0000-0100-000082030000}"/>
    <hyperlink ref="C900" r:id="rId900" xr:uid="{00000000-0004-0000-0100-000083030000}"/>
    <hyperlink ref="C901" r:id="rId901" xr:uid="{00000000-0004-0000-0100-000084030000}"/>
    <hyperlink ref="C902" r:id="rId902" xr:uid="{00000000-0004-0000-0100-000085030000}"/>
    <hyperlink ref="C903" r:id="rId903" xr:uid="{00000000-0004-0000-0100-000086030000}"/>
    <hyperlink ref="C904" r:id="rId904" xr:uid="{00000000-0004-0000-0100-000087030000}"/>
    <hyperlink ref="C905" r:id="rId905" xr:uid="{00000000-0004-0000-0100-000088030000}"/>
    <hyperlink ref="C906" r:id="rId906" xr:uid="{00000000-0004-0000-0100-000089030000}"/>
    <hyperlink ref="C907" r:id="rId907" xr:uid="{00000000-0004-0000-0100-00008A030000}"/>
    <hyperlink ref="C908" r:id="rId908" xr:uid="{00000000-0004-0000-0100-00008B030000}"/>
    <hyperlink ref="C909" r:id="rId909" xr:uid="{00000000-0004-0000-0100-00008C030000}"/>
    <hyperlink ref="C910" r:id="rId910" xr:uid="{00000000-0004-0000-0100-00008D030000}"/>
    <hyperlink ref="C911" r:id="rId911" xr:uid="{00000000-0004-0000-0100-00008E030000}"/>
    <hyperlink ref="C912" r:id="rId912" xr:uid="{00000000-0004-0000-0100-00008F030000}"/>
    <hyperlink ref="C913" r:id="rId913" xr:uid="{00000000-0004-0000-0100-000090030000}"/>
    <hyperlink ref="C914" r:id="rId914" xr:uid="{00000000-0004-0000-0100-000091030000}"/>
    <hyperlink ref="C915" r:id="rId915" xr:uid="{00000000-0004-0000-0100-000092030000}"/>
    <hyperlink ref="C916" r:id="rId916" xr:uid="{00000000-0004-0000-0100-000093030000}"/>
    <hyperlink ref="C917" r:id="rId917" xr:uid="{00000000-0004-0000-0100-000094030000}"/>
    <hyperlink ref="C918" r:id="rId918" xr:uid="{00000000-0004-0000-0100-000095030000}"/>
    <hyperlink ref="C919" r:id="rId919" xr:uid="{00000000-0004-0000-0100-000096030000}"/>
    <hyperlink ref="C920" r:id="rId920" xr:uid="{00000000-0004-0000-0100-000097030000}"/>
    <hyperlink ref="C921" r:id="rId921" xr:uid="{00000000-0004-0000-0100-000098030000}"/>
    <hyperlink ref="C922" r:id="rId922" xr:uid="{00000000-0004-0000-0100-000099030000}"/>
    <hyperlink ref="C923" r:id="rId923" xr:uid="{00000000-0004-0000-0100-00009A030000}"/>
    <hyperlink ref="C924" r:id="rId924" xr:uid="{00000000-0004-0000-0100-00009B030000}"/>
    <hyperlink ref="C925" r:id="rId925" xr:uid="{00000000-0004-0000-0100-00009C030000}"/>
    <hyperlink ref="C926" r:id="rId926" xr:uid="{00000000-0004-0000-0100-00009D030000}"/>
    <hyperlink ref="C927" r:id="rId927" xr:uid="{00000000-0004-0000-0100-00009E030000}"/>
    <hyperlink ref="C928" r:id="rId928" xr:uid="{00000000-0004-0000-0100-00009F030000}"/>
    <hyperlink ref="C929" r:id="rId929" xr:uid="{00000000-0004-0000-0100-0000A0030000}"/>
    <hyperlink ref="C930" r:id="rId930" xr:uid="{00000000-0004-0000-0100-0000A1030000}"/>
    <hyperlink ref="C931" r:id="rId931" xr:uid="{00000000-0004-0000-0100-0000A2030000}"/>
    <hyperlink ref="C932" r:id="rId932" xr:uid="{00000000-0004-0000-0100-0000A3030000}"/>
    <hyperlink ref="C933" r:id="rId933" xr:uid="{00000000-0004-0000-0100-0000A4030000}"/>
    <hyperlink ref="C934" r:id="rId934" xr:uid="{00000000-0004-0000-0100-0000A5030000}"/>
    <hyperlink ref="C935" r:id="rId935" xr:uid="{00000000-0004-0000-0100-0000A6030000}"/>
    <hyperlink ref="C936" r:id="rId936" xr:uid="{00000000-0004-0000-0100-0000A7030000}"/>
    <hyperlink ref="C937" r:id="rId937" xr:uid="{00000000-0004-0000-0100-0000A8030000}"/>
    <hyperlink ref="C938" r:id="rId938" xr:uid="{00000000-0004-0000-0100-0000A9030000}"/>
    <hyperlink ref="C939" r:id="rId939" xr:uid="{00000000-0004-0000-0100-0000AA030000}"/>
    <hyperlink ref="C940" r:id="rId940" xr:uid="{00000000-0004-0000-0100-0000AB030000}"/>
    <hyperlink ref="C941" r:id="rId941" xr:uid="{00000000-0004-0000-0100-0000AC030000}"/>
    <hyperlink ref="C942" r:id="rId942" xr:uid="{00000000-0004-0000-0100-0000AD030000}"/>
    <hyperlink ref="C943" r:id="rId943" xr:uid="{00000000-0004-0000-0100-0000AE030000}"/>
    <hyperlink ref="C944" r:id="rId944" xr:uid="{00000000-0004-0000-0100-0000AF030000}"/>
    <hyperlink ref="C945" r:id="rId945" xr:uid="{00000000-0004-0000-0100-0000B0030000}"/>
    <hyperlink ref="C946" r:id="rId946" xr:uid="{00000000-0004-0000-0100-0000B1030000}"/>
    <hyperlink ref="C947" r:id="rId947" xr:uid="{00000000-0004-0000-0100-0000B2030000}"/>
    <hyperlink ref="C948" r:id="rId948" xr:uid="{00000000-0004-0000-0100-0000B3030000}"/>
    <hyperlink ref="C949" r:id="rId949" xr:uid="{00000000-0004-0000-0100-0000B4030000}"/>
    <hyperlink ref="C950" r:id="rId950" xr:uid="{00000000-0004-0000-0100-0000B5030000}"/>
    <hyperlink ref="C951" r:id="rId951" xr:uid="{00000000-0004-0000-0100-0000B6030000}"/>
    <hyperlink ref="C952" r:id="rId952" xr:uid="{00000000-0004-0000-0100-0000B7030000}"/>
    <hyperlink ref="C953" r:id="rId953" xr:uid="{00000000-0004-0000-0100-0000B8030000}"/>
    <hyperlink ref="C954" r:id="rId954" xr:uid="{00000000-0004-0000-0100-0000B9030000}"/>
    <hyperlink ref="C955" r:id="rId955" xr:uid="{00000000-0004-0000-0100-0000BA030000}"/>
    <hyperlink ref="C956" r:id="rId956" xr:uid="{00000000-0004-0000-0100-0000BB030000}"/>
    <hyperlink ref="C957" r:id="rId957" xr:uid="{00000000-0004-0000-0100-0000BC030000}"/>
    <hyperlink ref="C958" r:id="rId958" xr:uid="{00000000-0004-0000-0100-0000BD030000}"/>
    <hyperlink ref="C959" r:id="rId959" xr:uid="{00000000-0004-0000-0100-0000BE030000}"/>
    <hyperlink ref="C960" r:id="rId960" xr:uid="{00000000-0004-0000-0100-0000BF030000}"/>
    <hyperlink ref="C961" r:id="rId961" xr:uid="{00000000-0004-0000-0100-0000C0030000}"/>
    <hyperlink ref="C962" r:id="rId962" xr:uid="{00000000-0004-0000-0100-0000C1030000}"/>
    <hyperlink ref="C963" r:id="rId963" xr:uid="{00000000-0004-0000-0100-0000C2030000}"/>
    <hyperlink ref="C964" r:id="rId964" xr:uid="{00000000-0004-0000-0100-0000C3030000}"/>
    <hyperlink ref="C965" r:id="rId965" xr:uid="{00000000-0004-0000-0100-0000C4030000}"/>
    <hyperlink ref="C966" r:id="rId966" xr:uid="{00000000-0004-0000-0100-0000C5030000}"/>
    <hyperlink ref="C967" r:id="rId967" xr:uid="{00000000-0004-0000-0100-0000C6030000}"/>
    <hyperlink ref="C968" r:id="rId968" xr:uid="{00000000-0004-0000-0100-0000C7030000}"/>
    <hyperlink ref="C969" r:id="rId969" xr:uid="{00000000-0004-0000-0100-0000C8030000}"/>
    <hyperlink ref="C970" r:id="rId970" xr:uid="{00000000-0004-0000-0100-0000C9030000}"/>
    <hyperlink ref="C971" r:id="rId971" xr:uid="{00000000-0004-0000-0100-0000CA030000}"/>
    <hyperlink ref="C972" r:id="rId972" xr:uid="{00000000-0004-0000-0100-0000CB030000}"/>
    <hyperlink ref="C973" r:id="rId973" xr:uid="{00000000-0004-0000-0100-0000CC030000}"/>
    <hyperlink ref="C974" r:id="rId974" xr:uid="{00000000-0004-0000-0100-0000CD030000}"/>
    <hyperlink ref="C975" r:id="rId975" xr:uid="{00000000-0004-0000-0100-0000CE030000}"/>
    <hyperlink ref="C976" r:id="rId976" xr:uid="{00000000-0004-0000-0100-0000CF030000}"/>
    <hyperlink ref="C977" r:id="rId977" xr:uid="{00000000-0004-0000-0100-0000D0030000}"/>
    <hyperlink ref="C978" r:id="rId978" xr:uid="{00000000-0004-0000-0100-0000D1030000}"/>
    <hyperlink ref="C979" r:id="rId979" xr:uid="{00000000-0004-0000-0100-0000D2030000}"/>
    <hyperlink ref="C980" r:id="rId980" xr:uid="{00000000-0004-0000-0100-0000D3030000}"/>
    <hyperlink ref="C981" r:id="rId981" xr:uid="{00000000-0004-0000-0100-0000D4030000}"/>
    <hyperlink ref="C982" r:id="rId982" xr:uid="{00000000-0004-0000-0100-0000D5030000}"/>
    <hyperlink ref="C983" r:id="rId983" xr:uid="{00000000-0004-0000-0100-0000D6030000}"/>
    <hyperlink ref="C984" r:id="rId984" xr:uid="{00000000-0004-0000-0100-0000D7030000}"/>
    <hyperlink ref="C985" r:id="rId985" xr:uid="{00000000-0004-0000-0100-0000D8030000}"/>
    <hyperlink ref="C986" r:id="rId986" xr:uid="{00000000-0004-0000-0100-0000D9030000}"/>
    <hyperlink ref="C987" r:id="rId987" xr:uid="{00000000-0004-0000-0100-0000DA030000}"/>
    <hyperlink ref="C988" r:id="rId988" xr:uid="{00000000-0004-0000-0100-0000DB030000}"/>
    <hyperlink ref="C989" r:id="rId989" xr:uid="{00000000-0004-0000-0100-0000DC030000}"/>
    <hyperlink ref="C990" r:id="rId990" xr:uid="{00000000-0004-0000-0100-0000DD030000}"/>
    <hyperlink ref="C991" r:id="rId991" xr:uid="{00000000-0004-0000-0100-0000DE030000}"/>
    <hyperlink ref="C992" r:id="rId992" xr:uid="{00000000-0004-0000-0100-0000DF030000}"/>
    <hyperlink ref="C993" r:id="rId993" xr:uid="{00000000-0004-0000-0100-0000E0030000}"/>
    <hyperlink ref="C994" r:id="rId994" xr:uid="{00000000-0004-0000-0100-0000E1030000}"/>
    <hyperlink ref="C995" r:id="rId995" xr:uid="{00000000-0004-0000-0100-0000E2030000}"/>
    <hyperlink ref="C996" r:id="rId996" xr:uid="{00000000-0004-0000-0100-0000E3030000}"/>
    <hyperlink ref="C997" r:id="rId997" xr:uid="{00000000-0004-0000-0100-0000E4030000}"/>
    <hyperlink ref="C998" r:id="rId998" xr:uid="{00000000-0004-0000-0100-0000E5030000}"/>
    <hyperlink ref="C999" r:id="rId999" xr:uid="{00000000-0004-0000-0100-0000E6030000}"/>
    <hyperlink ref="C1000" r:id="rId1000" xr:uid="{00000000-0004-0000-0100-0000E7030000}"/>
    <hyperlink ref="C1001" r:id="rId1001" xr:uid="{00000000-0004-0000-0100-0000E8030000}"/>
    <hyperlink ref="C1002" r:id="rId1002" xr:uid="{00000000-0004-0000-0100-0000E9030000}"/>
    <hyperlink ref="C1003" r:id="rId1003" xr:uid="{00000000-0004-0000-0100-0000EA030000}"/>
    <hyperlink ref="C1004" r:id="rId1004" xr:uid="{00000000-0004-0000-0100-0000EB030000}"/>
    <hyperlink ref="C1005" r:id="rId1005" xr:uid="{00000000-0004-0000-0100-0000EC030000}"/>
    <hyperlink ref="C1006" r:id="rId1006" xr:uid="{00000000-0004-0000-0100-0000ED030000}"/>
    <hyperlink ref="C1007" r:id="rId1007" xr:uid="{00000000-0004-0000-0100-0000EE030000}"/>
    <hyperlink ref="C1008" r:id="rId1008" xr:uid="{00000000-0004-0000-0100-0000EF030000}"/>
    <hyperlink ref="C1009" r:id="rId1009" xr:uid="{00000000-0004-0000-0100-0000F0030000}"/>
    <hyperlink ref="C1010" r:id="rId1010" xr:uid="{00000000-0004-0000-0100-0000F1030000}"/>
    <hyperlink ref="C1011" r:id="rId1011" xr:uid="{00000000-0004-0000-0100-0000F2030000}"/>
    <hyperlink ref="C1012" r:id="rId1012" xr:uid="{00000000-0004-0000-0100-0000F3030000}"/>
    <hyperlink ref="C1013" r:id="rId1013" xr:uid="{00000000-0004-0000-0100-0000F4030000}"/>
    <hyperlink ref="C1014" r:id="rId1014" xr:uid="{00000000-0004-0000-0100-0000F5030000}"/>
    <hyperlink ref="C1015" r:id="rId1015" xr:uid="{00000000-0004-0000-0100-0000F6030000}"/>
    <hyperlink ref="C1016" r:id="rId1016" xr:uid="{00000000-0004-0000-0100-0000F7030000}"/>
    <hyperlink ref="C1017" r:id="rId1017" xr:uid="{00000000-0004-0000-0100-0000F8030000}"/>
    <hyperlink ref="C1018" r:id="rId1018" xr:uid="{00000000-0004-0000-0100-0000F9030000}"/>
    <hyperlink ref="C1019" r:id="rId1019" xr:uid="{00000000-0004-0000-0100-0000FA030000}"/>
    <hyperlink ref="C1020" r:id="rId1020" xr:uid="{00000000-0004-0000-0100-0000FB030000}"/>
    <hyperlink ref="C1021" r:id="rId1021" xr:uid="{00000000-0004-0000-0100-0000FC030000}"/>
    <hyperlink ref="C1022" r:id="rId1022" xr:uid="{00000000-0004-0000-0100-0000FD030000}"/>
    <hyperlink ref="C1023" r:id="rId1023" xr:uid="{00000000-0004-0000-0100-0000FE030000}"/>
    <hyperlink ref="C1024" r:id="rId1024" xr:uid="{00000000-0004-0000-0100-0000FF030000}"/>
    <hyperlink ref="C1025" r:id="rId1025" xr:uid="{00000000-0004-0000-0100-000000040000}"/>
    <hyperlink ref="C1026" r:id="rId1026" xr:uid="{00000000-0004-0000-0100-000001040000}"/>
    <hyperlink ref="C1027" r:id="rId1027" xr:uid="{00000000-0004-0000-0100-000002040000}"/>
    <hyperlink ref="C1028" r:id="rId1028" xr:uid="{00000000-0004-0000-0100-000003040000}"/>
    <hyperlink ref="C1029" r:id="rId1029" xr:uid="{00000000-0004-0000-0100-000004040000}"/>
    <hyperlink ref="C1030" r:id="rId1030" xr:uid="{00000000-0004-0000-0100-000005040000}"/>
    <hyperlink ref="C1031" r:id="rId1031" xr:uid="{00000000-0004-0000-0100-000006040000}"/>
    <hyperlink ref="C1032" r:id="rId1032" xr:uid="{00000000-0004-0000-0100-000007040000}"/>
    <hyperlink ref="C1033" r:id="rId1033" xr:uid="{00000000-0004-0000-0100-000008040000}"/>
    <hyperlink ref="C1034" r:id="rId1034" xr:uid="{00000000-0004-0000-0100-000009040000}"/>
    <hyperlink ref="C1035" r:id="rId1035" xr:uid="{00000000-0004-0000-0100-00000A040000}"/>
    <hyperlink ref="C1036" r:id="rId1036" xr:uid="{00000000-0004-0000-0100-00000B040000}"/>
    <hyperlink ref="C1037" r:id="rId1037" xr:uid="{00000000-0004-0000-0100-00000C040000}"/>
    <hyperlink ref="C1038" r:id="rId1038" xr:uid="{00000000-0004-0000-0100-00000D040000}"/>
    <hyperlink ref="C1039" r:id="rId1039" xr:uid="{00000000-0004-0000-0100-00000E040000}"/>
    <hyperlink ref="C1040" r:id="rId1040" xr:uid="{00000000-0004-0000-0100-00000F040000}"/>
    <hyperlink ref="C1041" r:id="rId1041" xr:uid="{00000000-0004-0000-0100-000010040000}"/>
    <hyperlink ref="C1042" r:id="rId1042" xr:uid="{00000000-0004-0000-0100-000011040000}"/>
    <hyperlink ref="C1043" r:id="rId1043" xr:uid="{00000000-0004-0000-0100-000012040000}"/>
    <hyperlink ref="C1044" r:id="rId1044" xr:uid="{00000000-0004-0000-0100-000013040000}"/>
    <hyperlink ref="C1045" r:id="rId1045" xr:uid="{00000000-0004-0000-0100-000014040000}"/>
    <hyperlink ref="C1046" r:id="rId1046" xr:uid="{00000000-0004-0000-0100-000015040000}"/>
    <hyperlink ref="C1047" r:id="rId1047" xr:uid="{00000000-0004-0000-0100-000016040000}"/>
    <hyperlink ref="C1048" r:id="rId1048" xr:uid="{00000000-0004-0000-0100-000017040000}"/>
    <hyperlink ref="C1049" r:id="rId1049" xr:uid="{00000000-0004-0000-0100-000018040000}"/>
    <hyperlink ref="C1050" r:id="rId1050" xr:uid="{00000000-0004-0000-0100-000019040000}"/>
    <hyperlink ref="C1051" r:id="rId1051" xr:uid="{00000000-0004-0000-0100-00001A040000}"/>
    <hyperlink ref="C1052" r:id="rId1052" xr:uid="{00000000-0004-0000-0100-00001B040000}"/>
    <hyperlink ref="C1053" r:id="rId1053" xr:uid="{00000000-0004-0000-0100-00001C040000}"/>
    <hyperlink ref="C1054" r:id="rId1054" xr:uid="{00000000-0004-0000-0100-00001D040000}"/>
    <hyperlink ref="C1055" r:id="rId1055" xr:uid="{00000000-0004-0000-0100-00001E040000}"/>
    <hyperlink ref="C1056" r:id="rId1056" xr:uid="{00000000-0004-0000-0100-00001F040000}"/>
    <hyperlink ref="C1057" r:id="rId1057" xr:uid="{00000000-0004-0000-0100-000020040000}"/>
    <hyperlink ref="C1058" r:id="rId1058" xr:uid="{00000000-0004-0000-0100-000021040000}"/>
    <hyperlink ref="C1059" r:id="rId1059" xr:uid="{00000000-0004-0000-0100-000022040000}"/>
    <hyperlink ref="C1060" r:id="rId1060" xr:uid="{00000000-0004-0000-0100-000023040000}"/>
    <hyperlink ref="C1061" r:id="rId1061" xr:uid="{00000000-0004-0000-0100-000024040000}"/>
    <hyperlink ref="C1062" r:id="rId1062" xr:uid="{00000000-0004-0000-0100-000025040000}"/>
    <hyperlink ref="C1063" r:id="rId1063" xr:uid="{00000000-0004-0000-0100-000026040000}"/>
    <hyperlink ref="C1064" r:id="rId1064" xr:uid="{00000000-0004-0000-0100-000027040000}"/>
    <hyperlink ref="C1065" r:id="rId1065" xr:uid="{00000000-0004-0000-0100-000028040000}"/>
    <hyperlink ref="C1066" r:id="rId1066" xr:uid="{00000000-0004-0000-0100-000029040000}"/>
    <hyperlink ref="C1067" r:id="rId1067" xr:uid="{00000000-0004-0000-0100-00002A040000}"/>
    <hyperlink ref="C1068" r:id="rId1068" xr:uid="{00000000-0004-0000-0100-00002B040000}"/>
    <hyperlink ref="C1069" r:id="rId1069" xr:uid="{00000000-0004-0000-0100-00002C040000}"/>
    <hyperlink ref="C1070" r:id="rId1070" xr:uid="{00000000-0004-0000-0100-00002D040000}"/>
    <hyperlink ref="C1071" r:id="rId1071" xr:uid="{00000000-0004-0000-0100-00002E040000}"/>
    <hyperlink ref="C1072" r:id="rId1072" xr:uid="{00000000-0004-0000-0100-00002F040000}"/>
    <hyperlink ref="C1073" r:id="rId1073" xr:uid="{00000000-0004-0000-0100-000030040000}"/>
    <hyperlink ref="C1074" r:id="rId1074" xr:uid="{00000000-0004-0000-0100-000031040000}"/>
    <hyperlink ref="C1075" r:id="rId1075" xr:uid="{00000000-0004-0000-0100-000032040000}"/>
    <hyperlink ref="C1076" r:id="rId1076" xr:uid="{00000000-0004-0000-0100-000033040000}"/>
    <hyperlink ref="C1077" r:id="rId1077" xr:uid="{00000000-0004-0000-0100-000034040000}"/>
    <hyperlink ref="C1078" r:id="rId1078" xr:uid="{00000000-0004-0000-0100-000035040000}"/>
    <hyperlink ref="C1079" r:id="rId1079" xr:uid="{00000000-0004-0000-0100-000036040000}"/>
    <hyperlink ref="C1080" r:id="rId1080" xr:uid="{00000000-0004-0000-0100-000037040000}"/>
    <hyperlink ref="C1081" r:id="rId1081" xr:uid="{00000000-0004-0000-0100-000038040000}"/>
    <hyperlink ref="C1082" r:id="rId1082" xr:uid="{00000000-0004-0000-0100-000039040000}"/>
    <hyperlink ref="C1083" r:id="rId1083" xr:uid="{00000000-0004-0000-0100-00003A040000}"/>
    <hyperlink ref="C1084" r:id="rId1084" xr:uid="{00000000-0004-0000-0100-00003B040000}"/>
    <hyperlink ref="C1085" r:id="rId1085" xr:uid="{00000000-0004-0000-0100-00003C040000}"/>
    <hyperlink ref="C1086" r:id="rId1086" xr:uid="{00000000-0004-0000-0100-00003D040000}"/>
    <hyperlink ref="C1087" r:id="rId1087" xr:uid="{00000000-0004-0000-0100-00003E040000}"/>
    <hyperlink ref="C1088" r:id="rId1088" xr:uid="{00000000-0004-0000-0100-00003F040000}"/>
    <hyperlink ref="C1089" r:id="rId1089" xr:uid="{00000000-0004-0000-0100-000040040000}"/>
    <hyperlink ref="C1090" r:id="rId1090" xr:uid="{00000000-0004-0000-0100-000041040000}"/>
    <hyperlink ref="C1091" r:id="rId1091" xr:uid="{00000000-0004-0000-0100-000042040000}"/>
    <hyperlink ref="C1092" r:id="rId1092" xr:uid="{00000000-0004-0000-0100-000043040000}"/>
    <hyperlink ref="C1093" r:id="rId1093" xr:uid="{00000000-0004-0000-0100-000044040000}"/>
    <hyperlink ref="C1094" r:id="rId1094" xr:uid="{00000000-0004-0000-0100-000045040000}"/>
    <hyperlink ref="C1095" r:id="rId1095" xr:uid="{00000000-0004-0000-0100-000046040000}"/>
    <hyperlink ref="C1096" r:id="rId1096" xr:uid="{00000000-0004-0000-0100-000047040000}"/>
    <hyperlink ref="C1097" r:id="rId1097" xr:uid="{00000000-0004-0000-0100-000048040000}"/>
    <hyperlink ref="C1098" r:id="rId1098" xr:uid="{00000000-0004-0000-0100-000049040000}"/>
    <hyperlink ref="C1099" r:id="rId1099" xr:uid="{00000000-0004-0000-0100-00004A040000}"/>
    <hyperlink ref="C1100" r:id="rId1100" xr:uid="{00000000-0004-0000-0100-00004B040000}"/>
    <hyperlink ref="C1101" r:id="rId1101" xr:uid="{00000000-0004-0000-0100-00004C040000}"/>
    <hyperlink ref="C1102" r:id="rId1102" xr:uid="{00000000-0004-0000-0100-00004D040000}"/>
    <hyperlink ref="C1103" r:id="rId1103" xr:uid="{00000000-0004-0000-0100-00004E040000}"/>
    <hyperlink ref="C1104" r:id="rId1104" xr:uid="{00000000-0004-0000-0100-00004F040000}"/>
    <hyperlink ref="C1105" r:id="rId1105" xr:uid="{00000000-0004-0000-0100-000050040000}"/>
    <hyperlink ref="C1106" r:id="rId1106" xr:uid="{00000000-0004-0000-0100-000051040000}"/>
    <hyperlink ref="C1107" r:id="rId1107" xr:uid="{00000000-0004-0000-0100-000052040000}"/>
    <hyperlink ref="C1108" r:id="rId1108" xr:uid="{00000000-0004-0000-0100-000053040000}"/>
    <hyperlink ref="C1109" r:id="rId1109" xr:uid="{00000000-0004-0000-0100-000054040000}"/>
    <hyperlink ref="C1110" r:id="rId1110" xr:uid="{00000000-0004-0000-0100-000055040000}"/>
    <hyperlink ref="C1111" r:id="rId1111" xr:uid="{00000000-0004-0000-0100-000056040000}"/>
    <hyperlink ref="C1112" r:id="rId1112" xr:uid="{00000000-0004-0000-0100-000057040000}"/>
    <hyperlink ref="C1113" r:id="rId1113" xr:uid="{00000000-0004-0000-0100-000058040000}"/>
    <hyperlink ref="C1114" r:id="rId1114" xr:uid="{00000000-0004-0000-0100-000059040000}"/>
    <hyperlink ref="C1115" r:id="rId1115" xr:uid="{00000000-0004-0000-0100-00005A040000}"/>
    <hyperlink ref="C1116" r:id="rId1116" xr:uid="{00000000-0004-0000-0100-00005B040000}"/>
    <hyperlink ref="C1117" r:id="rId1117" xr:uid="{00000000-0004-0000-0100-00005C040000}"/>
    <hyperlink ref="C1118" r:id="rId1118" xr:uid="{00000000-0004-0000-0100-00005D040000}"/>
    <hyperlink ref="C1119" r:id="rId1119" xr:uid="{00000000-0004-0000-0100-00005E040000}"/>
    <hyperlink ref="C1120" r:id="rId1120" xr:uid="{00000000-0004-0000-0100-00005F040000}"/>
    <hyperlink ref="C1121" r:id="rId1121" xr:uid="{00000000-0004-0000-0100-000060040000}"/>
    <hyperlink ref="C1122" r:id="rId1122" xr:uid="{00000000-0004-0000-0100-000061040000}"/>
    <hyperlink ref="C1123" r:id="rId1123" xr:uid="{00000000-0004-0000-0100-000062040000}"/>
    <hyperlink ref="C1124" r:id="rId1124" xr:uid="{00000000-0004-0000-0100-000063040000}"/>
    <hyperlink ref="C1125" r:id="rId1125" xr:uid="{00000000-0004-0000-0100-000064040000}"/>
    <hyperlink ref="C1126" r:id="rId1126" xr:uid="{00000000-0004-0000-0100-000065040000}"/>
    <hyperlink ref="C1127" r:id="rId1127" xr:uid="{00000000-0004-0000-0100-000066040000}"/>
    <hyperlink ref="C1128" r:id="rId1128" xr:uid="{00000000-0004-0000-0100-000067040000}"/>
    <hyperlink ref="C1129" r:id="rId1129" xr:uid="{00000000-0004-0000-0100-000068040000}"/>
    <hyperlink ref="C1130" r:id="rId1130" xr:uid="{00000000-0004-0000-0100-000069040000}"/>
    <hyperlink ref="C1131" r:id="rId1131" xr:uid="{00000000-0004-0000-0100-00006A040000}"/>
    <hyperlink ref="C1132" r:id="rId1132" xr:uid="{00000000-0004-0000-0100-00006B040000}"/>
    <hyperlink ref="C1133" r:id="rId1133" xr:uid="{00000000-0004-0000-0100-00006C040000}"/>
    <hyperlink ref="C1134" r:id="rId1134" xr:uid="{00000000-0004-0000-0100-00006D040000}"/>
    <hyperlink ref="C1135" r:id="rId1135" xr:uid="{00000000-0004-0000-0100-00006E040000}"/>
    <hyperlink ref="C1136" r:id="rId1136" xr:uid="{00000000-0004-0000-0100-00006F040000}"/>
    <hyperlink ref="C1137" r:id="rId1137" xr:uid="{00000000-0004-0000-0100-000070040000}"/>
    <hyperlink ref="C1138" r:id="rId1138" xr:uid="{00000000-0004-0000-0100-000071040000}"/>
    <hyperlink ref="C1139" r:id="rId1139" xr:uid="{00000000-0004-0000-0100-000072040000}"/>
    <hyperlink ref="C1140" r:id="rId1140" xr:uid="{00000000-0004-0000-0100-000073040000}"/>
    <hyperlink ref="C1141" r:id="rId1141" xr:uid="{00000000-0004-0000-0100-000074040000}"/>
    <hyperlink ref="C1142" r:id="rId1142" xr:uid="{00000000-0004-0000-0100-000075040000}"/>
    <hyperlink ref="C1143" r:id="rId1143" xr:uid="{00000000-0004-0000-0100-000076040000}"/>
    <hyperlink ref="C1144" r:id="rId1144" xr:uid="{00000000-0004-0000-0100-000077040000}"/>
    <hyperlink ref="C1145" r:id="rId1145" xr:uid="{00000000-0004-0000-0100-000078040000}"/>
    <hyperlink ref="C1146" r:id="rId1146" xr:uid="{00000000-0004-0000-0100-000079040000}"/>
    <hyperlink ref="C1147" r:id="rId1147" xr:uid="{00000000-0004-0000-0100-00007A040000}"/>
    <hyperlink ref="C1148" r:id="rId1148" xr:uid="{00000000-0004-0000-0100-00007B040000}"/>
    <hyperlink ref="C1149" r:id="rId1149" xr:uid="{00000000-0004-0000-0100-00007C040000}"/>
    <hyperlink ref="C1150" r:id="rId1150" xr:uid="{00000000-0004-0000-0100-00007D040000}"/>
    <hyperlink ref="C1151" r:id="rId1151" xr:uid="{00000000-0004-0000-0100-00007E040000}"/>
    <hyperlink ref="C1152" r:id="rId1152" xr:uid="{00000000-0004-0000-0100-00007F040000}"/>
    <hyperlink ref="C1153" r:id="rId1153" xr:uid="{00000000-0004-0000-0100-000080040000}"/>
    <hyperlink ref="C1154" r:id="rId1154" xr:uid="{00000000-0004-0000-0100-000081040000}"/>
    <hyperlink ref="C1155" r:id="rId1155" xr:uid="{00000000-0004-0000-0100-000082040000}"/>
    <hyperlink ref="C1156" r:id="rId1156" xr:uid="{00000000-0004-0000-0100-000083040000}"/>
    <hyperlink ref="C1157" r:id="rId1157" xr:uid="{00000000-0004-0000-0100-000084040000}"/>
    <hyperlink ref="C1158" r:id="rId1158" xr:uid="{00000000-0004-0000-0100-000085040000}"/>
    <hyperlink ref="C1159" r:id="rId1159" xr:uid="{00000000-0004-0000-0100-000086040000}"/>
    <hyperlink ref="C1160" r:id="rId1160" xr:uid="{00000000-0004-0000-0100-000087040000}"/>
    <hyperlink ref="C1161" r:id="rId1161" xr:uid="{00000000-0004-0000-0100-000088040000}"/>
    <hyperlink ref="C1162" r:id="rId1162" xr:uid="{00000000-0004-0000-0100-000089040000}"/>
    <hyperlink ref="C1163" r:id="rId1163" xr:uid="{00000000-0004-0000-0100-00008A040000}"/>
    <hyperlink ref="C1164" r:id="rId1164" xr:uid="{00000000-0004-0000-0100-00008B040000}"/>
    <hyperlink ref="C1165" r:id="rId1165" xr:uid="{00000000-0004-0000-0100-00008C040000}"/>
    <hyperlink ref="C1166" r:id="rId1166" xr:uid="{00000000-0004-0000-0100-00008D040000}"/>
    <hyperlink ref="C1167" r:id="rId1167" xr:uid="{00000000-0004-0000-0100-00008E040000}"/>
    <hyperlink ref="C1168" r:id="rId1168" xr:uid="{00000000-0004-0000-0100-00008F040000}"/>
    <hyperlink ref="C1169" r:id="rId1169" xr:uid="{00000000-0004-0000-0100-000090040000}"/>
    <hyperlink ref="C1170" r:id="rId1170" xr:uid="{00000000-0004-0000-0100-000091040000}"/>
    <hyperlink ref="C1171" r:id="rId1171" xr:uid="{00000000-0004-0000-0100-000092040000}"/>
    <hyperlink ref="C1172" r:id="rId1172" xr:uid="{00000000-0004-0000-0100-000093040000}"/>
    <hyperlink ref="C1173" r:id="rId1173" xr:uid="{00000000-0004-0000-0100-000094040000}"/>
    <hyperlink ref="C1174" r:id="rId1174" xr:uid="{00000000-0004-0000-0100-000095040000}"/>
    <hyperlink ref="C1175" r:id="rId1175" xr:uid="{00000000-0004-0000-0100-000096040000}"/>
    <hyperlink ref="C1176" r:id="rId1176" xr:uid="{00000000-0004-0000-0100-000097040000}"/>
    <hyperlink ref="C1177" r:id="rId1177" xr:uid="{00000000-0004-0000-0100-000098040000}"/>
    <hyperlink ref="C1178" r:id="rId1178" xr:uid="{00000000-0004-0000-0100-000099040000}"/>
    <hyperlink ref="C1179" r:id="rId1179" xr:uid="{00000000-0004-0000-0100-00009A040000}"/>
    <hyperlink ref="C1180" r:id="rId1180" xr:uid="{00000000-0004-0000-0100-00009B040000}"/>
    <hyperlink ref="C1181" r:id="rId1181" xr:uid="{00000000-0004-0000-0100-00009C040000}"/>
    <hyperlink ref="C1182" r:id="rId1182" xr:uid="{00000000-0004-0000-0100-00009D040000}"/>
    <hyperlink ref="C1183" r:id="rId1183" xr:uid="{00000000-0004-0000-0100-00009E040000}"/>
    <hyperlink ref="C1184" r:id="rId1184" xr:uid="{00000000-0004-0000-0100-00009F040000}"/>
    <hyperlink ref="C1185" r:id="rId1185" xr:uid="{00000000-0004-0000-0100-0000A0040000}"/>
    <hyperlink ref="C1186" r:id="rId1186" xr:uid="{00000000-0004-0000-0100-0000A1040000}"/>
    <hyperlink ref="C1187" r:id="rId1187" xr:uid="{00000000-0004-0000-0100-0000A2040000}"/>
    <hyperlink ref="C1188" r:id="rId1188" xr:uid="{00000000-0004-0000-0100-0000A3040000}"/>
    <hyperlink ref="C1189" r:id="rId1189" xr:uid="{00000000-0004-0000-0100-0000A4040000}"/>
    <hyperlink ref="C1190" r:id="rId1190" xr:uid="{00000000-0004-0000-0100-0000A5040000}"/>
    <hyperlink ref="C1191" r:id="rId1191" xr:uid="{00000000-0004-0000-0100-0000A6040000}"/>
    <hyperlink ref="C1192" r:id="rId1192" xr:uid="{00000000-0004-0000-0100-0000A7040000}"/>
    <hyperlink ref="C1193" r:id="rId1193" xr:uid="{00000000-0004-0000-0100-0000A8040000}"/>
    <hyperlink ref="C1194" r:id="rId1194" xr:uid="{00000000-0004-0000-0100-0000A9040000}"/>
    <hyperlink ref="C1195" r:id="rId1195" xr:uid="{00000000-0004-0000-0100-0000AA040000}"/>
    <hyperlink ref="C1196" r:id="rId1196" xr:uid="{00000000-0004-0000-0100-0000AB040000}"/>
    <hyperlink ref="C1197" r:id="rId1197" xr:uid="{00000000-0004-0000-0100-0000AC040000}"/>
    <hyperlink ref="C1198" r:id="rId1198" xr:uid="{00000000-0004-0000-0100-0000AD040000}"/>
    <hyperlink ref="C1199" r:id="rId1199" xr:uid="{00000000-0004-0000-0100-0000AE040000}"/>
    <hyperlink ref="C1200" r:id="rId1200" xr:uid="{00000000-0004-0000-0100-0000AF040000}"/>
    <hyperlink ref="C1201" r:id="rId1201" xr:uid="{00000000-0004-0000-0100-0000B0040000}"/>
    <hyperlink ref="C1202" r:id="rId1202" xr:uid="{00000000-0004-0000-0100-0000B1040000}"/>
    <hyperlink ref="C1203" r:id="rId1203" xr:uid="{00000000-0004-0000-0100-0000B2040000}"/>
    <hyperlink ref="C1204" r:id="rId1204" xr:uid="{00000000-0004-0000-0100-0000B3040000}"/>
    <hyperlink ref="C1205" r:id="rId1205" xr:uid="{00000000-0004-0000-0100-0000B4040000}"/>
    <hyperlink ref="C1206" r:id="rId1206" xr:uid="{00000000-0004-0000-0100-0000B5040000}"/>
    <hyperlink ref="C1207" r:id="rId1207" xr:uid="{00000000-0004-0000-0100-0000B6040000}"/>
    <hyperlink ref="C1208" r:id="rId1208" xr:uid="{00000000-0004-0000-0100-0000B7040000}"/>
    <hyperlink ref="C1209" r:id="rId1209" xr:uid="{00000000-0004-0000-0100-0000B8040000}"/>
    <hyperlink ref="C1210" r:id="rId1210" xr:uid="{00000000-0004-0000-0100-0000B9040000}"/>
    <hyperlink ref="C1211" r:id="rId1211" xr:uid="{00000000-0004-0000-0100-0000BA040000}"/>
    <hyperlink ref="C1212" r:id="rId1212" xr:uid="{00000000-0004-0000-0100-0000BB040000}"/>
    <hyperlink ref="C1213" r:id="rId1213" xr:uid="{00000000-0004-0000-0100-0000BC040000}"/>
    <hyperlink ref="C1214" r:id="rId1214" xr:uid="{00000000-0004-0000-0100-0000BD040000}"/>
    <hyperlink ref="C1215" r:id="rId1215" xr:uid="{00000000-0004-0000-0100-0000BE040000}"/>
    <hyperlink ref="C1216" r:id="rId1216" xr:uid="{00000000-0004-0000-0100-0000BF040000}"/>
    <hyperlink ref="C1217" r:id="rId1217" xr:uid="{00000000-0004-0000-0100-0000C0040000}"/>
    <hyperlink ref="C1218" r:id="rId1218" xr:uid="{00000000-0004-0000-0100-0000C1040000}"/>
    <hyperlink ref="C1219" r:id="rId1219" xr:uid="{00000000-0004-0000-0100-0000C2040000}"/>
    <hyperlink ref="C1220" r:id="rId1220" xr:uid="{00000000-0004-0000-0100-0000C3040000}"/>
    <hyperlink ref="C1221" r:id="rId1221" xr:uid="{00000000-0004-0000-0100-0000C4040000}"/>
    <hyperlink ref="C1222" r:id="rId1222" xr:uid="{00000000-0004-0000-0100-0000C5040000}"/>
    <hyperlink ref="C1223" r:id="rId1223" xr:uid="{00000000-0004-0000-0100-0000C6040000}"/>
    <hyperlink ref="C1224" r:id="rId1224" xr:uid="{00000000-0004-0000-0100-0000C7040000}"/>
    <hyperlink ref="C1225" r:id="rId1225" xr:uid="{00000000-0004-0000-0100-0000C8040000}"/>
    <hyperlink ref="C1226" r:id="rId1226" xr:uid="{00000000-0004-0000-0100-0000C9040000}"/>
    <hyperlink ref="C1227" r:id="rId1227" xr:uid="{00000000-0004-0000-0100-0000CA040000}"/>
    <hyperlink ref="C1228" r:id="rId1228" xr:uid="{00000000-0004-0000-0100-0000CB040000}"/>
    <hyperlink ref="C1229" r:id="rId1229" xr:uid="{00000000-0004-0000-0100-0000CC040000}"/>
    <hyperlink ref="C1230" r:id="rId1230" xr:uid="{00000000-0004-0000-0100-0000CD040000}"/>
    <hyperlink ref="C1231" r:id="rId1231" xr:uid="{00000000-0004-0000-0100-0000CE040000}"/>
    <hyperlink ref="C1232" r:id="rId1232" xr:uid="{00000000-0004-0000-0100-0000CF040000}"/>
    <hyperlink ref="C1233" r:id="rId1233" xr:uid="{00000000-0004-0000-0100-0000D0040000}"/>
    <hyperlink ref="C1234" r:id="rId1234" xr:uid="{00000000-0004-0000-0100-0000D1040000}"/>
    <hyperlink ref="C1235" r:id="rId1235" xr:uid="{00000000-0004-0000-0100-0000D2040000}"/>
    <hyperlink ref="C1236" r:id="rId1236" xr:uid="{00000000-0004-0000-0100-0000D3040000}"/>
    <hyperlink ref="C1237" r:id="rId1237" xr:uid="{00000000-0004-0000-0100-0000D4040000}"/>
    <hyperlink ref="C1238" r:id="rId1238" xr:uid="{00000000-0004-0000-0100-0000D5040000}"/>
    <hyperlink ref="C1239" r:id="rId1239" xr:uid="{00000000-0004-0000-0100-0000D6040000}"/>
    <hyperlink ref="C1240" r:id="rId1240" xr:uid="{00000000-0004-0000-0100-0000D7040000}"/>
    <hyperlink ref="C1241" r:id="rId1241" xr:uid="{00000000-0004-0000-0100-0000D8040000}"/>
    <hyperlink ref="C1242" r:id="rId1242" xr:uid="{00000000-0004-0000-0100-0000D9040000}"/>
    <hyperlink ref="C1243" r:id="rId1243" xr:uid="{00000000-0004-0000-0100-0000DA040000}"/>
    <hyperlink ref="C1244" r:id="rId1244" xr:uid="{00000000-0004-0000-0100-0000DB040000}"/>
    <hyperlink ref="C1245" r:id="rId1245" xr:uid="{00000000-0004-0000-0100-0000DC040000}"/>
    <hyperlink ref="C1246" r:id="rId1246" xr:uid="{00000000-0004-0000-0100-0000DD040000}"/>
    <hyperlink ref="C1247" r:id="rId1247" xr:uid="{00000000-0004-0000-0100-0000DE040000}"/>
    <hyperlink ref="C1248" r:id="rId1248" xr:uid="{00000000-0004-0000-0100-0000DF040000}"/>
    <hyperlink ref="C1249" r:id="rId1249" xr:uid="{00000000-0004-0000-0100-0000E0040000}"/>
    <hyperlink ref="C1250" r:id="rId1250" xr:uid="{00000000-0004-0000-0100-0000E1040000}"/>
    <hyperlink ref="C1251" r:id="rId1251" xr:uid="{00000000-0004-0000-0100-0000E2040000}"/>
    <hyperlink ref="C1252" r:id="rId1252" xr:uid="{00000000-0004-0000-0100-0000E3040000}"/>
    <hyperlink ref="C1253" r:id="rId1253" xr:uid="{00000000-0004-0000-0100-0000E4040000}"/>
    <hyperlink ref="C1254" r:id="rId1254" xr:uid="{00000000-0004-0000-0100-0000E5040000}"/>
    <hyperlink ref="C1255" r:id="rId1255" xr:uid="{00000000-0004-0000-0100-0000E6040000}"/>
    <hyperlink ref="C1256" r:id="rId1256" xr:uid="{00000000-0004-0000-0100-0000E7040000}"/>
    <hyperlink ref="C1257" r:id="rId1257" xr:uid="{00000000-0004-0000-0100-0000E8040000}"/>
    <hyperlink ref="C1258" r:id="rId1258" xr:uid="{00000000-0004-0000-0100-0000E9040000}"/>
    <hyperlink ref="C1259" r:id="rId1259" xr:uid="{00000000-0004-0000-0100-0000EA040000}"/>
    <hyperlink ref="C1260" r:id="rId1260" xr:uid="{00000000-0004-0000-0100-0000EB040000}"/>
    <hyperlink ref="C1261" r:id="rId1261" xr:uid="{00000000-0004-0000-0100-0000EC040000}"/>
    <hyperlink ref="C1262" r:id="rId1262" xr:uid="{00000000-0004-0000-0100-0000ED040000}"/>
    <hyperlink ref="C1263" r:id="rId1263" xr:uid="{00000000-0004-0000-0100-0000EE040000}"/>
    <hyperlink ref="C1264" r:id="rId1264" xr:uid="{00000000-0004-0000-0100-0000EF040000}"/>
    <hyperlink ref="C1265" r:id="rId1265" xr:uid="{00000000-0004-0000-0100-0000F0040000}"/>
    <hyperlink ref="C1266" r:id="rId1266" xr:uid="{00000000-0004-0000-0100-0000F1040000}"/>
    <hyperlink ref="C1267" r:id="rId1267" xr:uid="{00000000-0004-0000-0100-0000F2040000}"/>
    <hyperlink ref="C1268" r:id="rId1268" xr:uid="{00000000-0004-0000-0100-0000F3040000}"/>
    <hyperlink ref="C1269" r:id="rId1269" xr:uid="{00000000-0004-0000-0100-0000F4040000}"/>
    <hyperlink ref="C1270" r:id="rId1270" xr:uid="{00000000-0004-0000-0100-0000F5040000}"/>
    <hyperlink ref="C1271" r:id="rId1271" xr:uid="{00000000-0004-0000-0100-0000F6040000}"/>
    <hyperlink ref="C1272" r:id="rId1272" xr:uid="{00000000-0004-0000-0100-0000F7040000}"/>
    <hyperlink ref="C1273" r:id="rId1273" xr:uid="{00000000-0004-0000-0100-0000F8040000}"/>
    <hyperlink ref="C1274" r:id="rId1274" xr:uid="{00000000-0004-0000-0100-0000F9040000}"/>
    <hyperlink ref="C1275" r:id="rId1275" xr:uid="{00000000-0004-0000-0100-0000FA040000}"/>
    <hyperlink ref="C1276" r:id="rId1276" xr:uid="{00000000-0004-0000-0100-0000FB040000}"/>
    <hyperlink ref="C1277" r:id="rId1277" xr:uid="{00000000-0004-0000-0100-0000FC040000}"/>
    <hyperlink ref="C1278" r:id="rId1278" xr:uid="{00000000-0004-0000-0100-0000FD040000}"/>
    <hyperlink ref="C1279" r:id="rId1279" xr:uid="{00000000-0004-0000-0100-0000FE040000}"/>
    <hyperlink ref="C1280" r:id="rId1280" xr:uid="{00000000-0004-0000-0100-0000FF040000}"/>
    <hyperlink ref="C1281" r:id="rId1281" xr:uid="{00000000-0004-0000-0100-000000050000}"/>
    <hyperlink ref="C1282" r:id="rId1282" xr:uid="{00000000-0004-0000-0100-000001050000}"/>
    <hyperlink ref="C1283" r:id="rId1283" xr:uid="{00000000-0004-0000-0100-000002050000}"/>
    <hyperlink ref="C1284" r:id="rId1284" xr:uid="{00000000-0004-0000-0100-000003050000}"/>
    <hyperlink ref="C1285" r:id="rId1285" xr:uid="{00000000-0004-0000-0100-000004050000}"/>
    <hyperlink ref="C1286" r:id="rId1286" xr:uid="{00000000-0004-0000-0100-000005050000}"/>
    <hyperlink ref="C1287" r:id="rId1287" xr:uid="{00000000-0004-0000-0100-000006050000}"/>
    <hyperlink ref="C1288" r:id="rId1288" xr:uid="{00000000-0004-0000-0100-000007050000}"/>
    <hyperlink ref="C1289" r:id="rId1289" xr:uid="{00000000-0004-0000-0100-000008050000}"/>
    <hyperlink ref="C1290" r:id="rId1290" xr:uid="{00000000-0004-0000-0100-000009050000}"/>
    <hyperlink ref="C1291" r:id="rId1291" xr:uid="{00000000-0004-0000-0100-00000A050000}"/>
    <hyperlink ref="C1292" r:id="rId1292" xr:uid="{00000000-0004-0000-0100-00000B050000}"/>
    <hyperlink ref="C1293" r:id="rId1293" xr:uid="{00000000-0004-0000-0100-00000C050000}"/>
    <hyperlink ref="C1294" r:id="rId1294" xr:uid="{00000000-0004-0000-0100-00000D050000}"/>
    <hyperlink ref="C1295" r:id="rId1295" xr:uid="{00000000-0004-0000-0100-00000E050000}"/>
    <hyperlink ref="C1296" r:id="rId1296" xr:uid="{00000000-0004-0000-0100-00000F050000}"/>
    <hyperlink ref="C1297" r:id="rId1297" xr:uid="{00000000-0004-0000-0100-000010050000}"/>
    <hyperlink ref="C1298" r:id="rId1298" xr:uid="{00000000-0004-0000-0100-000011050000}"/>
    <hyperlink ref="C1299" r:id="rId1299" xr:uid="{00000000-0004-0000-0100-000012050000}"/>
    <hyperlink ref="C1300" r:id="rId1300" xr:uid="{00000000-0004-0000-0100-000013050000}"/>
    <hyperlink ref="C1301" r:id="rId1301" xr:uid="{00000000-0004-0000-0100-000014050000}"/>
    <hyperlink ref="C1302" r:id="rId1302" xr:uid="{00000000-0004-0000-0100-000015050000}"/>
    <hyperlink ref="C1303" r:id="rId1303" xr:uid="{00000000-0004-0000-0100-000016050000}"/>
    <hyperlink ref="C1304" r:id="rId1304" xr:uid="{00000000-0004-0000-0100-000017050000}"/>
    <hyperlink ref="C1305" r:id="rId1305" xr:uid="{00000000-0004-0000-0100-000018050000}"/>
    <hyperlink ref="C1306" r:id="rId1306" xr:uid="{00000000-0004-0000-0100-000019050000}"/>
    <hyperlink ref="C1307" r:id="rId1307" xr:uid="{00000000-0004-0000-0100-00001A050000}"/>
    <hyperlink ref="C1308" r:id="rId1308" xr:uid="{00000000-0004-0000-0100-00001B050000}"/>
    <hyperlink ref="C1309" r:id="rId1309" xr:uid="{00000000-0004-0000-0100-00001C050000}"/>
    <hyperlink ref="C1310" r:id="rId1310" xr:uid="{00000000-0004-0000-0100-00001D050000}"/>
    <hyperlink ref="C1311" r:id="rId1311" xr:uid="{00000000-0004-0000-0100-00001E050000}"/>
    <hyperlink ref="C1312" r:id="rId1312" xr:uid="{00000000-0004-0000-0100-00001F050000}"/>
    <hyperlink ref="C1313" r:id="rId1313" xr:uid="{00000000-0004-0000-0100-000020050000}"/>
    <hyperlink ref="C1314" r:id="rId1314" xr:uid="{00000000-0004-0000-0100-000021050000}"/>
    <hyperlink ref="C1315" r:id="rId1315" xr:uid="{00000000-0004-0000-0100-000022050000}"/>
    <hyperlink ref="C1316" r:id="rId1316" xr:uid="{00000000-0004-0000-0100-000023050000}"/>
    <hyperlink ref="C1317" r:id="rId1317" xr:uid="{00000000-0004-0000-0100-000024050000}"/>
    <hyperlink ref="C1318" r:id="rId1318" xr:uid="{00000000-0004-0000-0100-000025050000}"/>
    <hyperlink ref="C1319" r:id="rId1319" xr:uid="{00000000-0004-0000-0100-000026050000}"/>
    <hyperlink ref="C1320" r:id="rId1320" xr:uid="{00000000-0004-0000-0100-000027050000}"/>
    <hyperlink ref="C1321" r:id="rId1321" xr:uid="{00000000-0004-0000-0100-000028050000}"/>
    <hyperlink ref="C1322" r:id="rId1322" xr:uid="{00000000-0004-0000-0100-000029050000}"/>
    <hyperlink ref="C1323" r:id="rId1323" xr:uid="{00000000-0004-0000-0100-00002A050000}"/>
    <hyperlink ref="C1324" r:id="rId1324" xr:uid="{00000000-0004-0000-0100-00002B050000}"/>
    <hyperlink ref="C1325" r:id="rId1325" xr:uid="{00000000-0004-0000-0100-00002C050000}"/>
    <hyperlink ref="C1326" r:id="rId1326" xr:uid="{00000000-0004-0000-0100-00002D050000}"/>
    <hyperlink ref="C1327" r:id="rId1327" xr:uid="{00000000-0004-0000-0100-00002E050000}"/>
    <hyperlink ref="C1328" r:id="rId1328" xr:uid="{00000000-0004-0000-0100-00002F050000}"/>
    <hyperlink ref="C1329" r:id="rId1329" xr:uid="{00000000-0004-0000-0100-000030050000}"/>
    <hyperlink ref="C1330" r:id="rId1330" xr:uid="{00000000-0004-0000-0100-000031050000}"/>
    <hyperlink ref="C1331" r:id="rId1331" xr:uid="{00000000-0004-0000-0100-000032050000}"/>
    <hyperlink ref="C1332" r:id="rId1332" xr:uid="{00000000-0004-0000-0100-000033050000}"/>
    <hyperlink ref="C1333" r:id="rId1333" xr:uid="{00000000-0004-0000-0100-000034050000}"/>
    <hyperlink ref="C1334" r:id="rId1334" xr:uid="{00000000-0004-0000-0100-000035050000}"/>
    <hyperlink ref="C1335" r:id="rId1335" xr:uid="{00000000-0004-0000-0100-000036050000}"/>
    <hyperlink ref="C1336" r:id="rId1336" xr:uid="{00000000-0004-0000-0100-000037050000}"/>
    <hyperlink ref="C1337" r:id="rId1337" xr:uid="{00000000-0004-0000-0100-000038050000}"/>
    <hyperlink ref="C1338" r:id="rId1338" xr:uid="{00000000-0004-0000-0100-000039050000}"/>
    <hyperlink ref="C1339" r:id="rId1339" xr:uid="{00000000-0004-0000-0100-00003A050000}"/>
    <hyperlink ref="C1340" r:id="rId1340" xr:uid="{00000000-0004-0000-0100-00003B050000}"/>
    <hyperlink ref="C1341" r:id="rId1341" xr:uid="{00000000-0004-0000-0100-00003C050000}"/>
    <hyperlink ref="C1342" r:id="rId1342" xr:uid="{00000000-0004-0000-0100-00003D050000}"/>
    <hyperlink ref="C1343" r:id="rId1343" xr:uid="{00000000-0004-0000-0100-00003E050000}"/>
    <hyperlink ref="C1344" r:id="rId1344" xr:uid="{00000000-0004-0000-0100-00003F050000}"/>
    <hyperlink ref="C1345" r:id="rId1345" xr:uid="{00000000-0004-0000-0100-000040050000}"/>
    <hyperlink ref="C1346" r:id="rId1346" xr:uid="{00000000-0004-0000-0100-000041050000}"/>
    <hyperlink ref="C1347" r:id="rId1347" xr:uid="{00000000-0004-0000-0100-000042050000}"/>
    <hyperlink ref="C1348" r:id="rId1348" xr:uid="{00000000-0004-0000-0100-000043050000}"/>
    <hyperlink ref="C1349" r:id="rId1349" xr:uid="{00000000-0004-0000-0100-000044050000}"/>
    <hyperlink ref="C1350" r:id="rId1350" xr:uid="{00000000-0004-0000-0100-000045050000}"/>
    <hyperlink ref="C1351" r:id="rId1351" xr:uid="{00000000-0004-0000-0100-000046050000}"/>
    <hyperlink ref="C1352" r:id="rId1352" xr:uid="{00000000-0004-0000-0100-000047050000}"/>
    <hyperlink ref="C1353" r:id="rId1353" xr:uid="{00000000-0004-0000-0100-000048050000}"/>
    <hyperlink ref="C1354" r:id="rId1354" xr:uid="{00000000-0004-0000-0100-000049050000}"/>
    <hyperlink ref="C1355" r:id="rId1355" xr:uid="{00000000-0004-0000-0100-00004A050000}"/>
    <hyperlink ref="C1356" r:id="rId1356" xr:uid="{00000000-0004-0000-0100-00004B050000}"/>
    <hyperlink ref="C1357" r:id="rId1357" xr:uid="{00000000-0004-0000-0100-00004C050000}"/>
    <hyperlink ref="C1358" r:id="rId1358" xr:uid="{00000000-0004-0000-0100-00004D050000}"/>
    <hyperlink ref="C1359" r:id="rId1359" xr:uid="{00000000-0004-0000-0100-00004E050000}"/>
    <hyperlink ref="C1360" r:id="rId1360" xr:uid="{00000000-0004-0000-0100-00004F050000}"/>
    <hyperlink ref="C1361" r:id="rId1361" xr:uid="{00000000-0004-0000-0100-000050050000}"/>
    <hyperlink ref="C1362" r:id="rId1362" xr:uid="{00000000-0004-0000-0100-000051050000}"/>
    <hyperlink ref="C1363" r:id="rId1363" xr:uid="{00000000-0004-0000-0100-000052050000}"/>
    <hyperlink ref="C1364" r:id="rId1364" xr:uid="{00000000-0004-0000-0100-000053050000}"/>
    <hyperlink ref="C1365" r:id="rId1365" xr:uid="{00000000-0004-0000-0100-000054050000}"/>
    <hyperlink ref="C1366" r:id="rId1366" xr:uid="{00000000-0004-0000-0100-000055050000}"/>
    <hyperlink ref="C1367" r:id="rId1367" xr:uid="{00000000-0004-0000-0100-000056050000}"/>
    <hyperlink ref="C1368" r:id="rId1368" xr:uid="{00000000-0004-0000-0100-000057050000}"/>
    <hyperlink ref="C1369" r:id="rId1369" xr:uid="{00000000-0004-0000-0100-000058050000}"/>
    <hyperlink ref="C1370" r:id="rId1370" xr:uid="{00000000-0004-0000-0100-000059050000}"/>
    <hyperlink ref="C1371" r:id="rId1371" xr:uid="{00000000-0004-0000-0100-00005A050000}"/>
    <hyperlink ref="C1372" r:id="rId1372" xr:uid="{00000000-0004-0000-0100-00005B050000}"/>
    <hyperlink ref="C1373" r:id="rId1373" xr:uid="{00000000-0004-0000-0100-00005C050000}"/>
    <hyperlink ref="C1374" r:id="rId1374" xr:uid="{00000000-0004-0000-0100-00005D050000}"/>
    <hyperlink ref="C1375" r:id="rId1375" xr:uid="{00000000-0004-0000-0100-00005E050000}"/>
    <hyperlink ref="C1376" r:id="rId1376" xr:uid="{00000000-0004-0000-0100-00005F050000}"/>
    <hyperlink ref="C1377" r:id="rId1377" xr:uid="{00000000-0004-0000-0100-000060050000}"/>
    <hyperlink ref="C1378" r:id="rId1378" xr:uid="{00000000-0004-0000-0100-000061050000}"/>
    <hyperlink ref="C1379" r:id="rId1379" xr:uid="{00000000-0004-0000-0100-000062050000}"/>
    <hyperlink ref="C1380" r:id="rId1380" xr:uid="{00000000-0004-0000-0100-000063050000}"/>
    <hyperlink ref="C1381" r:id="rId1381" xr:uid="{00000000-0004-0000-0100-000064050000}"/>
    <hyperlink ref="C1382" r:id="rId1382" xr:uid="{00000000-0004-0000-0100-000065050000}"/>
    <hyperlink ref="C1383" r:id="rId1383" xr:uid="{00000000-0004-0000-0100-000066050000}"/>
    <hyperlink ref="C1384" r:id="rId1384" xr:uid="{00000000-0004-0000-0100-000067050000}"/>
    <hyperlink ref="C1385" r:id="rId1385" xr:uid="{00000000-0004-0000-0100-000068050000}"/>
    <hyperlink ref="C1386" r:id="rId1386" xr:uid="{00000000-0004-0000-0100-000069050000}"/>
    <hyperlink ref="C1387" r:id="rId1387" xr:uid="{00000000-0004-0000-0100-00006A050000}"/>
    <hyperlink ref="C1388" r:id="rId1388" xr:uid="{00000000-0004-0000-0100-00006B050000}"/>
    <hyperlink ref="C1389" r:id="rId1389" xr:uid="{00000000-0004-0000-0100-00006C050000}"/>
    <hyperlink ref="C1390" r:id="rId1390" xr:uid="{00000000-0004-0000-0100-00006D050000}"/>
    <hyperlink ref="C1391" r:id="rId1391" xr:uid="{00000000-0004-0000-0100-00006E050000}"/>
    <hyperlink ref="C1392" r:id="rId1392" xr:uid="{00000000-0004-0000-0100-00006F050000}"/>
    <hyperlink ref="C1393" r:id="rId1393" xr:uid="{00000000-0004-0000-0100-000070050000}"/>
    <hyperlink ref="C1394" r:id="rId1394" xr:uid="{00000000-0004-0000-0100-000071050000}"/>
    <hyperlink ref="C1395" r:id="rId1395" xr:uid="{00000000-0004-0000-0100-000072050000}"/>
    <hyperlink ref="C1396" r:id="rId1396" xr:uid="{00000000-0004-0000-0100-000073050000}"/>
    <hyperlink ref="C1397" r:id="rId1397" xr:uid="{00000000-0004-0000-0100-000074050000}"/>
    <hyperlink ref="C1398" r:id="rId1398" xr:uid="{00000000-0004-0000-0100-000075050000}"/>
    <hyperlink ref="C1399" r:id="rId1399" xr:uid="{00000000-0004-0000-0100-000076050000}"/>
    <hyperlink ref="C1400" r:id="rId1400" xr:uid="{00000000-0004-0000-0100-000077050000}"/>
    <hyperlink ref="C1401" r:id="rId1401" xr:uid="{00000000-0004-0000-0100-000078050000}"/>
    <hyperlink ref="C1402" r:id="rId1402" xr:uid="{00000000-0004-0000-0100-000079050000}"/>
    <hyperlink ref="C1403" r:id="rId1403" xr:uid="{00000000-0004-0000-0100-00007A050000}"/>
    <hyperlink ref="C1404" r:id="rId1404" xr:uid="{00000000-0004-0000-0100-00007B050000}"/>
    <hyperlink ref="C1405" r:id="rId1405" xr:uid="{00000000-0004-0000-0100-00007C050000}"/>
    <hyperlink ref="C1406" r:id="rId1406" xr:uid="{00000000-0004-0000-0100-00007D050000}"/>
    <hyperlink ref="C1407" r:id="rId1407" xr:uid="{00000000-0004-0000-0100-00007E050000}"/>
    <hyperlink ref="C1408" r:id="rId1408" xr:uid="{00000000-0004-0000-0100-00007F050000}"/>
    <hyperlink ref="C1409" r:id="rId1409" xr:uid="{00000000-0004-0000-0100-000080050000}"/>
    <hyperlink ref="C1410" r:id="rId1410" xr:uid="{00000000-0004-0000-0100-000081050000}"/>
    <hyperlink ref="C1411" r:id="rId1411" xr:uid="{00000000-0004-0000-0100-000082050000}"/>
    <hyperlink ref="C1412" r:id="rId1412" xr:uid="{00000000-0004-0000-0100-000083050000}"/>
    <hyperlink ref="C1413" r:id="rId1413" xr:uid="{00000000-0004-0000-0100-000084050000}"/>
    <hyperlink ref="C1414" r:id="rId1414" xr:uid="{00000000-0004-0000-0100-000085050000}"/>
    <hyperlink ref="C1415" r:id="rId1415" xr:uid="{00000000-0004-0000-0100-000086050000}"/>
    <hyperlink ref="C1416" r:id="rId1416" xr:uid="{00000000-0004-0000-0100-000087050000}"/>
    <hyperlink ref="C1417" r:id="rId1417" xr:uid="{00000000-0004-0000-0100-000088050000}"/>
    <hyperlink ref="C1418" r:id="rId1418" xr:uid="{00000000-0004-0000-0100-000089050000}"/>
    <hyperlink ref="C1419" r:id="rId1419" xr:uid="{00000000-0004-0000-0100-00008A050000}"/>
    <hyperlink ref="C1420" r:id="rId1420" xr:uid="{00000000-0004-0000-0100-00008B050000}"/>
    <hyperlink ref="C1421" r:id="rId1421" xr:uid="{00000000-0004-0000-0100-00008C050000}"/>
    <hyperlink ref="C1422" r:id="rId1422" xr:uid="{00000000-0004-0000-0100-00008D050000}"/>
    <hyperlink ref="C1423" r:id="rId1423" xr:uid="{00000000-0004-0000-0100-00008E050000}"/>
    <hyperlink ref="C1424" r:id="rId1424" xr:uid="{00000000-0004-0000-0100-00008F050000}"/>
    <hyperlink ref="C1425" r:id="rId1425" xr:uid="{00000000-0004-0000-0100-000090050000}"/>
    <hyperlink ref="C1426" r:id="rId1426" xr:uid="{00000000-0004-0000-0100-000091050000}"/>
    <hyperlink ref="C1427" r:id="rId1427" xr:uid="{00000000-0004-0000-0100-000092050000}"/>
    <hyperlink ref="C1428" r:id="rId1428" xr:uid="{00000000-0004-0000-0100-000093050000}"/>
    <hyperlink ref="C1429" r:id="rId1429" xr:uid="{00000000-0004-0000-0100-000094050000}"/>
    <hyperlink ref="C1430" r:id="rId1430" xr:uid="{00000000-0004-0000-0100-000095050000}"/>
    <hyperlink ref="C1431" r:id="rId1431" xr:uid="{00000000-0004-0000-0100-000096050000}"/>
    <hyperlink ref="C1432" r:id="rId1432" xr:uid="{00000000-0004-0000-0100-000097050000}"/>
    <hyperlink ref="C1433" r:id="rId1433" xr:uid="{00000000-0004-0000-0100-000098050000}"/>
    <hyperlink ref="C1434" r:id="rId1434" xr:uid="{00000000-0004-0000-0100-000099050000}"/>
    <hyperlink ref="C1435" r:id="rId1435" xr:uid="{00000000-0004-0000-0100-00009A050000}"/>
    <hyperlink ref="C1436" r:id="rId1436" xr:uid="{00000000-0004-0000-0100-00009B050000}"/>
    <hyperlink ref="C1437" r:id="rId1437" xr:uid="{00000000-0004-0000-0100-00009C050000}"/>
    <hyperlink ref="C1438" r:id="rId1438" xr:uid="{00000000-0004-0000-0100-00009D050000}"/>
    <hyperlink ref="C1439" r:id="rId1439" xr:uid="{00000000-0004-0000-0100-00009E050000}"/>
    <hyperlink ref="C1440" r:id="rId1440" xr:uid="{00000000-0004-0000-0100-00009F050000}"/>
    <hyperlink ref="C1441" r:id="rId1441" xr:uid="{00000000-0004-0000-0100-0000A0050000}"/>
    <hyperlink ref="C1442" r:id="rId1442" xr:uid="{00000000-0004-0000-0100-0000A1050000}"/>
    <hyperlink ref="C1443" r:id="rId1443" xr:uid="{00000000-0004-0000-0100-0000A2050000}"/>
    <hyperlink ref="C1444" r:id="rId1444" xr:uid="{00000000-0004-0000-0100-0000A3050000}"/>
    <hyperlink ref="C1445" r:id="rId1445" xr:uid="{00000000-0004-0000-0100-0000A4050000}"/>
    <hyperlink ref="C1446" r:id="rId1446" xr:uid="{00000000-0004-0000-0100-0000A5050000}"/>
    <hyperlink ref="C1447" r:id="rId1447" xr:uid="{00000000-0004-0000-0100-0000A6050000}"/>
    <hyperlink ref="C1448" r:id="rId1448" xr:uid="{00000000-0004-0000-0100-0000A7050000}"/>
    <hyperlink ref="C1449" r:id="rId1449" xr:uid="{00000000-0004-0000-0100-0000A8050000}"/>
    <hyperlink ref="C1450" r:id="rId1450" xr:uid="{00000000-0004-0000-0100-0000A9050000}"/>
    <hyperlink ref="C1451" r:id="rId1451" xr:uid="{00000000-0004-0000-0100-0000AA050000}"/>
    <hyperlink ref="C1452" r:id="rId1452" xr:uid="{00000000-0004-0000-0100-0000AB050000}"/>
    <hyperlink ref="C1453" r:id="rId1453" xr:uid="{00000000-0004-0000-0100-0000AC050000}"/>
    <hyperlink ref="C1454" r:id="rId1454" xr:uid="{00000000-0004-0000-0100-0000AD050000}"/>
    <hyperlink ref="C1455" r:id="rId1455" xr:uid="{00000000-0004-0000-0100-0000AE050000}"/>
    <hyperlink ref="C1456" r:id="rId1456" xr:uid="{00000000-0004-0000-0100-0000AF050000}"/>
    <hyperlink ref="C1457" r:id="rId1457" xr:uid="{00000000-0004-0000-0100-0000B0050000}"/>
    <hyperlink ref="C1458" r:id="rId1458" xr:uid="{00000000-0004-0000-0100-0000B1050000}"/>
    <hyperlink ref="C1459" r:id="rId1459" xr:uid="{00000000-0004-0000-0100-0000B2050000}"/>
    <hyperlink ref="C1460" r:id="rId1460" xr:uid="{00000000-0004-0000-0100-0000B3050000}"/>
    <hyperlink ref="C1461" r:id="rId1461" xr:uid="{00000000-0004-0000-0100-0000B4050000}"/>
    <hyperlink ref="C1462" r:id="rId1462" xr:uid="{00000000-0004-0000-0100-0000B5050000}"/>
    <hyperlink ref="C1463" r:id="rId1463" xr:uid="{00000000-0004-0000-0100-0000B6050000}"/>
    <hyperlink ref="C1464" r:id="rId1464" xr:uid="{00000000-0004-0000-0100-0000B7050000}"/>
    <hyperlink ref="C1465" r:id="rId1465" xr:uid="{00000000-0004-0000-0100-0000B8050000}"/>
    <hyperlink ref="C1466" r:id="rId1466" xr:uid="{00000000-0004-0000-0100-0000B9050000}"/>
    <hyperlink ref="C1467" r:id="rId1467" xr:uid="{00000000-0004-0000-0100-0000BA050000}"/>
    <hyperlink ref="C1468" r:id="rId1468" xr:uid="{00000000-0004-0000-0100-0000BB050000}"/>
    <hyperlink ref="C1469" r:id="rId1469" xr:uid="{00000000-0004-0000-0100-0000BC050000}"/>
    <hyperlink ref="C1470" r:id="rId1470" xr:uid="{00000000-0004-0000-0100-0000BD050000}"/>
    <hyperlink ref="C1471" r:id="rId1471" xr:uid="{00000000-0004-0000-0100-0000BE050000}"/>
    <hyperlink ref="C1472" r:id="rId1472" xr:uid="{00000000-0004-0000-0100-0000BF050000}"/>
    <hyperlink ref="C1473" r:id="rId1473" xr:uid="{00000000-0004-0000-0100-0000C0050000}"/>
    <hyperlink ref="C1474" r:id="rId1474" xr:uid="{00000000-0004-0000-0100-0000C1050000}"/>
    <hyperlink ref="C1475" r:id="rId1475" xr:uid="{00000000-0004-0000-0100-0000C2050000}"/>
    <hyperlink ref="C1476" r:id="rId1476" xr:uid="{00000000-0004-0000-0100-0000C3050000}"/>
    <hyperlink ref="C1477" r:id="rId1477" xr:uid="{00000000-0004-0000-0100-0000C4050000}"/>
    <hyperlink ref="C1478" r:id="rId1478" xr:uid="{00000000-0004-0000-0100-0000C5050000}"/>
    <hyperlink ref="C1479" r:id="rId1479" xr:uid="{00000000-0004-0000-0100-0000C6050000}"/>
    <hyperlink ref="C1480" r:id="rId1480" xr:uid="{00000000-0004-0000-0100-0000C7050000}"/>
    <hyperlink ref="C1481" r:id="rId1481" xr:uid="{00000000-0004-0000-0100-0000C8050000}"/>
    <hyperlink ref="C1482" r:id="rId1482" xr:uid="{00000000-0004-0000-0100-0000C9050000}"/>
    <hyperlink ref="C1483" r:id="rId1483" xr:uid="{00000000-0004-0000-0100-0000CA050000}"/>
    <hyperlink ref="C1484" r:id="rId1484" xr:uid="{00000000-0004-0000-0100-0000CB050000}"/>
    <hyperlink ref="C1485" r:id="rId1485" xr:uid="{00000000-0004-0000-0100-0000CC050000}"/>
    <hyperlink ref="C1486" r:id="rId1486" xr:uid="{00000000-0004-0000-0100-0000CD050000}"/>
    <hyperlink ref="C1487" r:id="rId1487" xr:uid="{00000000-0004-0000-0100-0000CE050000}"/>
    <hyperlink ref="C1488" r:id="rId1488" xr:uid="{00000000-0004-0000-0100-0000CF050000}"/>
    <hyperlink ref="C1489" r:id="rId1489" xr:uid="{00000000-0004-0000-0100-0000D0050000}"/>
    <hyperlink ref="C1490" r:id="rId1490" xr:uid="{00000000-0004-0000-0100-0000D1050000}"/>
    <hyperlink ref="C1491" r:id="rId1491" xr:uid="{00000000-0004-0000-0100-0000D2050000}"/>
    <hyperlink ref="C1492" r:id="rId1492" xr:uid="{00000000-0004-0000-0100-0000D3050000}"/>
    <hyperlink ref="C1493" r:id="rId1493" xr:uid="{00000000-0004-0000-0100-0000D4050000}"/>
    <hyperlink ref="C1494" r:id="rId1494" xr:uid="{00000000-0004-0000-0100-0000D5050000}"/>
    <hyperlink ref="C1495" r:id="rId1495" xr:uid="{00000000-0004-0000-0100-0000D6050000}"/>
    <hyperlink ref="C1496" r:id="rId1496" xr:uid="{00000000-0004-0000-0100-0000D7050000}"/>
    <hyperlink ref="C1497" r:id="rId1497" xr:uid="{00000000-0004-0000-0100-0000D8050000}"/>
    <hyperlink ref="C1498" r:id="rId1498" xr:uid="{00000000-0004-0000-0100-0000D9050000}"/>
    <hyperlink ref="C1499" r:id="rId1499" xr:uid="{00000000-0004-0000-0100-0000DA050000}"/>
    <hyperlink ref="C1500" r:id="rId1500" xr:uid="{00000000-0004-0000-0100-0000DB050000}"/>
    <hyperlink ref="C1501" r:id="rId1501" xr:uid="{00000000-0004-0000-0100-0000DC050000}"/>
    <hyperlink ref="C1502" r:id="rId1502" xr:uid="{00000000-0004-0000-0100-0000DD050000}"/>
    <hyperlink ref="C1503" r:id="rId1503" xr:uid="{00000000-0004-0000-0100-0000DE050000}"/>
    <hyperlink ref="C1504" r:id="rId1504" xr:uid="{00000000-0004-0000-0100-0000DF050000}"/>
    <hyperlink ref="C1505" r:id="rId1505" xr:uid="{00000000-0004-0000-0100-0000E0050000}"/>
    <hyperlink ref="C1506" r:id="rId1506" xr:uid="{00000000-0004-0000-0100-0000E1050000}"/>
    <hyperlink ref="C1507" r:id="rId1507" xr:uid="{00000000-0004-0000-0100-0000E2050000}"/>
    <hyperlink ref="C1508" r:id="rId1508" xr:uid="{00000000-0004-0000-0100-0000E3050000}"/>
    <hyperlink ref="C1509" r:id="rId1509" xr:uid="{00000000-0004-0000-0100-0000E4050000}"/>
    <hyperlink ref="C1510" r:id="rId1510" xr:uid="{00000000-0004-0000-0100-0000E5050000}"/>
    <hyperlink ref="C1511" r:id="rId1511" xr:uid="{00000000-0004-0000-0100-0000E6050000}"/>
    <hyperlink ref="C1512" r:id="rId1512" xr:uid="{00000000-0004-0000-0100-0000E7050000}"/>
    <hyperlink ref="C1513" r:id="rId1513" xr:uid="{00000000-0004-0000-0100-0000E8050000}"/>
    <hyperlink ref="C1514" r:id="rId1514" xr:uid="{00000000-0004-0000-0100-0000E9050000}"/>
    <hyperlink ref="C1515" r:id="rId1515" xr:uid="{00000000-0004-0000-0100-0000EA050000}"/>
    <hyperlink ref="C1516" r:id="rId1516" xr:uid="{00000000-0004-0000-0100-0000EB050000}"/>
    <hyperlink ref="C1517" r:id="rId1517" xr:uid="{00000000-0004-0000-0100-0000EC050000}"/>
    <hyperlink ref="C1518" r:id="rId1518" xr:uid="{00000000-0004-0000-0100-0000ED050000}"/>
    <hyperlink ref="C1519" r:id="rId1519" xr:uid="{00000000-0004-0000-0100-0000EE050000}"/>
    <hyperlink ref="C1520" r:id="rId1520" xr:uid="{00000000-0004-0000-0100-0000EF050000}"/>
    <hyperlink ref="C1521" r:id="rId1521" xr:uid="{00000000-0004-0000-0100-0000F0050000}"/>
    <hyperlink ref="C1522" r:id="rId1522" xr:uid="{00000000-0004-0000-0100-0000F1050000}"/>
    <hyperlink ref="C1523" r:id="rId1523" xr:uid="{00000000-0004-0000-0100-0000F2050000}"/>
    <hyperlink ref="C1524" r:id="rId1524" xr:uid="{00000000-0004-0000-0100-0000F3050000}"/>
    <hyperlink ref="C1525" r:id="rId1525" xr:uid="{00000000-0004-0000-0100-0000F4050000}"/>
    <hyperlink ref="C1526" r:id="rId1526" xr:uid="{00000000-0004-0000-0100-0000F5050000}"/>
    <hyperlink ref="C1527" r:id="rId1527" xr:uid="{00000000-0004-0000-0100-0000F6050000}"/>
    <hyperlink ref="C1528" r:id="rId1528" xr:uid="{00000000-0004-0000-0100-0000F7050000}"/>
    <hyperlink ref="C1529" r:id="rId1529" xr:uid="{00000000-0004-0000-0100-0000F8050000}"/>
    <hyperlink ref="C1530" r:id="rId1530" xr:uid="{00000000-0004-0000-0100-0000F9050000}"/>
    <hyperlink ref="C1531" r:id="rId1531" xr:uid="{00000000-0004-0000-0100-0000FA050000}"/>
    <hyperlink ref="C1532" r:id="rId1532" xr:uid="{00000000-0004-0000-0100-0000FB050000}"/>
    <hyperlink ref="C1533" r:id="rId1533" xr:uid="{00000000-0004-0000-0100-0000FC050000}"/>
    <hyperlink ref="C1534" r:id="rId1534" xr:uid="{00000000-0004-0000-0100-0000FD050000}"/>
    <hyperlink ref="C1535" r:id="rId1535" xr:uid="{00000000-0004-0000-0100-0000FE050000}"/>
    <hyperlink ref="C1536" r:id="rId1536" xr:uid="{00000000-0004-0000-0100-0000FF050000}"/>
    <hyperlink ref="C1537" r:id="rId1537" xr:uid="{00000000-0004-0000-0100-000000060000}"/>
    <hyperlink ref="C1538" r:id="rId1538" xr:uid="{00000000-0004-0000-0100-000001060000}"/>
    <hyperlink ref="C1539" r:id="rId1539" xr:uid="{00000000-0004-0000-0100-000002060000}"/>
    <hyperlink ref="C1540" r:id="rId1540" xr:uid="{00000000-0004-0000-0100-000003060000}"/>
    <hyperlink ref="C1541" r:id="rId1541" xr:uid="{00000000-0004-0000-0100-000004060000}"/>
    <hyperlink ref="C1542" r:id="rId1542" xr:uid="{00000000-0004-0000-0100-000005060000}"/>
    <hyperlink ref="C1543" r:id="rId1543" xr:uid="{00000000-0004-0000-0100-000006060000}"/>
    <hyperlink ref="C1544" r:id="rId1544" xr:uid="{00000000-0004-0000-0100-000007060000}"/>
    <hyperlink ref="C1545" r:id="rId1545" xr:uid="{00000000-0004-0000-0100-000008060000}"/>
    <hyperlink ref="C1546" r:id="rId1546" xr:uid="{00000000-0004-0000-0100-000009060000}"/>
    <hyperlink ref="C1547" r:id="rId1547" xr:uid="{00000000-0004-0000-0100-00000A060000}"/>
    <hyperlink ref="C1548" r:id="rId1548" xr:uid="{00000000-0004-0000-0100-00000B060000}"/>
    <hyperlink ref="C1549" r:id="rId1549" xr:uid="{00000000-0004-0000-0100-00000C060000}"/>
    <hyperlink ref="C1550" r:id="rId1550" xr:uid="{00000000-0004-0000-0100-00000D060000}"/>
    <hyperlink ref="C1551" r:id="rId1551" xr:uid="{00000000-0004-0000-0100-00000E060000}"/>
    <hyperlink ref="C1552" r:id="rId1552" xr:uid="{00000000-0004-0000-0100-00000F060000}"/>
    <hyperlink ref="C1553" r:id="rId1553" xr:uid="{00000000-0004-0000-0100-000010060000}"/>
    <hyperlink ref="C1554" r:id="rId1554" xr:uid="{00000000-0004-0000-0100-000011060000}"/>
    <hyperlink ref="C1555" r:id="rId1555" xr:uid="{00000000-0004-0000-0100-000012060000}"/>
    <hyperlink ref="C1556" r:id="rId1556" xr:uid="{00000000-0004-0000-0100-000013060000}"/>
    <hyperlink ref="C1557" r:id="rId1557" xr:uid="{00000000-0004-0000-0100-000014060000}"/>
    <hyperlink ref="C1558" r:id="rId1558" xr:uid="{00000000-0004-0000-0100-000015060000}"/>
    <hyperlink ref="C1559" r:id="rId1559" xr:uid="{00000000-0004-0000-0100-000016060000}"/>
    <hyperlink ref="C1560" r:id="rId1560" xr:uid="{00000000-0004-0000-0100-000017060000}"/>
    <hyperlink ref="C1561" r:id="rId1561" xr:uid="{00000000-0004-0000-0100-000018060000}"/>
    <hyperlink ref="C1562" r:id="rId1562" xr:uid="{00000000-0004-0000-0100-000019060000}"/>
    <hyperlink ref="C1563" r:id="rId1563" xr:uid="{00000000-0004-0000-0100-00001A060000}"/>
    <hyperlink ref="C1564" r:id="rId1564" xr:uid="{00000000-0004-0000-0100-00001B060000}"/>
    <hyperlink ref="C1565" r:id="rId1565" xr:uid="{00000000-0004-0000-0100-00001C060000}"/>
    <hyperlink ref="C1566" r:id="rId1566" xr:uid="{00000000-0004-0000-0100-00001D060000}"/>
    <hyperlink ref="C1567" r:id="rId1567" xr:uid="{00000000-0004-0000-0100-00001E060000}"/>
    <hyperlink ref="C1568" r:id="rId1568" xr:uid="{00000000-0004-0000-0100-00001F060000}"/>
    <hyperlink ref="C1569" r:id="rId1569" xr:uid="{00000000-0004-0000-0100-000020060000}"/>
    <hyperlink ref="C1570" r:id="rId1570" xr:uid="{00000000-0004-0000-0100-000021060000}"/>
    <hyperlink ref="C1571" r:id="rId1571" xr:uid="{00000000-0004-0000-0100-000022060000}"/>
    <hyperlink ref="C1572" r:id="rId1572" xr:uid="{00000000-0004-0000-0100-000023060000}"/>
    <hyperlink ref="C1573" r:id="rId1573" xr:uid="{00000000-0004-0000-0100-000024060000}"/>
    <hyperlink ref="C1574" r:id="rId1574" xr:uid="{00000000-0004-0000-0100-000025060000}"/>
    <hyperlink ref="C1575" r:id="rId1575" xr:uid="{00000000-0004-0000-0100-000026060000}"/>
    <hyperlink ref="C1576" r:id="rId1576" xr:uid="{00000000-0004-0000-0100-000027060000}"/>
    <hyperlink ref="C1577" r:id="rId1577" xr:uid="{00000000-0004-0000-0100-000028060000}"/>
    <hyperlink ref="C1578" r:id="rId1578" xr:uid="{00000000-0004-0000-0100-000029060000}"/>
    <hyperlink ref="C1579" r:id="rId1579" xr:uid="{00000000-0004-0000-0100-00002A060000}"/>
    <hyperlink ref="C1580" r:id="rId1580" xr:uid="{00000000-0004-0000-0100-00002B060000}"/>
    <hyperlink ref="C1581" r:id="rId1581" xr:uid="{00000000-0004-0000-0100-00002C060000}"/>
    <hyperlink ref="C1582" r:id="rId1582" xr:uid="{00000000-0004-0000-0100-00002D060000}"/>
    <hyperlink ref="C1583" r:id="rId1583" xr:uid="{00000000-0004-0000-0100-00002E060000}"/>
    <hyperlink ref="C1584" r:id="rId1584" xr:uid="{00000000-0004-0000-0100-00002F060000}"/>
    <hyperlink ref="C1585" r:id="rId1585" xr:uid="{00000000-0004-0000-0100-000030060000}"/>
    <hyperlink ref="C1586" r:id="rId1586" xr:uid="{00000000-0004-0000-0100-000031060000}"/>
    <hyperlink ref="C1587" r:id="rId1587" xr:uid="{00000000-0004-0000-0100-000032060000}"/>
    <hyperlink ref="C1588" r:id="rId1588" xr:uid="{00000000-0004-0000-0100-000033060000}"/>
    <hyperlink ref="C1589" r:id="rId1589" xr:uid="{00000000-0004-0000-0100-000034060000}"/>
    <hyperlink ref="C1590" r:id="rId1590" xr:uid="{00000000-0004-0000-0100-000035060000}"/>
    <hyperlink ref="C1591" r:id="rId1591" xr:uid="{00000000-0004-0000-0100-000036060000}"/>
    <hyperlink ref="C1592" r:id="rId1592" xr:uid="{00000000-0004-0000-0100-000037060000}"/>
    <hyperlink ref="C1593" r:id="rId1593" xr:uid="{00000000-0004-0000-0100-000038060000}"/>
    <hyperlink ref="C1594" r:id="rId1594" xr:uid="{00000000-0004-0000-0100-000039060000}"/>
    <hyperlink ref="C1595" r:id="rId1595" xr:uid="{00000000-0004-0000-0100-00003A060000}"/>
    <hyperlink ref="C1596" r:id="rId1596" xr:uid="{00000000-0004-0000-0100-00003B060000}"/>
    <hyperlink ref="C1597" r:id="rId1597" xr:uid="{00000000-0004-0000-0100-00003C060000}"/>
    <hyperlink ref="C1598" r:id="rId1598" xr:uid="{00000000-0004-0000-0100-00003D060000}"/>
    <hyperlink ref="C1599" r:id="rId1599" xr:uid="{00000000-0004-0000-0100-00003E060000}"/>
    <hyperlink ref="C1600" r:id="rId1600" xr:uid="{00000000-0004-0000-0100-00003F060000}"/>
    <hyperlink ref="C1601" r:id="rId1601" xr:uid="{00000000-0004-0000-0100-000040060000}"/>
    <hyperlink ref="C1602" r:id="rId1602" xr:uid="{00000000-0004-0000-0100-000041060000}"/>
    <hyperlink ref="C1603" r:id="rId1603" xr:uid="{00000000-0004-0000-0100-000042060000}"/>
    <hyperlink ref="C1604" r:id="rId1604" xr:uid="{00000000-0004-0000-0100-000043060000}"/>
    <hyperlink ref="C1605" r:id="rId1605" xr:uid="{00000000-0004-0000-0100-000044060000}"/>
    <hyperlink ref="C1606" r:id="rId1606" xr:uid="{00000000-0004-0000-0100-000045060000}"/>
    <hyperlink ref="C1607" r:id="rId1607" xr:uid="{00000000-0004-0000-0100-000046060000}"/>
    <hyperlink ref="C1608" r:id="rId1608" xr:uid="{00000000-0004-0000-0100-000047060000}"/>
    <hyperlink ref="C1609" r:id="rId1609" xr:uid="{00000000-0004-0000-0100-000048060000}"/>
    <hyperlink ref="C1610" r:id="rId1610" xr:uid="{00000000-0004-0000-0100-000049060000}"/>
    <hyperlink ref="C1611" r:id="rId1611" xr:uid="{00000000-0004-0000-0100-00004A060000}"/>
    <hyperlink ref="C1612" r:id="rId1612" xr:uid="{00000000-0004-0000-0100-00004B060000}"/>
    <hyperlink ref="C1613" r:id="rId1613" xr:uid="{00000000-0004-0000-0100-00004C060000}"/>
    <hyperlink ref="C1614" r:id="rId1614" xr:uid="{00000000-0004-0000-0100-00004D060000}"/>
    <hyperlink ref="C1615" r:id="rId1615" xr:uid="{00000000-0004-0000-0100-00004E060000}"/>
    <hyperlink ref="C1616" r:id="rId1616" xr:uid="{00000000-0004-0000-0100-00004F060000}"/>
    <hyperlink ref="C1617" r:id="rId1617" xr:uid="{00000000-0004-0000-0100-000050060000}"/>
    <hyperlink ref="C1618" r:id="rId1618" xr:uid="{00000000-0004-0000-0100-000051060000}"/>
    <hyperlink ref="C1619" r:id="rId1619" xr:uid="{00000000-0004-0000-0100-000052060000}"/>
    <hyperlink ref="C1620" r:id="rId1620" xr:uid="{00000000-0004-0000-0100-000053060000}"/>
    <hyperlink ref="C1621" r:id="rId1621" xr:uid="{00000000-0004-0000-0100-000054060000}"/>
    <hyperlink ref="C1622" r:id="rId1622" xr:uid="{00000000-0004-0000-0100-000055060000}"/>
    <hyperlink ref="C1623" r:id="rId1623" xr:uid="{00000000-0004-0000-0100-000056060000}"/>
    <hyperlink ref="C1624" r:id="rId1624" xr:uid="{00000000-0004-0000-0100-000057060000}"/>
    <hyperlink ref="C1625" r:id="rId1625" xr:uid="{00000000-0004-0000-0100-000058060000}"/>
    <hyperlink ref="C1626" r:id="rId1626" xr:uid="{00000000-0004-0000-0100-000059060000}"/>
    <hyperlink ref="C1627" r:id="rId1627" xr:uid="{00000000-0004-0000-0100-00005A060000}"/>
    <hyperlink ref="C1628" r:id="rId1628" xr:uid="{00000000-0004-0000-0100-00005B060000}"/>
    <hyperlink ref="C1629" r:id="rId1629" xr:uid="{00000000-0004-0000-0100-00005C060000}"/>
    <hyperlink ref="C1630" r:id="rId1630" xr:uid="{00000000-0004-0000-0100-00005D060000}"/>
    <hyperlink ref="C1631" r:id="rId1631" xr:uid="{00000000-0004-0000-0100-00005E060000}"/>
    <hyperlink ref="C1632" r:id="rId1632" xr:uid="{00000000-0004-0000-0100-00005F060000}"/>
    <hyperlink ref="C1633" r:id="rId1633" xr:uid="{00000000-0004-0000-0100-000060060000}"/>
    <hyperlink ref="C1634" r:id="rId1634" xr:uid="{00000000-0004-0000-0100-000061060000}"/>
    <hyperlink ref="C1635" r:id="rId1635" xr:uid="{00000000-0004-0000-0100-000062060000}"/>
    <hyperlink ref="C1636" r:id="rId1636" xr:uid="{00000000-0004-0000-0100-000063060000}"/>
    <hyperlink ref="C1637" r:id="rId1637" xr:uid="{00000000-0004-0000-0100-000064060000}"/>
    <hyperlink ref="C1638" r:id="rId1638" xr:uid="{00000000-0004-0000-0100-000065060000}"/>
    <hyperlink ref="C1639" r:id="rId1639" xr:uid="{00000000-0004-0000-0100-000066060000}"/>
    <hyperlink ref="C1640" r:id="rId1640" xr:uid="{00000000-0004-0000-0100-000067060000}"/>
    <hyperlink ref="C1641" r:id="rId1641" xr:uid="{00000000-0004-0000-0100-000068060000}"/>
    <hyperlink ref="C1642" r:id="rId1642" xr:uid="{00000000-0004-0000-0100-000069060000}"/>
    <hyperlink ref="C1643" r:id="rId1643" xr:uid="{00000000-0004-0000-0100-00006A060000}"/>
    <hyperlink ref="C1644" r:id="rId1644" xr:uid="{00000000-0004-0000-0100-00006B060000}"/>
    <hyperlink ref="C1645" r:id="rId1645" xr:uid="{00000000-0004-0000-0100-00006C060000}"/>
    <hyperlink ref="C1646" r:id="rId1646" xr:uid="{00000000-0004-0000-0100-00006D060000}"/>
    <hyperlink ref="C1647" r:id="rId1647" xr:uid="{00000000-0004-0000-0100-00006E060000}"/>
    <hyperlink ref="C1648" r:id="rId1648" xr:uid="{00000000-0004-0000-0100-00006F060000}"/>
    <hyperlink ref="C1649" r:id="rId1649" xr:uid="{00000000-0004-0000-0100-000070060000}"/>
    <hyperlink ref="C1650" r:id="rId1650" xr:uid="{00000000-0004-0000-0100-000071060000}"/>
    <hyperlink ref="C1651" r:id="rId1651" xr:uid="{00000000-0004-0000-0100-000072060000}"/>
    <hyperlink ref="C1652" r:id="rId1652" xr:uid="{00000000-0004-0000-0100-000073060000}"/>
    <hyperlink ref="C1653" r:id="rId1653" xr:uid="{00000000-0004-0000-0100-000074060000}"/>
    <hyperlink ref="C1654" r:id="rId1654" xr:uid="{00000000-0004-0000-0100-000075060000}"/>
    <hyperlink ref="C1655" r:id="rId1655" xr:uid="{00000000-0004-0000-0100-000076060000}"/>
    <hyperlink ref="C1656" r:id="rId1656" xr:uid="{00000000-0004-0000-0100-000077060000}"/>
    <hyperlink ref="C1657" r:id="rId1657" xr:uid="{00000000-0004-0000-0100-000078060000}"/>
    <hyperlink ref="C1658" r:id="rId1658" xr:uid="{00000000-0004-0000-0100-000079060000}"/>
    <hyperlink ref="C1659" r:id="rId1659" xr:uid="{00000000-0004-0000-0100-00007A060000}"/>
    <hyperlink ref="C1660" r:id="rId1660" xr:uid="{00000000-0004-0000-0100-00007B060000}"/>
    <hyperlink ref="C1661" r:id="rId1661" xr:uid="{00000000-0004-0000-0100-00007C060000}"/>
    <hyperlink ref="C1662" r:id="rId1662" xr:uid="{00000000-0004-0000-0100-00007D060000}"/>
    <hyperlink ref="C1663" r:id="rId1663" xr:uid="{00000000-0004-0000-0100-00007E060000}"/>
    <hyperlink ref="C1664" r:id="rId1664" xr:uid="{00000000-0004-0000-0100-00007F060000}"/>
    <hyperlink ref="C1665" r:id="rId1665" xr:uid="{00000000-0004-0000-0100-000080060000}"/>
    <hyperlink ref="C1666" r:id="rId1666" xr:uid="{00000000-0004-0000-0100-000081060000}"/>
    <hyperlink ref="C1667" r:id="rId1667" xr:uid="{00000000-0004-0000-0100-000082060000}"/>
    <hyperlink ref="C1668" r:id="rId1668" xr:uid="{00000000-0004-0000-0100-000083060000}"/>
    <hyperlink ref="C1669" r:id="rId1669" xr:uid="{00000000-0004-0000-0100-000084060000}"/>
    <hyperlink ref="C1670" r:id="rId1670" xr:uid="{00000000-0004-0000-0100-000085060000}"/>
    <hyperlink ref="C1671" r:id="rId1671" xr:uid="{00000000-0004-0000-0100-000086060000}"/>
    <hyperlink ref="C1672" r:id="rId1672" xr:uid="{00000000-0004-0000-0100-000087060000}"/>
    <hyperlink ref="C1673" r:id="rId1673" xr:uid="{00000000-0004-0000-0100-000088060000}"/>
    <hyperlink ref="C1674" r:id="rId1674" xr:uid="{00000000-0004-0000-0100-000089060000}"/>
    <hyperlink ref="C1675" r:id="rId1675" xr:uid="{00000000-0004-0000-0100-00008A060000}"/>
    <hyperlink ref="C1676" r:id="rId1676" xr:uid="{00000000-0004-0000-0100-00008B060000}"/>
    <hyperlink ref="C1677" r:id="rId1677" xr:uid="{00000000-0004-0000-0100-00008C060000}"/>
    <hyperlink ref="C1678" r:id="rId1678" xr:uid="{00000000-0004-0000-0100-00008D060000}"/>
    <hyperlink ref="C1679" r:id="rId1679" xr:uid="{00000000-0004-0000-0100-00008E060000}"/>
    <hyperlink ref="C1680" r:id="rId1680" xr:uid="{00000000-0004-0000-0100-00008F060000}"/>
    <hyperlink ref="C1681" r:id="rId1681" xr:uid="{00000000-0004-0000-0100-000090060000}"/>
    <hyperlink ref="C1682" r:id="rId1682" xr:uid="{00000000-0004-0000-0100-000091060000}"/>
    <hyperlink ref="C1683" r:id="rId1683" xr:uid="{00000000-0004-0000-0100-000092060000}"/>
    <hyperlink ref="C1684" r:id="rId1684" xr:uid="{00000000-0004-0000-0100-000093060000}"/>
    <hyperlink ref="C1685" r:id="rId1685" xr:uid="{00000000-0004-0000-0100-000094060000}"/>
    <hyperlink ref="C1686" r:id="rId1686" xr:uid="{00000000-0004-0000-0100-000095060000}"/>
    <hyperlink ref="C1687" r:id="rId1687" xr:uid="{00000000-0004-0000-0100-000096060000}"/>
    <hyperlink ref="C1688" r:id="rId1688" xr:uid="{00000000-0004-0000-0100-000097060000}"/>
    <hyperlink ref="C1689" r:id="rId1689" xr:uid="{00000000-0004-0000-0100-000098060000}"/>
    <hyperlink ref="C1690" r:id="rId1690" xr:uid="{00000000-0004-0000-0100-000099060000}"/>
    <hyperlink ref="C1691" r:id="rId1691" xr:uid="{00000000-0004-0000-0100-00009A060000}"/>
    <hyperlink ref="C1692" r:id="rId1692" xr:uid="{00000000-0004-0000-0100-00009B060000}"/>
    <hyperlink ref="C1693" r:id="rId1693" xr:uid="{00000000-0004-0000-0100-00009C060000}"/>
    <hyperlink ref="C1694" r:id="rId1694" xr:uid="{00000000-0004-0000-0100-00009D060000}"/>
    <hyperlink ref="C1695" r:id="rId1695" xr:uid="{00000000-0004-0000-0100-00009E060000}"/>
    <hyperlink ref="C1696" r:id="rId1696" xr:uid="{00000000-0004-0000-0100-00009F060000}"/>
    <hyperlink ref="C1697" r:id="rId1697" xr:uid="{00000000-0004-0000-0100-0000A0060000}"/>
    <hyperlink ref="C1698" r:id="rId1698" xr:uid="{00000000-0004-0000-0100-0000A1060000}"/>
    <hyperlink ref="C1699" r:id="rId1699" xr:uid="{00000000-0004-0000-0100-0000A2060000}"/>
    <hyperlink ref="C1700" r:id="rId1700" xr:uid="{00000000-0004-0000-0100-0000A3060000}"/>
    <hyperlink ref="C1701" r:id="rId1701" xr:uid="{00000000-0004-0000-0100-0000A4060000}"/>
    <hyperlink ref="C1702" r:id="rId1702" xr:uid="{00000000-0004-0000-0100-0000A5060000}"/>
    <hyperlink ref="C1703" r:id="rId1703" xr:uid="{00000000-0004-0000-0100-0000A6060000}"/>
    <hyperlink ref="C1704" r:id="rId1704" xr:uid="{00000000-0004-0000-0100-0000A7060000}"/>
    <hyperlink ref="C1705" r:id="rId1705" xr:uid="{00000000-0004-0000-0100-0000A8060000}"/>
    <hyperlink ref="C1706" r:id="rId1706" xr:uid="{00000000-0004-0000-0100-0000A9060000}"/>
    <hyperlink ref="C1707" r:id="rId1707" xr:uid="{00000000-0004-0000-0100-0000AA060000}"/>
    <hyperlink ref="C1708" r:id="rId1708" xr:uid="{00000000-0004-0000-0100-0000AB060000}"/>
    <hyperlink ref="C1709" r:id="rId1709" xr:uid="{00000000-0004-0000-0100-0000AC060000}"/>
    <hyperlink ref="C1710" r:id="rId1710" xr:uid="{00000000-0004-0000-0100-0000AD060000}"/>
    <hyperlink ref="C1711" r:id="rId1711" xr:uid="{00000000-0004-0000-0100-0000AE060000}"/>
    <hyperlink ref="C1712" r:id="rId1712" xr:uid="{00000000-0004-0000-0100-0000AF060000}"/>
    <hyperlink ref="C1713" r:id="rId1713" xr:uid="{00000000-0004-0000-0100-0000B0060000}"/>
    <hyperlink ref="C1714" r:id="rId1714" xr:uid="{00000000-0004-0000-0100-0000B1060000}"/>
    <hyperlink ref="C1715" r:id="rId1715" xr:uid="{00000000-0004-0000-0100-0000B2060000}"/>
    <hyperlink ref="C1716" r:id="rId1716" xr:uid="{00000000-0004-0000-0100-0000B3060000}"/>
    <hyperlink ref="C1717" r:id="rId1717" xr:uid="{00000000-0004-0000-0100-0000B4060000}"/>
    <hyperlink ref="C1718" r:id="rId1718" xr:uid="{00000000-0004-0000-0100-0000B5060000}"/>
    <hyperlink ref="C1719" r:id="rId1719" xr:uid="{00000000-0004-0000-0100-0000B6060000}"/>
    <hyperlink ref="C1720" r:id="rId1720" xr:uid="{00000000-0004-0000-0100-0000B7060000}"/>
    <hyperlink ref="C1721" r:id="rId1721" xr:uid="{00000000-0004-0000-0100-0000B8060000}"/>
    <hyperlink ref="C1722" r:id="rId1722" xr:uid="{00000000-0004-0000-0100-0000B9060000}"/>
    <hyperlink ref="C1723" r:id="rId1723" xr:uid="{00000000-0004-0000-0100-0000BA060000}"/>
    <hyperlink ref="C1724" r:id="rId1724" xr:uid="{00000000-0004-0000-0100-0000BB060000}"/>
    <hyperlink ref="C1725" r:id="rId1725" xr:uid="{00000000-0004-0000-0100-0000BC060000}"/>
    <hyperlink ref="C1726" r:id="rId1726" xr:uid="{00000000-0004-0000-0100-0000BD060000}"/>
    <hyperlink ref="C1727" r:id="rId1727" xr:uid="{00000000-0004-0000-0100-0000BE060000}"/>
    <hyperlink ref="C1728" r:id="rId1728" xr:uid="{00000000-0004-0000-0100-0000BF060000}"/>
    <hyperlink ref="C1729" r:id="rId1729" xr:uid="{00000000-0004-0000-0100-0000C0060000}"/>
    <hyperlink ref="C1730" r:id="rId1730" xr:uid="{00000000-0004-0000-0100-0000C1060000}"/>
    <hyperlink ref="C1731" r:id="rId1731" xr:uid="{00000000-0004-0000-0100-0000C2060000}"/>
    <hyperlink ref="C1732" r:id="rId1732" xr:uid="{00000000-0004-0000-0100-0000C3060000}"/>
    <hyperlink ref="C1733" r:id="rId1733" xr:uid="{00000000-0004-0000-0100-0000C4060000}"/>
    <hyperlink ref="C1734" r:id="rId1734" xr:uid="{00000000-0004-0000-0100-0000C5060000}"/>
    <hyperlink ref="C1735" r:id="rId1735" xr:uid="{00000000-0004-0000-0100-0000C6060000}"/>
    <hyperlink ref="C1736" r:id="rId1736" xr:uid="{00000000-0004-0000-0100-0000C7060000}"/>
    <hyperlink ref="C1737" r:id="rId1737" xr:uid="{00000000-0004-0000-0100-0000C8060000}"/>
    <hyperlink ref="C1738" r:id="rId1738" xr:uid="{00000000-0004-0000-0100-0000C9060000}"/>
    <hyperlink ref="C1739" r:id="rId1739" xr:uid="{00000000-0004-0000-0100-0000CA060000}"/>
    <hyperlink ref="C1740" r:id="rId1740" xr:uid="{00000000-0004-0000-0100-0000CB060000}"/>
    <hyperlink ref="C1741" r:id="rId1741" xr:uid="{00000000-0004-0000-0100-0000CC060000}"/>
    <hyperlink ref="C1742" r:id="rId1742" xr:uid="{00000000-0004-0000-0100-0000CD060000}"/>
    <hyperlink ref="C1743" r:id="rId1743" xr:uid="{00000000-0004-0000-0100-0000CE060000}"/>
    <hyperlink ref="C1744" r:id="rId1744" xr:uid="{00000000-0004-0000-0100-0000CF060000}"/>
    <hyperlink ref="C1745" r:id="rId1745" xr:uid="{00000000-0004-0000-0100-0000D0060000}"/>
    <hyperlink ref="C1746" r:id="rId1746" xr:uid="{00000000-0004-0000-0100-0000D1060000}"/>
    <hyperlink ref="C1747" r:id="rId1747" xr:uid="{00000000-0004-0000-0100-0000D2060000}"/>
    <hyperlink ref="C1748" r:id="rId1748" xr:uid="{00000000-0004-0000-0100-0000D3060000}"/>
    <hyperlink ref="C1749" r:id="rId1749" xr:uid="{00000000-0004-0000-0100-0000D4060000}"/>
    <hyperlink ref="C1750" r:id="rId1750" xr:uid="{00000000-0004-0000-0100-0000D5060000}"/>
    <hyperlink ref="C1751" r:id="rId1751" xr:uid="{00000000-0004-0000-0100-0000D6060000}"/>
    <hyperlink ref="C1752" r:id="rId1752" xr:uid="{00000000-0004-0000-0100-0000D7060000}"/>
    <hyperlink ref="C1753" r:id="rId1753" xr:uid="{00000000-0004-0000-0100-0000D8060000}"/>
    <hyperlink ref="C1754" r:id="rId1754" xr:uid="{00000000-0004-0000-0100-0000D9060000}"/>
    <hyperlink ref="C1755" r:id="rId1755" xr:uid="{00000000-0004-0000-0100-0000DA060000}"/>
    <hyperlink ref="C1756" r:id="rId1756" xr:uid="{00000000-0004-0000-0100-0000DB060000}"/>
    <hyperlink ref="C1757" r:id="rId1757" xr:uid="{00000000-0004-0000-0100-0000DC060000}"/>
    <hyperlink ref="C1758" r:id="rId1758" xr:uid="{00000000-0004-0000-0100-0000DD060000}"/>
    <hyperlink ref="C1759" r:id="rId1759" xr:uid="{00000000-0004-0000-0100-0000DE060000}"/>
    <hyperlink ref="C1760" r:id="rId1760" xr:uid="{00000000-0004-0000-0100-0000DF060000}"/>
    <hyperlink ref="C1761" r:id="rId1761" xr:uid="{00000000-0004-0000-0100-0000E0060000}"/>
    <hyperlink ref="C1762" r:id="rId1762" xr:uid="{00000000-0004-0000-0100-0000E1060000}"/>
    <hyperlink ref="C1763" r:id="rId1763" xr:uid="{00000000-0004-0000-0100-0000E2060000}"/>
    <hyperlink ref="C1764" r:id="rId1764" xr:uid="{00000000-0004-0000-0100-0000E3060000}"/>
    <hyperlink ref="C1765" r:id="rId1765" xr:uid="{00000000-0004-0000-0100-0000E4060000}"/>
    <hyperlink ref="C1766" r:id="rId1766" xr:uid="{00000000-0004-0000-0100-0000E5060000}"/>
    <hyperlink ref="C1767" r:id="rId1767" xr:uid="{00000000-0004-0000-0100-0000E6060000}"/>
    <hyperlink ref="C1768" r:id="rId1768" xr:uid="{00000000-0004-0000-0100-0000E7060000}"/>
    <hyperlink ref="C1769" r:id="rId1769" xr:uid="{00000000-0004-0000-0100-0000E8060000}"/>
    <hyperlink ref="C1770" r:id="rId1770" xr:uid="{00000000-0004-0000-0100-0000E9060000}"/>
    <hyperlink ref="C1771" r:id="rId1771" xr:uid="{00000000-0004-0000-0100-0000EA060000}"/>
    <hyperlink ref="C1772" r:id="rId1772" xr:uid="{00000000-0004-0000-0100-0000EB060000}"/>
    <hyperlink ref="C1773" r:id="rId1773" xr:uid="{00000000-0004-0000-0100-0000EC060000}"/>
    <hyperlink ref="C1774" r:id="rId1774" xr:uid="{00000000-0004-0000-0100-0000ED060000}"/>
    <hyperlink ref="C1775" r:id="rId1775" xr:uid="{00000000-0004-0000-0100-0000EE060000}"/>
    <hyperlink ref="C1776" r:id="rId1776" xr:uid="{00000000-0004-0000-0100-0000EF060000}"/>
    <hyperlink ref="C1777" r:id="rId1777" xr:uid="{00000000-0004-0000-0100-0000F0060000}"/>
    <hyperlink ref="C1778" r:id="rId1778" xr:uid="{00000000-0004-0000-0100-0000F1060000}"/>
    <hyperlink ref="C1779" r:id="rId1779" xr:uid="{00000000-0004-0000-0100-0000F2060000}"/>
    <hyperlink ref="C1780" r:id="rId1780" xr:uid="{00000000-0004-0000-0100-0000F3060000}"/>
    <hyperlink ref="C1781" r:id="rId1781" xr:uid="{00000000-0004-0000-0100-0000F4060000}"/>
    <hyperlink ref="C1782" r:id="rId1782" xr:uid="{00000000-0004-0000-0100-0000F5060000}"/>
    <hyperlink ref="C1783" r:id="rId1783" xr:uid="{00000000-0004-0000-0100-0000F6060000}"/>
    <hyperlink ref="C1784" r:id="rId1784" xr:uid="{00000000-0004-0000-0100-0000F7060000}"/>
    <hyperlink ref="C1785" r:id="rId1785" xr:uid="{00000000-0004-0000-0100-0000F8060000}"/>
    <hyperlink ref="C1786" r:id="rId1786" xr:uid="{00000000-0004-0000-0100-0000F9060000}"/>
    <hyperlink ref="C1787" r:id="rId1787" xr:uid="{00000000-0004-0000-0100-0000FA060000}"/>
    <hyperlink ref="C1788" r:id="rId1788" xr:uid="{00000000-0004-0000-0100-0000FB060000}"/>
    <hyperlink ref="C1789" r:id="rId1789" xr:uid="{00000000-0004-0000-0100-0000FC060000}"/>
    <hyperlink ref="C1790" r:id="rId1790" xr:uid="{00000000-0004-0000-0100-0000FD060000}"/>
    <hyperlink ref="C1791" r:id="rId1791" xr:uid="{00000000-0004-0000-0100-0000FE060000}"/>
    <hyperlink ref="C1792" r:id="rId1792" xr:uid="{00000000-0004-0000-0100-0000FF060000}"/>
    <hyperlink ref="C1793" r:id="rId1793" xr:uid="{00000000-0004-0000-0100-000000070000}"/>
    <hyperlink ref="C1794" r:id="rId1794" xr:uid="{00000000-0004-0000-0100-000001070000}"/>
    <hyperlink ref="C1795" r:id="rId1795" xr:uid="{00000000-0004-0000-0100-000002070000}"/>
    <hyperlink ref="C1796" r:id="rId1796" xr:uid="{00000000-0004-0000-0100-000003070000}"/>
    <hyperlink ref="C1797" r:id="rId1797" xr:uid="{00000000-0004-0000-0100-000004070000}"/>
    <hyperlink ref="C1798" r:id="rId1798" xr:uid="{00000000-0004-0000-0100-000005070000}"/>
    <hyperlink ref="C1799" r:id="rId1799" xr:uid="{00000000-0004-0000-0100-000006070000}"/>
    <hyperlink ref="C1800" r:id="rId1800" xr:uid="{00000000-0004-0000-0100-000007070000}"/>
    <hyperlink ref="C1801" r:id="rId1801" xr:uid="{00000000-0004-0000-0100-000008070000}"/>
    <hyperlink ref="C1802" r:id="rId1802" xr:uid="{00000000-0004-0000-0100-000009070000}"/>
    <hyperlink ref="C1803" r:id="rId1803" xr:uid="{00000000-0004-0000-0100-00000A070000}"/>
    <hyperlink ref="C1804" r:id="rId1804" xr:uid="{00000000-0004-0000-0100-00000B070000}"/>
    <hyperlink ref="C1805" r:id="rId1805" xr:uid="{00000000-0004-0000-0100-00000C070000}"/>
    <hyperlink ref="C1806" r:id="rId1806" xr:uid="{00000000-0004-0000-0100-00000D070000}"/>
    <hyperlink ref="C1807" r:id="rId1807" xr:uid="{00000000-0004-0000-0100-00000E070000}"/>
    <hyperlink ref="C1808" r:id="rId1808" xr:uid="{00000000-0004-0000-0100-00000F070000}"/>
    <hyperlink ref="C1809" r:id="rId1809" xr:uid="{00000000-0004-0000-0100-000010070000}"/>
    <hyperlink ref="C1810" r:id="rId1810" xr:uid="{00000000-0004-0000-0100-000011070000}"/>
    <hyperlink ref="C1811" r:id="rId1811" xr:uid="{00000000-0004-0000-0100-000012070000}"/>
    <hyperlink ref="C1812" r:id="rId1812" xr:uid="{00000000-0004-0000-0100-000013070000}"/>
    <hyperlink ref="C1813" r:id="rId1813" xr:uid="{00000000-0004-0000-0100-000014070000}"/>
    <hyperlink ref="C1814" r:id="rId1814" xr:uid="{00000000-0004-0000-0100-000015070000}"/>
    <hyperlink ref="C1815" r:id="rId1815" xr:uid="{00000000-0004-0000-0100-000016070000}"/>
    <hyperlink ref="C1816" r:id="rId1816" xr:uid="{00000000-0004-0000-0100-000017070000}"/>
    <hyperlink ref="C1817" r:id="rId1817" xr:uid="{00000000-0004-0000-0100-000018070000}"/>
    <hyperlink ref="C1818" r:id="rId1818" xr:uid="{00000000-0004-0000-0100-000019070000}"/>
    <hyperlink ref="C1819" r:id="rId1819" xr:uid="{00000000-0004-0000-0100-00001A070000}"/>
    <hyperlink ref="C1820" r:id="rId1820" xr:uid="{00000000-0004-0000-0100-00001B070000}"/>
    <hyperlink ref="C1821" r:id="rId1821" xr:uid="{00000000-0004-0000-0100-00001C070000}"/>
    <hyperlink ref="C1822" r:id="rId1822" xr:uid="{00000000-0004-0000-0100-00001D070000}"/>
    <hyperlink ref="C1823" r:id="rId1823" xr:uid="{00000000-0004-0000-0100-00001E070000}"/>
    <hyperlink ref="C1824" r:id="rId1824" xr:uid="{00000000-0004-0000-0100-00001F070000}"/>
    <hyperlink ref="C1825" r:id="rId1825" xr:uid="{00000000-0004-0000-0100-000020070000}"/>
    <hyperlink ref="C1826" r:id="rId1826" xr:uid="{00000000-0004-0000-0100-000021070000}"/>
    <hyperlink ref="C1827" r:id="rId1827" xr:uid="{00000000-0004-0000-0100-000022070000}"/>
    <hyperlink ref="C1828" r:id="rId1828" xr:uid="{00000000-0004-0000-0100-000023070000}"/>
    <hyperlink ref="C1829" r:id="rId1829" xr:uid="{00000000-0004-0000-0100-000024070000}"/>
    <hyperlink ref="C1830" r:id="rId1830" xr:uid="{00000000-0004-0000-0100-000025070000}"/>
    <hyperlink ref="C1831" r:id="rId1831" xr:uid="{00000000-0004-0000-0100-000026070000}"/>
    <hyperlink ref="C1832" r:id="rId1832" xr:uid="{00000000-0004-0000-0100-000027070000}"/>
    <hyperlink ref="C1833" r:id="rId1833" xr:uid="{00000000-0004-0000-0100-000028070000}"/>
    <hyperlink ref="C1834" r:id="rId1834" xr:uid="{00000000-0004-0000-0100-000029070000}"/>
    <hyperlink ref="C1835" r:id="rId1835" xr:uid="{00000000-0004-0000-0100-00002A070000}"/>
    <hyperlink ref="C1836" r:id="rId1836" xr:uid="{00000000-0004-0000-0100-00002B070000}"/>
    <hyperlink ref="C1837" r:id="rId1837" xr:uid="{00000000-0004-0000-0100-00002C070000}"/>
    <hyperlink ref="C1838" r:id="rId1838" xr:uid="{00000000-0004-0000-0100-00002D070000}"/>
    <hyperlink ref="C1839" r:id="rId1839" xr:uid="{00000000-0004-0000-0100-00002E070000}"/>
    <hyperlink ref="C1840" r:id="rId1840" xr:uid="{00000000-0004-0000-0100-00002F070000}"/>
    <hyperlink ref="C1841" r:id="rId1841" xr:uid="{00000000-0004-0000-0100-000030070000}"/>
    <hyperlink ref="C1842" r:id="rId1842" xr:uid="{00000000-0004-0000-0100-000031070000}"/>
    <hyperlink ref="C1843" r:id="rId1843" xr:uid="{00000000-0004-0000-0100-000032070000}"/>
    <hyperlink ref="C1844" r:id="rId1844" xr:uid="{00000000-0004-0000-0100-000033070000}"/>
    <hyperlink ref="C1845" r:id="rId1845" xr:uid="{00000000-0004-0000-0100-000034070000}"/>
    <hyperlink ref="C1846" r:id="rId1846" xr:uid="{00000000-0004-0000-0100-000035070000}"/>
    <hyperlink ref="C1847" r:id="rId1847" xr:uid="{00000000-0004-0000-0100-000036070000}"/>
    <hyperlink ref="C1848" r:id="rId1848" xr:uid="{00000000-0004-0000-0100-000037070000}"/>
    <hyperlink ref="C1849" r:id="rId1849" xr:uid="{00000000-0004-0000-0100-000038070000}"/>
    <hyperlink ref="C1850" r:id="rId1850" xr:uid="{00000000-0004-0000-0100-000039070000}"/>
    <hyperlink ref="C1851" r:id="rId1851" xr:uid="{00000000-0004-0000-0100-00003A070000}"/>
    <hyperlink ref="C1852" r:id="rId1852" xr:uid="{00000000-0004-0000-0100-00003B070000}"/>
    <hyperlink ref="C1853" r:id="rId1853" xr:uid="{00000000-0004-0000-0100-00003C070000}"/>
    <hyperlink ref="C1854" r:id="rId1854" xr:uid="{00000000-0004-0000-0100-00003D070000}"/>
    <hyperlink ref="C1855" r:id="rId1855" xr:uid="{00000000-0004-0000-0100-00003E070000}"/>
    <hyperlink ref="C1856" r:id="rId1856" xr:uid="{00000000-0004-0000-0100-00003F070000}"/>
    <hyperlink ref="C1857" r:id="rId1857" xr:uid="{00000000-0004-0000-0100-000040070000}"/>
    <hyperlink ref="C1858" r:id="rId1858" xr:uid="{00000000-0004-0000-0100-000041070000}"/>
    <hyperlink ref="C1859" r:id="rId1859" xr:uid="{00000000-0004-0000-0100-000042070000}"/>
    <hyperlink ref="C1860" r:id="rId1860" xr:uid="{00000000-0004-0000-0100-000043070000}"/>
    <hyperlink ref="C1861" r:id="rId1861" xr:uid="{00000000-0004-0000-0100-000044070000}"/>
    <hyperlink ref="C1862" r:id="rId1862" xr:uid="{00000000-0004-0000-0100-000045070000}"/>
    <hyperlink ref="C1863" r:id="rId1863" xr:uid="{00000000-0004-0000-0100-000046070000}"/>
    <hyperlink ref="C1864" r:id="rId1864" xr:uid="{00000000-0004-0000-0100-000047070000}"/>
    <hyperlink ref="C1865" r:id="rId1865" xr:uid="{00000000-0004-0000-0100-000048070000}"/>
    <hyperlink ref="C1866" r:id="rId1866" xr:uid="{00000000-0004-0000-0100-000049070000}"/>
    <hyperlink ref="C1867" r:id="rId1867" xr:uid="{00000000-0004-0000-0100-00004A070000}"/>
    <hyperlink ref="C1868" r:id="rId1868" xr:uid="{00000000-0004-0000-0100-00004B070000}"/>
    <hyperlink ref="C1869" r:id="rId1869" xr:uid="{00000000-0004-0000-0100-00004C070000}"/>
    <hyperlink ref="C1870" r:id="rId1870" xr:uid="{00000000-0004-0000-0100-00004D070000}"/>
    <hyperlink ref="C1871" r:id="rId1871" xr:uid="{00000000-0004-0000-0100-00004E070000}"/>
    <hyperlink ref="C1872" r:id="rId1872" xr:uid="{00000000-0004-0000-0100-00004F070000}"/>
    <hyperlink ref="C1873" r:id="rId1873" xr:uid="{00000000-0004-0000-0100-000050070000}"/>
    <hyperlink ref="C1874" r:id="rId1874" xr:uid="{00000000-0004-0000-0100-000051070000}"/>
    <hyperlink ref="C1875" r:id="rId1875" xr:uid="{00000000-0004-0000-0100-000052070000}"/>
    <hyperlink ref="C1876" r:id="rId1876" xr:uid="{00000000-0004-0000-0100-000053070000}"/>
    <hyperlink ref="C1877" r:id="rId1877" xr:uid="{00000000-0004-0000-0100-000054070000}"/>
    <hyperlink ref="C1878" r:id="rId1878" xr:uid="{00000000-0004-0000-0100-000055070000}"/>
    <hyperlink ref="C1879" r:id="rId1879" xr:uid="{00000000-0004-0000-0100-000056070000}"/>
    <hyperlink ref="C1880" r:id="rId1880" xr:uid="{00000000-0004-0000-0100-000057070000}"/>
    <hyperlink ref="C1881" r:id="rId1881" xr:uid="{00000000-0004-0000-0100-000058070000}"/>
    <hyperlink ref="C1882" r:id="rId1882" xr:uid="{00000000-0004-0000-0100-000059070000}"/>
    <hyperlink ref="C1883" r:id="rId1883" xr:uid="{00000000-0004-0000-0100-00005A070000}"/>
    <hyperlink ref="C1884" r:id="rId1884" xr:uid="{00000000-0004-0000-0100-00005B070000}"/>
    <hyperlink ref="C1885" r:id="rId1885" xr:uid="{00000000-0004-0000-0100-00005C070000}"/>
    <hyperlink ref="C1886" r:id="rId1886" xr:uid="{00000000-0004-0000-0100-00005D070000}"/>
    <hyperlink ref="C1887" r:id="rId1887" xr:uid="{00000000-0004-0000-0100-00005E070000}"/>
    <hyperlink ref="C1888" r:id="rId1888" xr:uid="{00000000-0004-0000-0100-00005F070000}"/>
    <hyperlink ref="C1889" r:id="rId1889" xr:uid="{00000000-0004-0000-0100-000060070000}"/>
    <hyperlink ref="C1890" r:id="rId1890" xr:uid="{00000000-0004-0000-0100-000061070000}"/>
    <hyperlink ref="C1891" r:id="rId1891" xr:uid="{00000000-0004-0000-0100-000062070000}"/>
    <hyperlink ref="C1892" r:id="rId1892" xr:uid="{00000000-0004-0000-0100-000063070000}"/>
    <hyperlink ref="C1893" r:id="rId1893" xr:uid="{00000000-0004-0000-0100-000064070000}"/>
    <hyperlink ref="C1894" r:id="rId1894" xr:uid="{00000000-0004-0000-0100-000065070000}"/>
    <hyperlink ref="C1895" r:id="rId1895" xr:uid="{00000000-0004-0000-0100-000066070000}"/>
    <hyperlink ref="C1896" r:id="rId1896" xr:uid="{00000000-0004-0000-0100-000067070000}"/>
    <hyperlink ref="C1897" r:id="rId1897" xr:uid="{00000000-0004-0000-0100-000068070000}"/>
    <hyperlink ref="C1898" r:id="rId1898" xr:uid="{00000000-0004-0000-0100-000069070000}"/>
    <hyperlink ref="C1899" r:id="rId1899" xr:uid="{00000000-0004-0000-0100-00006A070000}"/>
    <hyperlink ref="C1900" r:id="rId1900" xr:uid="{00000000-0004-0000-0100-00006B070000}"/>
    <hyperlink ref="C1901" r:id="rId1901" xr:uid="{00000000-0004-0000-0100-00006C070000}"/>
    <hyperlink ref="C1902" r:id="rId1902" xr:uid="{00000000-0004-0000-0100-00006D070000}"/>
    <hyperlink ref="C1903" r:id="rId1903" xr:uid="{00000000-0004-0000-0100-00006E070000}"/>
    <hyperlink ref="C1904" r:id="rId1904" xr:uid="{00000000-0004-0000-0100-00006F070000}"/>
    <hyperlink ref="C1905" r:id="rId1905" xr:uid="{00000000-0004-0000-0100-000070070000}"/>
    <hyperlink ref="C1906" r:id="rId1906" xr:uid="{00000000-0004-0000-0100-000071070000}"/>
    <hyperlink ref="C1907" r:id="rId1907" xr:uid="{00000000-0004-0000-0100-000072070000}"/>
    <hyperlink ref="C1908" r:id="rId1908" xr:uid="{00000000-0004-0000-0100-000073070000}"/>
    <hyperlink ref="C1909" r:id="rId1909" xr:uid="{00000000-0004-0000-0100-000074070000}"/>
    <hyperlink ref="C1910" r:id="rId1910" xr:uid="{00000000-0004-0000-0100-000075070000}"/>
    <hyperlink ref="C1911" r:id="rId1911" xr:uid="{00000000-0004-0000-0100-000076070000}"/>
    <hyperlink ref="C1912" r:id="rId1912" xr:uid="{00000000-0004-0000-0100-000077070000}"/>
    <hyperlink ref="C1913" r:id="rId1913" xr:uid="{00000000-0004-0000-0100-000078070000}"/>
    <hyperlink ref="C1914" r:id="rId1914" xr:uid="{00000000-0004-0000-0100-000079070000}"/>
    <hyperlink ref="C1915" r:id="rId1915" xr:uid="{00000000-0004-0000-0100-00007A070000}"/>
    <hyperlink ref="C1916" r:id="rId1916" xr:uid="{00000000-0004-0000-0100-00007B070000}"/>
    <hyperlink ref="C1917" r:id="rId1917" xr:uid="{00000000-0004-0000-0100-00007C070000}"/>
    <hyperlink ref="C1918" r:id="rId1918" xr:uid="{00000000-0004-0000-0100-00007D070000}"/>
    <hyperlink ref="C1919" r:id="rId1919" xr:uid="{00000000-0004-0000-0100-00007E070000}"/>
    <hyperlink ref="C1920" r:id="rId1920" xr:uid="{00000000-0004-0000-0100-00007F070000}"/>
    <hyperlink ref="C1921" r:id="rId1921" xr:uid="{00000000-0004-0000-0100-000080070000}"/>
    <hyperlink ref="C1922" r:id="rId1922" xr:uid="{00000000-0004-0000-0100-000081070000}"/>
    <hyperlink ref="C1923" r:id="rId1923" xr:uid="{00000000-0004-0000-0100-000082070000}"/>
    <hyperlink ref="C1924" r:id="rId1924" xr:uid="{00000000-0004-0000-0100-000083070000}"/>
    <hyperlink ref="C1925" r:id="rId1925" xr:uid="{00000000-0004-0000-0100-000084070000}"/>
    <hyperlink ref="C1926" r:id="rId1926" xr:uid="{00000000-0004-0000-0100-000085070000}"/>
    <hyperlink ref="C1927" r:id="rId1927" xr:uid="{00000000-0004-0000-0100-000086070000}"/>
    <hyperlink ref="C1928" r:id="rId1928" xr:uid="{00000000-0004-0000-0100-000087070000}"/>
    <hyperlink ref="C1929" r:id="rId1929" xr:uid="{00000000-0004-0000-0100-000088070000}"/>
    <hyperlink ref="C1930" r:id="rId1930" xr:uid="{00000000-0004-0000-0100-000089070000}"/>
    <hyperlink ref="C1931" r:id="rId1931" xr:uid="{00000000-0004-0000-0100-00008A070000}"/>
    <hyperlink ref="C1932" r:id="rId1932" xr:uid="{00000000-0004-0000-0100-00008B070000}"/>
    <hyperlink ref="C1933" r:id="rId1933" xr:uid="{00000000-0004-0000-0100-00008C070000}"/>
    <hyperlink ref="C1934" r:id="rId1934" xr:uid="{00000000-0004-0000-0100-00008D070000}"/>
    <hyperlink ref="C1935" r:id="rId1935" xr:uid="{00000000-0004-0000-0100-00008E070000}"/>
    <hyperlink ref="C1936" r:id="rId1936" xr:uid="{00000000-0004-0000-0100-00008F070000}"/>
    <hyperlink ref="C1937" r:id="rId1937" xr:uid="{00000000-0004-0000-0100-000090070000}"/>
    <hyperlink ref="C1938" r:id="rId1938" xr:uid="{00000000-0004-0000-0100-000091070000}"/>
    <hyperlink ref="C1939" r:id="rId1939" xr:uid="{00000000-0004-0000-0100-000092070000}"/>
    <hyperlink ref="C1940" r:id="rId1940" xr:uid="{00000000-0004-0000-0100-000093070000}"/>
    <hyperlink ref="C1941" r:id="rId1941" xr:uid="{00000000-0004-0000-0100-000094070000}"/>
    <hyperlink ref="C1942" r:id="rId1942" xr:uid="{00000000-0004-0000-0100-000095070000}"/>
    <hyperlink ref="C1943" r:id="rId1943" xr:uid="{00000000-0004-0000-0100-000096070000}"/>
    <hyperlink ref="C1944" r:id="rId1944" xr:uid="{00000000-0004-0000-0100-000097070000}"/>
    <hyperlink ref="C1945" r:id="rId1945" xr:uid="{00000000-0004-0000-0100-000098070000}"/>
    <hyperlink ref="C1946" r:id="rId1946" xr:uid="{00000000-0004-0000-0100-000099070000}"/>
    <hyperlink ref="C1947" r:id="rId1947" xr:uid="{00000000-0004-0000-0100-00009A070000}"/>
    <hyperlink ref="C1948" r:id="rId1948" xr:uid="{00000000-0004-0000-0100-00009B070000}"/>
    <hyperlink ref="C1949" r:id="rId1949" xr:uid="{00000000-0004-0000-0100-00009C070000}"/>
    <hyperlink ref="C1950" r:id="rId1950" xr:uid="{00000000-0004-0000-0100-00009D070000}"/>
    <hyperlink ref="C1951" r:id="rId1951" xr:uid="{00000000-0004-0000-0100-00009E070000}"/>
    <hyperlink ref="C1952" r:id="rId1952" xr:uid="{00000000-0004-0000-0100-00009F070000}"/>
    <hyperlink ref="C1953" r:id="rId1953" xr:uid="{00000000-0004-0000-0100-0000A0070000}"/>
    <hyperlink ref="C1954" r:id="rId1954" xr:uid="{00000000-0004-0000-0100-0000A1070000}"/>
    <hyperlink ref="C1955" r:id="rId1955" xr:uid="{00000000-0004-0000-0100-0000A2070000}"/>
    <hyperlink ref="C1956" r:id="rId1956" xr:uid="{00000000-0004-0000-0100-0000A3070000}"/>
    <hyperlink ref="C1957" r:id="rId1957" xr:uid="{00000000-0004-0000-0100-0000A4070000}"/>
    <hyperlink ref="C1958" r:id="rId1958" xr:uid="{00000000-0004-0000-0100-0000A5070000}"/>
    <hyperlink ref="C1959" r:id="rId1959" xr:uid="{00000000-0004-0000-0100-0000A6070000}"/>
    <hyperlink ref="C1960" r:id="rId1960" xr:uid="{00000000-0004-0000-0100-0000A7070000}"/>
    <hyperlink ref="C1961" r:id="rId1961" xr:uid="{00000000-0004-0000-0100-0000A8070000}"/>
    <hyperlink ref="C1962" r:id="rId1962" xr:uid="{00000000-0004-0000-0100-0000A9070000}"/>
    <hyperlink ref="C1963" r:id="rId1963" xr:uid="{00000000-0004-0000-0100-0000AA070000}"/>
    <hyperlink ref="C1964" r:id="rId1964" xr:uid="{00000000-0004-0000-0100-0000AB070000}"/>
    <hyperlink ref="C1965" r:id="rId1965" xr:uid="{00000000-0004-0000-0100-0000AC070000}"/>
    <hyperlink ref="C1966" r:id="rId1966" xr:uid="{00000000-0004-0000-0100-0000AD070000}"/>
    <hyperlink ref="C1967" r:id="rId1967" xr:uid="{00000000-0004-0000-0100-0000AE070000}"/>
    <hyperlink ref="C1968" r:id="rId1968" xr:uid="{00000000-0004-0000-0100-0000AF070000}"/>
    <hyperlink ref="C1969" r:id="rId1969" xr:uid="{00000000-0004-0000-0100-0000B0070000}"/>
    <hyperlink ref="C1970" r:id="rId1970" xr:uid="{00000000-0004-0000-0100-0000B1070000}"/>
    <hyperlink ref="C1971" r:id="rId1971" xr:uid="{00000000-0004-0000-0100-0000B2070000}"/>
    <hyperlink ref="C1972" r:id="rId1972" xr:uid="{00000000-0004-0000-0100-0000B3070000}"/>
    <hyperlink ref="C1973" r:id="rId1973" xr:uid="{00000000-0004-0000-0100-0000B4070000}"/>
    <hyperlink ref="C1974" r:id="rId1974" xr:uid="{00000000-0004-0000-0100-0000B5070000}"/>
    <hyperlink ref="C1975" r:id="rId1975" xr:uid="{00000000-0004-0000-0100-0000B6070000}"/>
    <hyperlink ref="C1976" r:id="rId1976" xr:uid="{00000000-0004-0000-0100-0000B7070000}"/>
    <hyperlink ref="C1977" r:id="rId1977" xr:uid="{00000000-0004-0000-0100-0000B8070000}"/>
    <hyperlink ref="C1978" r:id="rId1978" xr:uid="{00000000-0004-0000-0100-0000B9070000}"/>
    <hyperlink ref="C1979" r:id="rId1979" xr:uid="{00000000-0004-0000-0100-0000BA070000}"/>
    <hyperlink ref="C1980" r:id="rId1980" xr:uid="{00000000-0004-0000-0100-0000BB070000}"/>
    <hyperlink ref="C1981" r:id="rId1981" xr:uid="{00000000-0004-0000-0100-0000BC070000}"/>
    <hyperlink ref="C1982" r:id="rId1982" xr:uid="{00000000-0004-0000-0100-0000BD070000}"/>
    <hyperlink ref="C1983" r:id="rId1983" xr:uid="{00000000-0004-0000-0100-0000BE070000}"/>
    <hyperlink ref="C1984" r:id="rId1984" xr:uid="{00000000-0004-0000-0100-0000BF070000}"/>
    <hyperlink ref="C1985" r:id="rId1985" xr:uid="{00000000-0004-0000-0100-0000C0070000}"/>
    <hyperlink ref="C1986" r:id="rId1986" xr:uid="{00000000-0004-0000-0100-0000C1070000}"/>
    <hyperlink ref="C1987" r:id="rId1987" xr:uid="{00000000-0004-0000-0100-0000C2070000}"/>
    <hyperlink ref="C1988" r:id="rId1988" xr:uid="{00000000-0004-0000-0100-0000C3070000}"/>
    <hyperlink ref="C1989" r:id="rId1989" xr:uid="{00000000-0004-0000-0100-0000C4070000}"/>
    <hyperlink ref="C1990" r:id="rId1990" xr:uid="{00000000-0004-0000-0100-0000C5070000}"/>
    <hyperlink ref="C1991" r:id="rId1991" xr:uid="{00000000-0004-0000-0100-0000C6070000}"/>
    <hyperlink ref="C1992" r:id="rId1992" xr:uid="{00000000-0004-0000-0100-0000C7070000}"/>
    <hyperlink ref="C1993" r:id="rId1993" xr:uid="{00000000-0004-0000-0100-0000C8070000}"/>
    <hyperlink ref="C1994" r:id="rId1994" xr:uid="{00000000-0004-0000-0100-0000C9070000}"/>
    <hyperlink ref="C1995" r:id="rId1995" xr:uid="{00000000-0004-0000-0100-0000CA070000}"/>
    <hyperlink ref="C1996" r:id="rId1996" xr:uid="{00000000-0004-0000-0100-0000CB070000}"/>
    <hyperlink ref="C1997" r:id="rId1997" xr:uid="{00000000-0004-0000-0100-0000CC070000}"/>
    <hyperlink ref="C1998" r:id="rId1998" xr:uid="{00000000-0004-0000-0100-0000CD070000}"/>
    <hyperlink ref="C1999" r:id="rId1999" xr:uid="{00000000-0004-0000-0100-0000CE070000}"/>
    <hyperlink ref="C2000" r:id="rId2000" xr:uid="{00000000-0004-0000-0100-0000CF07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Hoja 1</vt:lpstr>
      <vt:lpstr>Todos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DOCENTE</dc:creator>
  <cp:lastModifiedBy>Microsoft Office User</cp:lastModifiedBy>
  <dcterms:created xsi:type="dcterms:W3CDTF">2024-06-30T16:40:41Z</dcterms:created>
  <dcterms:modified xsi:type="dcterms:W3CDTF">2024-11-15T01:27:10Z</dcterms:modified>
</cp:coreProperties>
</file>